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LZ NAP Report" sheetId="1" r:id="rId5"/>
    <sheet state="visible" name="NLZ LCP Report" sheetId="2" r:id="rId6"/>
    <sheet state="visible" name="NLZ OLT Report" sheetId="3" r:id="rId7"/>
    <sheet state="hidden" name="LCP Tickets" sheetId="4" r:id="rId8"/>
    <sheet state="visible" name="OLT DOWN Tickets" sheetId="5" r:id="rId9"/>
    <sheet state="visible" name="OLT DOWN - TS MAYMAY" sheetId="6" r:id="rId10"/>
    <sheet state="hidden" name="Copy of LIST OF NODE DOWN" sheetId="7" r:id="rId11"/>
    <sheet state="visible" name="2025 NAP" sheetId="8" r:id="rId12"/>
  </sheets>
  <definedNames/>
  <calcPr/>
</workbook>
</file>

<file path=xl/sharedStrings.xml><?xml version="1.0" encoding="utf-8"?>
<sst xmlns="http://schemas.openxmlformats.org/spreadsheetml/2006/main" count="1685" uniqueCount="790">
  <si>
    <t>NAP REPORT</t>
  </si>
  <si>
    <t>AREA</t>
  </si>
  <si>
    <t>PROVINCE</t>
  </si>
  <si>
    <t>&lt;24HOURS</t>
  </si>
  <si>
    <t>1-3 DAYS</t>
  </si>
  <si>
    <t>&gt;3DAYS</t>
  </si>
  <si>
    <t>TOTAL</t>
  </si>
  <si>
    <t>LCP REPORT</t>
  </si>
  <si>
    <t>OLT STATUS</t>
  </si>
  <si>
    <t>Cluster 1</t>
  </si>
  <si>
    <t>Pangasinan</t>
  </si>
  <si>
    <t>MONTH YEAR</t>
  </si>
  <si>
    <t>DATE</t>
  </si>
  <si>
    <t>TICKET NUMBER AND AGE</t>
  </si>
  <si>
    <t>TICKET</t>
  </si>
  <si>
    <t>CAUSE OF OUTAGE</t>
  </si>
  <si>
    <t>TT COUNT</t>
  </si>
  <si>
    <t>DESCRIPTION</t>
  </si>
  <si>
    <t>LCP COUNT</t>
  </si>
  <si>
    <t>CLIENTS</t>
  </si>
  <si>
    <t>IMPACT</t>
  </si>
  <si>
    <t>ISSUE</t>
  </si>
  <si>
    <t>FROM</t>
  </si>
  <si>
    <t>DOWN TIME</t>
  </si>
  <si>
    <t>CLUSTER</t>
  </si>
  <si>
    <t>DATE ENDORSED</t>
  </si>
  <si>
    <t>Cluster 2</t>
  </si>
  <si>
    <t>Abra</t>
  </si>
  <si>
    <t>MUNICIPALITY</t>
  </si>
  <si>
    <t>OLT NAME</t>
  </si>
  <si>
    <t>UP</t>
  </si>
  <si>
    <t>DOWN</t>
  </si>
  <si>
    <t>Cluster 3</t>
  </si>
  <si>
    <t>OLT UPLINK LOW POWER</t>
  </si>
  <si>
    <t>Nueva_Ecija</t>
  </si>
  <si>
    <t>OLT UPLINK DOWN</t>
  </si>
  <si>
    <t>OLT SERVICE DEGRADATION</t>
  </si>
  <si>
    <t>NUMBER OF LCPS</t>
  </si>
  <si>
    <t>FIBER</t>
  </si>
  <si>
    <t>POWER</t>
  </si>
  <si>
    <t>EQUIPMENT</t>
  </si>
  <si>
    <t>NUMBER OF CLIENTS</t>
  </si>
  <si>
    <t>TBD</t>
  </si>
  <si>
    <t>ABRA</t>
  </si>
  <si>
    <t>BANGUED</t>
  </si>
  <si>
    <t>BDA001-OLT-01</t>
  </si>
  <si>
    <t>Benguet</t>
  </si>
  <si>
    <t>Apayao</t>
  </si>
  <si>
    <t>Aurora</t>
  </si>
  <si>
    <t>La_Union</t>
  </si>
  <si>
    <t>Cagayan</t>
  </si>
  <si>
    <t>Ilocos_Norte</t>
  </si>
  <si>
    <t>Ifugao</t>
  </si>
  <si>
    <t>LAPAZ</t>
  </si>
  <si>
    <t>LPA001-OLT-01</t>
  </si>
  <si>
    <t>Mt_Province</t>
  </si>
  <si>
    <t>Ilocos_Sur</t>
  </si>
  <si>
    <t>Nueva_Vizcaya</t>
  </si>
  <si>
    <t>Isabela</t>
  </si>
  <si>
    <t>PIDIGAN</t>
  </si>
  <si>
    <t>PNA001-OLT-01</t>
  </si>
  <si>
    <t>Kalinga</t>
  </si>
  <si>
    <t>APAYAO</t>
  </si>
  <si>
    <t>CONNER</t>
  </si>
  <si>
    <t>CRY001-OLT-01</t>
  </si>
  <si>
    <t>Quirino</t>
  </si>
  <si>
    <t>FLORA</t>
  </si>
  <si>
    <t>FAY001-OLT-01</t>
  </si>
  <si>
    <t>LCP Aging Report</t>
  </si>
  <si>
    <t>LCP AGING REPORT</t>
  </si>
  <si>
    <t>LUNA</t>
  </si>
  <si>
    <t>LAY001-OLT-01</t>
  </si>
  <si>
    <t>PUDTOL</t>
  </si>
  <si>
    <t>PLY001-OLT-01</t>
  </si>
  <si>
    <t>AGING DURATION</t>
  </si>
  <si>
    <t>NUMBER OF OLTS</t>
  </si>
  <si>
    <t>REMARKS</t>
  </si>
  <si>
    <t>8d 3h 13m</t>
  </si>
  <si>
    <t>SANTA MARCELA</t>
  </si>
  <si>
    <t>SMY001-OLT-01</t>
  </si>
  <si>
    <t>0d 5h 32m</t>
  </si>
  <si>
    <t>AURORA</t>
  </si>
  <si>
    <t>BALER</t>
  </si>
  <si>
    <t>BLA001-OLT-01</t>
  </si>
  <si>
    <t>CASIGURAN</t>
  </si>
  <si>
    <t>CSA002-OLT-01</t>
  </si>
  <si>
    <t>CSA001-OLT-01</t>
  </si>
  <si>
    <t>DILASAG</t>
  </si>
  <si>
    <t>DLA001-OLT-01</t>
  </si>
  <si>
    <t>DINALUNGAN</t>
  </si>
  <si>
    <t>DNA001-OLT-01</t>
  </si>
  <si>
    <t>DINGALAN</t>
  </si>
  <si>
    <t>DGA001-OLT- 01</t>
  </si>
  <si>
    <t>DGA001-OLT-01</t>
  </si>
  <si>
    <t>DESC</t>
  </si>
  <si>
    <t>OLT</t>
  </si>
  <si>
    <t>OLT COUNT</t>
  </si>
  <si>
    <t>STATUS</t>
  </si>
  <si>
    <t>DT-RELATION</t>
  </si>
  <si>
    <t>REMARKS/ACTIVITY</t>
  </si>
  <si>
    <t>TT-20260811-00000003</t>
  </si>
  <si>
    <t>KIB002-OLT-01
KIB001-OLT-01</t>
  </si>
  <si>
    <t>DIPACULAO</t>
  </si>
  <si>
    <t>DPA001-OLT-01</t>
  </si>
  <si>
    <t>BENGUET</t>
  </si>
  <si>
    <t>via back up battery</t>
  </si>
  <si>
    <t>TT-20260809-00000109</t>
  </si>
  <si>
    <t>ATB002-OLT-01</t>
  </si>
  <si>
    <t xml:space="preserve">TT-20260810-00000499  </t>
  </si>
  <si>
    <t xml:space="preserve">BNB001-OLT-01 </t>
  </si>
  <si>
    <t>uplink from ATB002 Node</t>
  </si>
  <si>
    <t>TT-20260812-00000117</t>
  </si>
  <si>
    <t>ALF001-OLT-01
ALF001-OLT-02</t>
  </si>
  <si>
    <t>IFUGAO</t>
  </si>
  <si>
    <t>VIA GENSET</t>
  </si>
  <si>
    <t>TT-20260812-00000210</t>
  </si>
  <si>
    <t>RZN001-OLT-01</t>
  </si>
  <si>
    <t>NUEVA ECIJA</t>
  </si>
  <si>
    <t>TT-20260812-00000224</t>
  </si>
  <si>
    <t>TKK002-OLT-01
TKK002-OLT-02</t>
  </si>
  <si>
    <t>DPA002-OLT-01</t>
  </si>
  <si>
    <t>KALINGAN</t>
  </si>
  <si>
    <t>TT-20260814-00000077</t>
  </si>
  <si>
    <t>TBB002-OLT-01
TBB002-OLT-02</t>
  </si>
  <si>
    <t>TUBA</t>
  </si>
  <si>
    <t>MARIA AURORA</t>
  </si>
  <si>
    <t>MAA001-OLT-01</t>
  </si>
  <si>
    <t>SAN LUIS</t>
  </si>
  <si>
    <t>SLA001-OLT-01</t>
  </si>
  <si>
    <t>SLA001-OLT-02</t>
  </si>
  <si>
    <t>ATOK</t>
  </si>
  <si>
    <t>ATB001-OLT-01</t>
  </si>
  <si>
    <t>BAGUIO CITY</t>
  </si>
  <si>
    <t>BGC001-OLT-01</t>
  </si>
  <si>
    <t>BGC002-OLT-01</t>
  </si>
  <si>
    <t>BGC002-OLT-02</t>
  </si>
  <si>
    <t>BGC003-OLT-01</t>
  </si>
  <si>
    <t>BGC004-OLT-01</t>
  </si>
  <si>
    <t>BGC004-OLT-02</t>
  </si>
  <si>
    <t>NODE NAME</t>
  </si>
  <si>
    <t>NODE/NPE</t>
  </si>
  <si>
    <t>TICKET NUMBER</t>
  </si>
  <si>
    <t>DT RELATION</t>
  </si>
  <si>
    <t>CSA002-NPE-01</t>
  </si>
  <si>
    <t>POWER RELATED</t>
  </si>
  <si>
    <t>COMMERCIAL POWER</t>
  </si>
  <si>
    <t>LAGAWE</t>
  </si>
  <si>
    <t>LEF001-NPE-01</t>
  </si>
  <si>
    <t>BUGUIAS</t>
  </si>
  <si>
    <t>BGB001-NPE-01</t>
  </si>
  <si>
    <t>FIBER RELATED</t>
  </si>
  <si>
    <t>RESTORED</t>
  </si>
  <si>
    <t>ILOCOS SUR</t>
  </si>
  <si>
    <t>CERVANTES</t>
  </si>
  <si>
    <t>CVI001-NPE01</t>
  </si>
  <si>
    <t>MT. PROVINCE</t>
  </si>
  <si>
    <t>SAGADA</t>
  </si>
  <si>
    <t>SGV001-NPE-01</t>
  </si>
  <si>
    <t>BAUKO</t>
  </si>
  <si>
    <t>BOV001-NPE-01</t>
  </si>
  <si>
    <t>CRY001-NPE-01</t>
  </si>
  <si>
    <t>CAGAYAN</t>
  </si>
  <si>
    <t>TUAO</t>
  </si>
  <si>
    <t>TUC001-NPE-01</t>
  </si>
  <si>
    <t>BGC005-OLT-01</t>
  </si>
  <si>
    <t>ATB002-NPE-01</t>
  </si>
  <si>
    <t>VIA BACK UP BATT</t>
  </si>
  <si>
    <t>BGC005-OLT-02</t>
  </si>
  <si>
    <t>BGC005-OLT-03</t>
  </si>
  <si>
    <t>BGC005-OLT-04</t>
  </si>
  <si>
    <t>BGC006-OLT-01</t>
  </si>
  <si>
    <t>BGC006-OLT-02</t>
  </si>
  <si>
    <t>BGC007-OLT-01</t>
  </si>
  <si>
    <t>BGC007-OLT-02</t>
  </si>
  <si>
    <t>BGC008-OLT-01</t>
  </si>
  <si>
    <t>BGC009-OLT-01</t>
  </si>
  <si>
    <t>BGC010-OLT-01</t>
  </si>
  <si>
    <t>BGC014-OLT-01</t>
  </si>
  <si>
    <t>BGC005-OLT-05</t>
  </si>
  <si>
    <t>BGC008-OLT-02</t>
  </si>
  <si>
    <t>BGC015-OLT-01</t>
  </si>
  <si>
    <t>BGC005-OLT-07</t>
  </si>
  <si>
    <t>BAKUN</t>
  </si>
  <si>
    <t>BNB001-OLT-01</t>
  </si>
  <si>
    <t>BOKOD</t>
  </si>
  <si>
    <t>BKB001-OLT-01</t>
  </si>
  <si>
    <t>BGB001-OLT-01</t>
  </si>
  <si>
    <t>BGB002-OLT-01</t>
  </si>
  <si>
    <t>ITOGON</t>
  </si>
  <si>
    <t>ITB001-OLT-01</t>
  </si>
  <si>
    <t>ITB002-OLT-01</t>
  </si>
  <si>
    <t>ITB003-OLT-01</t>
  </si>
  <si>
    <t>ITB004-OLT-01</t>
  </si>
  <si>
    <t>KABAYAN</t>
  </si>
  <si>
    <t>KYB001-OLT-01</t>
  </si>
  <si>
    <t>KIBUNGAN</t>
  </si>
  <si>
    <t>KIB002-OLT-01</t>
  </si>
  <si>
    <t>KIB001-OLT-01</t>
  </si>
  <si>
    <t>LA TRINIDAD</t>
  </si>
  <si>
    <t>LTB001-OLT-01</t>
  </si>
  <si>
    <t>LTB001-OLT-02</t>
  </si>
  <si>
    <t>LTB002-OLT-01</t>
  </si>
  <si>
    <t>LTB002-OLT-02</t>
  </si>
  <si>
    <t>LTB001-OLT-03</t>
  </si>
  <si>
    <t>MANKAYAN</t>
  </si>
  <si>
    <t>MYB001-OLT-01</t>
  </si>
  <si>
    <t>SABLAN</t>
  </si>
  <si>
    <t>SBB001-OLT-01</t>
  </si>
  <si>
    <t>TBB005-OLT-01</t>
  </si>
  <si>
    <t>TBB001-OLT-01</t>
  </si>
  <si>
    <t>TBB002-OLT-02</t>
  </si>
  <si>
    <t>TBB002-OLT-01</t>
  </si>
  <si>
    <t>TBB003-OLT-02</t>
  </si>
  <si>
    <t>TBB003-OLT-01</t>
  </si>
  <si>
    <t>TUBLAY</t>
  </si>
  <si>
    <t>TYB001-OLT-01</t>
  </si>
  <si>
    <t>KAPANGAN</t>
  </si>
  <si>
    <t>KPB001-OLT-01</t>
  </si>
  <si>
    <t>KPB001-OLT-02</t>
  </si>
  <si>
    <t>ABULUG</t>
  </si>
  <si>
    <t>ALC001-OLT-01</t>
  </si>
  <si>
    <t>ALC001-OLT-02</t>
  </si>
  <si>
    <t>ALCALA</t>
  </si>
  <si>
    <t>ACC001-OLT-01</t>
  </si>
  <si>
    <t>ACC001-OLT-02</t>
  </si>
  <si>
    <t>ALLACAPAN</t>
  </si>
  <si>
    <t>APC001-OLT-01</t>
  </si>
  <si>
    <t>APC001-OLT-02</t>
  </si>
  <si>
    <t>AMULUNG</t>
  </si>
  <si>
    <t>AGC001-OLT-01</t>
  </si>
  <si>
    <t>AGC001-OLT-02</t>
  </si>
  <si>
    <t>AGC001-OLT-03</t>
  </si>
  <si>
    <t>AGC002-OLT-01</t>
  </si>
  <si>
    <t>APARRI</t>
  </si>
  <si>
    <t>ARC002-OLT-01</t>
  </si>
  <si>
    <t>ARC001-OLT-01</t>
  </si>
  <si>
    <t>BAGGAO</t>
  </si>
  <si>
    <t>BOC001-OLT-01</t>
  </si>
  <si>
    <t>BOC002-OLT-01</t>
  </si>
  <si>
    <t>BOC002-OLT-02</t>
  </si>
  <si>
    <t>BOC003-OLT-01</t>
  </si>
  <si>
    <t>BALLESTEROS</t>
  </si>
  <si>
    <t>BLC001-OLT-01</t>
  </si>
  <si>
    <t>BUGUEY</t>
  </si>
  <si>
    <t>BYC002-OLT-01</t>
  </si>
  <si>
    <t>BYC001-OLT-01</t>
  </si>
  <si>
    <t>CAMALANIUGAN</t>
  </si>
  <si>
    <t>CMC001-OLT-01</t>
  </si>
  <si>
    <t>CMC001-OLT-02</t>
  </si>
  <si>
    <t>CLAVERIA</t>
  </si>
  <si>
    <t>CEC001-OLT-01</t>
  </si>
  <si>
    <t>DUPAX DEL NORTE</t>
  </si>
  <si>
    <t>DNV001-OLT-01</t>
  </si>
  <si>
    <t>ENRILE</t>
  </si>
  <si>
    <t>ENC001-OLT-01</t>
  </si>
  <si>
    <t>ENC001-OLT-02</t>
  </si>
  <si>
    <t>GATTARAN</t>
  </si>
  <si>
    <t>GTC001-OLT-01</t>
  </si>
  <si>
    <t>GTC001-OLT-02</t>
  </si>
  <si>
    <t>GONZAGA</t>
  </si>
  <si>
    <t>GZC001-OLT-02</t>
  </si>
  <si>
    <t>GZC002-OLT-01</t>
  </si>
  <si>
    <t>GZC001-OLT-01</t>
  </si>
  <si>
    <t>GZC002-OLT-02</t>
  </si>
  <si>
    <t>LAL-LO</t>
  </si>
  <si>
    <t>LAC001-OLT-02</t>
  </si>
  <si>
    <t>LAC003-OLT-01</t>
  </si>
  <si>
    <t>LAC002-OLT-01</t>
  </si>
  <si>
    <t>LAC001-OLT-01</t>
  </si>
  <si>
    <t>LASAM</t>
  </si>
  <si>
    <t>LSC001-OLT-01</t>
  </si>
  <si>
    <t>LSC001-OLT-02</t>
  </si>
  <si>
    <t>PAMPLONA</t>
  </si>
  <si>
    <t>PMC001-OLT-01</t>
  </si>
  <si>
    <t>PEÑABLANCA</t>
  </si>
  <si>
    <t>PNC001-OLT-01</t>
  </si>
  <si>
    <t>PIAT</t>
  </si>
  <si>
    <t>PTC001-OLT-01</t>
  </si>
  <si>
    <t>PTC001-OLT-02</t>
  </si>
  <si>
    <t>RIZAL</t>
  </si>
  <si>
    <t>RZC001-OLT-01</t>
  </si>
  <si>
    <t>SANCHEZ-MIRA</t>
  </si>
  <si>
    <t>SMC001-OLT-01</t>
  </si>
  <si>
    <t>SMC001-OLT-02</t>
  </si>
  <si>
    <t>SANTA ANA</t>
  </si>
  <si>
    <t>SAC001-OLT-01</t>
  </si>
  <si>
    <t>SAC001-OLT-02</t>
  </si>
  <si>
    <t>SANTA FE</t>
  </si>
  <si>
    <t>SFV001-OLT-01</t>
  </si>
  <si>
    <t>SANTA PRAXEDES</t>
  </si>
  <si>
    <t>SXC001-OLT-01</t>
  </si>
  <si>
    <t>SANTA TERESITA</t>
  </si>
  <si>
    <t>STC001-OLT-01</t>
  </si>
  <si>
    <t>STC001-OLT-02</t>
  </si>
  <si>
    <t>SANTO NIÑO</t>
  </si>
  <si>
    <t>SNC001-OLT-01</t>
  </si>
  <si>
    <t>SOLANA</t>
  </si>
  <si>
    <t>SOC001-OLT-01</t>
  </si>
  <si>
    <t>TUC001-OLT-01</t>
  </si>
  <si>
    <t>TUC002-OLT-01</t>
  </si>
  <si>
    <t>TUGUEGARAO CITY</t>
  </si>
  <si>
    <t>TGC001-OLT-01</t>
  </si>
  <si>
    <t>TGC001-OLT-02</t>
  </si>
  <si>
    <t>TGC001-OLT-03</t>
  </si>
  <si>
    <t>AGUINALDO</t>
  </si>
  <si>
    <t>AOF001-OLT-01</t>
  </si>
  <si>
    <t>ALFONSO LISTA</t>
  </si>
  <si>
    <t>ALF001-OLT-01</t>
  </si>
  <si>
    <t>ALF001-OLT-02</t>
  </si>
  <si>
    <t>ALF002-OLT-01</t>
  </si>
  <si>
    <t>HINGYON</t>
  </si>
  <si>
    <t>HNF001-OLT-01</t>
  </si>
  <si>
    <t>LEF001-OLT-01</t>
  </si>
  <si>
    <t>LAMUT</t>
  </si>
  <si>
    <t>LTF001-OLT-01</t>
  </si>
  <si>
    <t>LTF002-OLT-01</t>
  </si>
  <si>
    <t>LTF001-OLT-02</t>
  </si>
  <si>
    <t>ILOCOS NORTE</t>
  </si>
  <si>
    <t>BADOC</t>
  </si>
  <si>
    <t>BDI001-OLT-01</t>
  </si>
  <si>
    <t>BANGUI</t>
  </si>
  <si>
    <t>BGI001-OLT-01</t>
  </si>
  <si>
    <t>BANNA</t>
  </si>
  <si>
    <t>BNI001-OLT-01</t>
  </si>
  <si>
    <t>BNI001-OLT-02</t>
  </si>
  <si>
    <t>BURGOS</t>
  </si>
  <si>
    <t>BRI001-OLT-01</t>
  </si>
  <si>
    <t>CURRIMAO</t>
  </si>
  <si>
    <t>CMI001-OLT-01</t>
  </si>
  <si>
    <t>DINGRAS</t>
  </si>
  <si>
    <t>DGI001-OLT-01</t>
  </si>
  <si>
    <t>DGI001-OLT-02</t>
  </si>
  <si>
    <t>LAOAG CITY</t>
  </si>
  <si>
    <t>LGI001-OLT-01</t>
  </si>
  <si>
    <t>LGI001-OLT-02</t>
  </si>
  <si>
    <t>LGI001-OLT-03</t>
  </si>
  <si>
    <t>LGI001-OLT-04</t>
  </si>
  <si>
    <t>LGI001-OLT-05</t>
  </si>
  <si>
    <t>NUEVA ERA</t>
  </si>
  <si>
    <t>NEI001-OLT-01</t>
  </si>
  <si>
    <t>PAGUDPUD</t>
  </si>
  <si>
    <t>PGI003-OLT-01</t>
  </si>
  <si>
    <t>PAOAY</t>
  </si>
  <si>
    <t>BTI001-OLT-01</t>
  </si>
  <si>
    <t>BTI001-OLT-02</t>
  </si>
  <si>
    <t>PASUQUIN</t>
  </si>
  <si>
    <t>PQI001-OLT-01</t>
  </si>
  <si>
    <t>PQI002-OLT-01</t>
  </si>
  <si>
    <t>PIDDIG</t>
  </si>
  <si>
    <t>PDI001-OLT-01</t>
  </si>
  <si>
    <t>PINILI</t>
  </si>
  <si>
    <t>PNI001-OLT-01</t>
  </si>
  <si>
    <t>PNI001-OLT-02</t>
  </si>
  <si>
    <t>SAN NICOLAS</t>
  </si>
  <si>
    <t>SNI001-OLT-01</t>
  </si>
  <si>
    <t>SARRAT</t>
  </si>
  <si>
    <t>SRI001-OLT-01</t>
  </si>
  <si>
    <t>SOLSONA</t>
  </si>
  <si>
    <t>SSI001-OLT-01</t>
  </si>
  <si>
    <t>VINTAR</t>
  </si>
  <si>
    <t>VNI001-OLT-01</t>
  </si>
  <si>
    <t>VNI002-OLT-01</t>
  </si>
  <si>
    <t>VNI002-OLT-02</t>
  </si>
  <si>
    <t>BANTAY</t>
  </si>
  <si>
    <t>BYI001-OLT-01</t>
  </si>
  <si>
    <t>BYI001-OLT-02</t>
  </si>
  <si>
    <t>BYI001-OLT-03</t>
  </si>
  <si>
    <t>CABUGAO</t>
  </si>
  <si>
    <t>CGI001-OLT-01</t>
  </si>
  <si>
    <t>CGI001-OLT-02</t>
  </si>
  <si>
    <t>CGI001-OLT-03</t>
  </si>
  <si>
    <t>CGI001-OLT-04</t>
  </si>
  <si>
    <t>CANDON CITY</t>
  </si>
  <si>
    <t>CDI001-OLT-01</t>
  </si>
  <si>
    <t>CDI001-OLT-02</t>
  </si>
  <si>
    <t>CDI001-OLT-03</t>
  </si>
  <si>
    <t>CVI001-OLT-01</t>
  </si>
  <si>
    <t>LIDLIDDA</t>
  </si>
  <si>
    <t>LDI001-OLT-01</t>
  </si>
  <si>
    <t>MAGSINGAL</t>
  </si>
  <si>
    <t>DOI001-OLT-01</t>
  </si>
  <si>
    <t>DOI001-OLT-02</t>
  </si>
  <si>
    <t>DOI001-OLT-03</t>
  </si>
  <si>
    <t>NAGBUKEL</t>
  </si>
  <si>
    <t>NKI001-OLT-01</t>
  </si>
  <si>
    <t>NARVACAN</t>
  </si>
  <si>
    <t>NVI001-OLT-01</t>
  </si>
  <si>
    <t>NVI001-OLT-02</t>
  </si>
  <si>
    <t>NVI001-OLT-03</t>
  </si>
  <si>
    <t>NVI001-OLT-04</t>
  </si>
  <si>
    <t>QUIRINO</t>
  </si>
  <si>
    <t>QNI001-OLT-01</t>
  </si>
  <si>
    <t>SALCEDO</t>
  </si>
  <si>
    <t>SDI001-OLT-01</t>
  </si>
  <si>
    <t>SDI001-OLT-02</t>
  </si>
  <si>
    <t>SANTA</t>
  </si>
  <si>
    <t>STI001-OLT-01</t>
  </si>
  <si>
    <t>SANTA CRUZ</t>
  </si>
  <si>
    <t>SZI001-OLT-01</t>
  </si>
  <si>
    <t>SZI001-OLT-02</t>
  </si>
  <si>
    <t>SZI001-OLT-03</t>
  </si>
  <si>
    <t>SANTA MARIA</t>
  </si>
  <si>
    <t>SMI001-OLT-01</t>
  </si>
  <si>
    <t>SMI001-OLT-02</t>
  </si>
  <si>
    <t>SMI001-OLT-03</t>
  </si>
  <si>
    <t>SANTIAGO</t>
  </si>
  <si>
    <t>SGI001-OLT-01</t>
  </si>
  <si>
    <t>SGI001-OLT-02</t>
  </si>
  <si>
    <t>SGI001-OLT-03</t>
  </si>
  <si>
    <t>SINAIT</t>
  </si>
  <si>
    <t>SAI001-OLT-01</t>
  </si>
  <si>
    <t>SAI001-OLT-02</t>
  </si>
  <si>
    <t>SUYO</t>
  </si>
  <si>
    <t>SUI001-OLT-01</t>
  </si>
  <si>
    <t>TAGUDIN</t>
  </si>
  <si>
    <t>TGI001-OLT-01</t>
  </si>
  <si>
    <t>TGI001-OLT-02</t>
  </si>
  <si>
    <t>TGI001-OLT-03</t>
  </si>
  <si>
    <t>ISABELA</t>
  </si>
  <si>
    <t>AGLIPAY</t>
  </si>
  <si>
    <t>AYQ001-OLT-01</t>
  </si>
  <si>
    <t>AYQ002-OLT-02</t>
  </si>
  <si>
    <t>ALICIA</t>
  </si>
  <si>
    <t>ACI001-OLT-01</t>
  </si>
  <si>
    <t>ACI001-OLT-02</t>
  </si>
  <si>
    <t>ANGADANAN</t>
  </si>
  <si>
    <t>ANI001-OLT-02</t>
  </si>
  <si>
    <t>ANI001-OLT-01</t>
  </si>
  <si>
    <t>ANI002-OLT-01</t>
  </si>
  <si>
    <t>AUI001-OLT-01</t>
  </si>
  <si>
    <t>BENITO SOLIVEN</t>
  </si>
  <si>
    <t>BLI001-OLT-01</t>
  </si>
  <si>
    <t>BLI001-OLT-02</t>
  </si>
  <si>
    <t>BUI001-OLT-01</t>
  </si>
  <si>
    <t>BUI002-OLT-01</t>
  </si>
  <si>
    <t>BUI001-OLT-02</t>
  </si>
  <si>
    <t>CABAGAN</t>
  </si>
  <si>
    <t>CBI001-OLT-01</t>
  </si>
  <si>
    <t>CBI001-OLT-02</t>
  </si>
  <si>
    <t>CBI001-OLT-03</t>
  </si>
  <si>
    <t>CBI001-OLT-04</t>
  </si>
  <si>
    <t>CABATUAN</t>
  </si>
  <si>
    <t>CTI001-OLT-01</t>
  </si>
  <si>
    <t>CTI001-OLT-02</t>
  </si>
  <si>
    <t>CITY OF CAUAYAN</t>
  </si>
  <si>
    <t>CNI001-OLT-01</t>
  </si>
  <si>
    <t>CNI001-OLT-02</t>
  </si>
  <si>
    <t>CNI001-OLT-03</t>
  </si>
  <si>
    <t>CNI002-OLT-01</t>
  </si>
  <si>
    <t>CNI002-OLT-02</t>
  </si>
  <si>
    <t>CITY OF ILAGAN</t>
  </si>
  <si>
    <t>IGI001-OLT-01</t>
  </si>
  <si>
    <t>IGI004-OLT-01</t>
  </si>
  <si>
    <t>IGI005-OLT-01</t>
  </si>
  <si>
    <t>IGI002-OLT-01</t>
  </si>
  <si>
    <t>IGI002-OLT-02</t>
  </si>
  <si>
    <t>IGI003-OLT-01</t>
  </si>
  <si>
    <t>IGI003-OLT-02</t>
  </si>
  <si>
    <t>IGI004-OLT-02</t>
  </si>
  <si>
    <t>IGI005-OLT-02</t>
  </si>
  <si>
    <t>CITY OF SANTIAGO</t>
  </si>
  <si>
    <t>TOI001-OLT-01</t>
  </si>
  <si>
    <t>TOI001-OLT-02</t>
  </si>
  <si>
    <t>TOI001-OLT-03</t>
  </si>
  <si>
    <t>TOI001-OLT-04</t>
  </si>
  <si>
    <t>TOI001-OLT-05</t>
  </si>
  <si>
    <t>DELFIN ALBANO</t>
  </si>
  <si>
    <t>DAI001-OLT-01</t>
  </si>
  <si>
    <t>DPA003-OLT-01</t>
  </si>
  <si>
    <t>DPA003-OLT-02</t>
  </si>
  <si>
    <t>ECHAGUE</t>
  </si>
  <si>
    <t>EGI001-OLT-01</t>
  </si>
  <si>
    <t>EGI001-OLT-02</t>
  </si>
  <si>
    <t>EGI001-OLT-03</t>
  </si>
  <si>
    <t>EGI002-OLT-01</t>
  </si>
  <si>
    <t>GAMU</t>
  </si>
  <si>
    <t>GMI001-OLT-01</t>
  </si>
  <si>
    <t>JONES</t>
  </si>
  <si>
    <t>JNI002-OLT-01</t>
  </si>
  <si>
    <t>JNI001-OLT-01</t>
  </si>
  <si>
    <t>JNI002-OLT-02</t>
  </si>
  <si>
    <t>MARCOS</t>
  </si>
  <si>
    <t>MRI001-OLT-01</t>
  </si>
  <si>
    <t>NAGTIPUNAN</t>
  </si>
  <si>
    <t>NTQ002-OLT-01</t>
  </si>
  <si>
    <t>NAGUILIAN</t>
  </si>
  <si>
    <t>NGI001-OLT-01</t>
  </si>
  <si>
    <t>NGI001-OLT-02</t>
  </si>
  <si>
    <t>QUEZON</t>
  </si>
  <si>
    <t>QZI001-OLT-01</t>
  </si>
  <si>
    <t>MLI001-OLT-01</t>
  </si>
  <si>
    <t>QRI001-OLT-01</t>
  </si>
  <si>
    <t>QRI001-OLT-02</t>
  </si>
  <si>
    <t>RAMON</t>
  </si>
  <si>
    <t>RNI001-OLT-01</t>
  </si>
  <si>
    <t>REINA MERCEDES</t>
  </si>
  <si>
    <t>RMI001-OLT-01</t>
  </si>
  <si>
    <t>RMI001-OLT-02</t>
  </si>
  <si>
    <t>ROXAS</t>
  </si>
  <si>
    <t>RXI001-OLT-01</t>
  </si>
  <si>
    <t>RXI001-OLT-02</t>
  </si>
  <si>
    <t>SAN AGUSTIN</t>
  </si>
  <si>
    <t>GTI001-OLT-01</t>
  </si>
  <si>
    <t>SAN GUILLERMO</t>
  </si>
  <si>
    <t>GLI001-OLT-01</t>
  </si>
  <si>
    <t>SAN ISIDRO</t>
  </si>
  <si>
    <t>ISI001-OLT-01</t>
  </si>
  <si>
    <t>SAN MANUEL</t>
  </si>
  <si>
    <t>MNI001-OLT-01</t>
  </si>
  <si>
    <t>SAN MARIANO</t>
  </si>
  <si>
    <t>SOI001-OLT-01</t>
  </si>
  <si>
    <t>SOI002-OLT-01</t>
  </si>
  <si>
    <t>SAN MATEO</t>
  </si>
  <si>
    <t>MTI001-OLT-01</t>
  </si>
  <si>
    <t>MAI001-OLT-01</t>
  </si>
  <si>
    <t>SANTO TOMAS</t>
  </si>
  <si>
    <t>TSI001-OLT-01</t>
  </si>
  <si>
    <t>SOC002-OLT-01</t>
  </si>
  <si>
    <t>TUMAUINI</t>
  </si>
  <si>
    <t>TMI001-OLT-01</t>
  </si>
  <si>
    <t>TMI001-OLT-02</t>
  </si>
  <si>
    <t>TMI001-OLT-03</t>
  </si>
  <si>
    <t>TMI002-OLT-01</t>
  </si>
  <si>
    <t>TMI001-OLT-04</t>
  </si>
  <si>
    <t>VILLAVERDE</t>
  </si>
  <si>
    <t>VLV001-OLT-01</t>
  </si>
  <si>
    <t>KALINGA</t>
  </si>
  <si>
    <t>PINUKPUK</t>
  </si>
  <si>
    <t>PKK001-OLT-01</t>
  </si>
  <si>
    <t>PKK002-OLT-01</t>
  </si>
  <si>
    <t>PKK003-OLT-01</t>
  </si>
  <si>
    <t>RLK001-OLT-01</t>
  </si>
  <si>
    <t>RLK001-OLT-02</t>
  </si>
  <si>
    <t>TABUK CITY</t>
  </si>
  <si>
    <t>TKK003-OLT-01</t>
  </si>
  <si>
    <t>TKK001-OLT-01</t>
  </si>
  <si>
    <t>TKK004-OLT-01</t>
  </si>
  <si>
    <t>TKK002-OLT-01</t>
  </si>
  <si>
    <t>TKK002-OLT-02</t>
  </si>
  <si>
    <t>LA UNION</t>
  </si>
  <si>
    <t>AGOO</t>
  </si>
  <si>
    <t>AGU001-OLT-02</t>
  </si>
  <si>
    <t>BACNOTAN</t>
  </si>
  <si>
    <t>BCU001-OLT-01</t>
  </si>
  <si>
    <t>BCU001-OLT-02</t>
  </si>
  <si>
    <t>BGC005-OLT-06</t>
  </si>
  <si>
    <t>BALAOAN</t>
  </si>
  <si>
    <t>BLU001-OLT-01</t>
  </si>
  <si>
    <t>BLU001-OLT-02</t>
  </si>
  <si>
    <t>BANGAR</t>
  </si>
  <si>
    <t>BRU001-OLT-01</t>
  </si>
  <si>
    <t>BAUANG</t>
  </si>
  <si>
    <t>BUU001-OLT-01</t>
  </si>
  <si>
    <t>BUU001-OLT-02</t>
  </si>
  <si>
    <t>CABA</t>
  </si>
  <si>
    <t>CBU001-OLT-01</t>
  </si>
  <si>
    <t>NGU001-OLT-01</t>
  </si>
  <si>
    <t>PUGO</t>
  </si>
  <si>
    <t>PGU001-OLT-01</t>
  </si>
  <si>
    <t>PGU001-OLT-02</t>
  </si>
  <si>
    <t>ROSARIO</t>
  </si>
  <si>
    <t>RSU001-OLT-01</t>
  </si>
  <si>
    <t>SAN FERNANDO CITY</t>
  </si>
  <si>
    <t>SFU001-OLT-01</t>
  </si>
  <si>
    <t>SFU001-OLT-02</t>
  </si>
  <si>
    <t>SFU001-OLT-03</t>
  </si>
  <si>
    <t>SAN JUAN</t>
  </si>
  <si>
    <t>SGU001-OLT-01</t>
  </si>
  <si>
    <t>STU001-OLT-02</t>
  </si>
  <si>
    <t>STU001-OLT-01</t>
  </si>
  <si>
    <t>TUBAO</t>
  </si>
  <si>
    <t>TBU001-OLT-01</t>
  </si>
  <si>
    <t>MOUNTAIN PROVINCE</t>
  </si>
  <si>
    <t>BOV001-OLT-01</t>
  </si>
  <si>
    <t>BOV002-OLT-01</t>
  </si>
  <si>
    <t>BONTOC</t>
  </si>
  <si>
    <t>BCV001-OLT-01</t>
  </si>
  <si>
    <t>BCV001-OLT-02</t>
  </si>
  <si>
    <t>SABANGAN</t>
  </si>
  <si>
    <t>SNV001-OLT-01</t>
  </si>
  <si>
    <t>SGV001-OLT-01</t>
  </si>
  <si>
    <t>ALIAGA</t>
  </si>
  <si>
    <t>ALN001-OLT-01</t>
  </si>
  <si>
    <t>BONGABON</t>
  </si>
  <si>
    <t>BGN001-OLT-01</t>
  </si>
  <si>
    <t>CABIAO</t>
  </si>
  <si>
    <t>CAN001-OLT-01</t>
  </si>
  <si>
    <t>CAN001-OLT-02</t>
  </si>
  <si>
    <t>CAN001-OLT-03</t>
  </si>
  <si>
    <t>CARRANGLAN</t>
  </si>
  <si>
    <t>CRN001-OLT-01</t>
  </si>
  <si>
    <t>CRN002-OLT-01</t>
  </si>
  <si>
    <t>CRN002-OLT-02</t>
  </si>
  <si>
    <t>CRN003-OLT-01</t>
  </si>
  <si>
    <t>CITY OF GAPAN</t>
  </si>
  <si>
    <t>GPN001-OLT-01</t>
  </si>
  <si>
    <t>GPN001-OLT-02</t>
  </si>
  <si>
    <t>GPN001-OLT-03</t>
  </si>
  <si>
    <t>CITY OF PALAYAN</t>
  </si>
  <si>
    <t>PLN001-OLT-01</t>
  </si>
  <si>
    <t>CUYAPO</t>
  </si>
  <si>
    <t>CYN001-OLT-01</t>
  </si>
  <si>
    <t>CYN001-OLT-02</t>
  </si>
  <si>
    <t>CYN001-OLT-03</t>
  </si>
  <si>
    <t>GABALDON</t>
  </si>
  <si>
    <t>GBN001-OLT-01</t>
  </si>
  <si>
    <t>GENERAL MAMERTO NATIVIDAD</t>
  </si>
  <si>
    <t>GMN001-OLT-01</t>
  </si>
  <si>
    <t>GUIMBA</t>
  </si>
  <si>
    <t>GUN001-OLT-01</t>
  </si>
  <si>
    <t>GUN001-OLT-02</t>
  </si>
  <si>
    <t>JAEN</t>
  </si>
  <si>
    <t>JNN001-OLT-01</t>
  </si>
  <si>
    <t>JNN001-OLT-02</t>
  </si>
  <si>
    <t>JNN002-OLT-01</t>
  </si>
  <si>
    <t>LAUR</t>
  </si>
  <si>
    <t>LRN001-OLT-01</t>
  </si>
  <si>
    <t>LLANERA</t>
  </si>
  <si>
    <t>LLN001-OLT-01</t>
  </si>
  <si>
    <t>LLN001-OLT-02</t>
  </si>
  <si>
    <t>LUPAO</t>
  </si>
  <si>
    <t>LPN001-OLT-01</t>
  </si>
  <si>
    <t>PANTABANGAN</t>
  </si>
  <si>
    <t>PTN001-OLT-01</t>
  </si>
  <si>
    <t>PTN002-OLT-01</t>
  </si>
  <si>
    <t>PEÑARANDA</t>
  </si>
  <si>
    <t>PRN001-OLT-01</t>
  </si>
  <si>
    <t>QZN001-OLT-01</t>
  </si>
  <si>
    <t>QZN001-OLT-02</t>
  </si>
  <si>
    <t>QZN001-OLT-03</t>
  </si>
  <si>
    <t>QZV001-OLT-01</t>
  </si>
  <si>
    <t>SAGUDAY</t>
  </si>
  <si>
    <t>SGQ001-OLT-01</t>
  </si>
  <si>
    <t>SGQ001-OLT-02</t>
  </si>
  <si>
    <t>SAN ANTONIO</t>
  </si>
  <si>
    <t>SAN001-OLT-01</t>
  </si>
  <si>
    <t>SAN JOSE CITY</t>
  </si>
  <si>
    <t>SJN001-OLT-01</t>
  </si>
  <si>
    <t>SJN001-OLT-02</t>
  </si>
  <si>
    <t>SJN001-OLT-03</t>
  </si>
  <si>
    <t>SJN001-OLT-04</t>
  </si>
  <si>
    <t>SAN LEONARDO</t>
  </si>
  <si>
    <t>SLN001-OLT-01</t>
  </si>
  <si>
    <t>SANTA ROSA</t>
  </si>
  <si>
    <t>SRN001-OLT-01</t>
  </si>
  <si>
    <t>SRN002-OLT-02</t>
  </si>
  <si>
    <t>SRN002-OLT-01</t>
  </si>
  <si>
    <t>SRN001-OLT-02</t>
  </si>
  <si>
    <t>SANTO DOMINGO</t>
  </si>
  <si>
    <t>SDN001-OLT-01</t>
  </si>
  <si>
    <t>SCIENCE CITY OF MUÑOZ</t>
  </si>
  <si>
    <t>MZN001-OLT-01</t>
  </si>
  <si>
    <t>MZN001-OLT-02</t>
  </si>
  <si>
    <t>MZN001-OLT-03</t>
  </si>
  <si>
    <t>TALAVERA</t>
  </si>
  <si>
    <t>TVN001-OLT-01</t>
  </si>
  <si>
    <t>TVN001-OLT-02</t>
  </si>
  <si>
    <t>TVN001-OLT-03</t>
  </si>
  <si>
    <t>TALUGTUG</t>
  </si>
  <si>
    <t>TGN001-OLT-01</t>
  </si>
  <si>
    <t>ZARAGOZA</t>
  </si>
  <si>
    <t>ZRN001-OLT-01</t>
  </si>
  <si>
    <t>ZRN001-OLT-02</t>
  </si>
  <si>
    <t>ZRN001-OLT-03</t>
  </si>
  <si>
    <t>NUEVA VIZCAYA</t>
  </si>
  <si>
    <t>ARITAO</t>
  </si>
  <si>
    <t>ARV001-OLT-01</t>
  </si>
  <si>
    <t>BAGABAG</t>
  </si>
  <si>
    <t>BGV001-OLT-01</t>
  </si>
  <si>
    <t>BGV001-OLT-02</t>
  </si>
  <si>
    <t>BAMBANG</t>
  </si>
  <si>
    <t>BMV001-OLT-01</t>
  </si>
  <si>
    <t>BMV001-OLT-02</t>
  </si>
  <si>
    <t>BAYOMBONG</t>
  </si>
  <si>
    <t>BYV001-OLT-01</t>
  </si>
  <si>
    <t>BYV001-OLT-02</t>
  </si>
  <si>
    <t>DIADI</t>
  </si>
  <si>
    <t>DDV001-OLT-01</t>
  </si>
  <si>
    <t>DDV001-OLT-02</t>
  </si>
  <si>
    <t>KASIBU</t>
  </si>
  <si>
    <t>KSV002-OLT-01</t>
  </si>
  <si>
    <t>KSV001-OLT-01</t>
  </si>
  <si>
    <t>KAYAPA</t>
  </si>
  <si>
    <t>KYV002-OLT-01</t>
  </si>
  <si>
    <t>SOLANO</t>
  </si>
  <si>
    <t>SLV001-OLT-01</t>
  </si>
  <si>
    <t>SLV001-OLT-02</t>
  </si>
  <si>
    <t>PANGASINAN</t>
  </si>
  <si>
    <t>AGNO</t>
  </si>
  <si>
    <t>AGP001-OLT-01</t>
  </si>
  <si>
    <t>AGU001-OLT-01</t>
  </si>
  <si>
    <t>ALAMINOS CITY</t>
  </si>
  <si>
    <t>ASP001-OLT-01</t>
  </si>
  <si>
    <t>ASP001-OLT-02</t>
  </si>
  <si>
    <t>ASP001-OLT-03</t>
  </si>
  <si>
    <t>ALP001-OLT-01</t>
  </si>
  <si>
    <t>ANDA</t>
  </si>
  <si>
    <t>ADP001-OLT-01</t>
  </si>
  <si>
    <t>ASINGAN</t>
  </si>
  <si>
    <t>ANP001-OLT-01</t>
  </si>
  <si>
    <t>BANI</t>
  </si>
  <si>
    <t>BNP001-OLT-01</t>
  </si>
  <si>
    <t>BNP001-OLT-02</t>
  </si>
  <si>
    <t>BNP002-OLT-01</t>
  </si>
  <si>
    <t>BAYAMBANG</t>
  </si>
  <si>
    <t>BMP001-OLT-01</t>
  </si>
  <si>
    <t>BMP001-OLT-02</t>
  </si>
  <si>
    <t>BINALONAN</t>
  </si>
  <si>
    <t>BIP001-OLT-01</t>
  </si>
  <si>
    <t>BIP001-OLT-02</t>
  </si>
  <si>
    <t>BOLINAO</t>
  </si>
  <si>
    <t>BLP001-OLT-01</t>
  </si>
  <si>
    <t>BUGALLON</t>
  </si>
  <si>
    <t>BGP001-OLT-01</t>
  </si>
  <si>
    <t>BUP001-OLT-01</t>
  </si>
  <si>
    <t>CALASIAO</t>
  </si>
  <si>
    <t>CLP001-OLT-01</t>
  </si>
  <si>
    <t>CLP001-OLT-02</t>
  </si>
  <si>
    <t>DAGUPAN CITY</t>
  </si>
  <si>
    <t>DGP001-OLT-01</t>
  </si>
  <si>
    <t>DGP001-OLT-02</t>
  </si>
  <si>
    <t>DGP001-OLT-03</t>
  </si>
  <si>
    <t>DGP002-OLT-01</t>
  </si>
  <si>
    <t>DASOL</t>
  </si>
  <si>
    <t>DSP001-OLT-01</t>
  </si>
  <si>
    <t>INFANTA</t>
  </si>
  <si>
    <t>IFP001-OLT-02</t>
  </si>
  <si>
    <t>IFP001-OLT-01</t>
  </si>
  <si>
    <t>LABRADOR</t>
  </si>
  <si>
    <t>LBP001-OLT-01</t>
  </si>
  <si>
    <t>LINGAYEN</t>
  </si>
  <si>
    <t>LNP001-OLT-01</t>
  </si>
  <si>
    <t>LNP002-OLT-01</t>
  </si>
  <si>
    <t>MABINI</t>
  </si>
  <si>
    <t>MBP001-OLT-01</t>
  </si>
  <si>
    <t>MALASIQUI</t>
  </si>
  <si>
    <t>MQP001-OLT-01</t>
  </si>
  <si>
    <t>MANAOAG</t>
  </si>
  <si>
    <t>MGP001-OLT-01</t>
  </si>
  <si>
    <t>MGP001-OLT-02</t>
  </si>
  <si>
    <t>MGP001-OLT-03</t>
  </si>
  <si>
    <t>MANGALDAN</t>
  </si>
  <si>
    <t>MDP001-OLT-01</t>
  </si>
  <si>
    <t>MDP001-OLT-02</t>
  </si>
  <si>
    <t>MANGATAREM</t>
  </si>
  <si>
    <t>MMP001-OLT-01</t>
  </si>
  <si>
    <t>MMP002-OLT-01</t>
  </si>
  <si>
    <t>POZORRUBIO</t>
  </si>
  <si>
    <t>PZP001-OLT-01</t>
  </si>
  <si>
    <t>PZP001-OLT-02</t>
  </si>
  <si>
    <t>ROSALES</t>
  </si>
  <si>
    <t>RSP001-OLT-01</t>
  </si>
  <si>
    <t>RSP001-OLT-02</t>
  </si>
  <si>
    <t>SAN CARLOS CITY</t>
  </si>
  <si>
    <t>SCP001-OLT-01</t>
  </si>
  <si>
    <t>SCP001-OLT-02</t>
  </si>
  <si>
    <t>SCP001-OLT-03</t>
  </si>
  <si>
    <t>SCP001-OLT-04</t>
  </si>
  <si>
    <t>SAN FABIAN</t>
  </si>
  <si>
    <t>SIP001-OLT-01</t>
  </si>
  <si>
    <t>SMP001-OLT-01</t>
  </si>
  <si>
    <t>SANTA BARBARA</t>
  </si>
  <si>
    <t>SBP001-OLT-01</t>
  </si>
  <si>
    <t>SBP001-OLT-02</t>
  </si>
  <si>
    <t>SRP001-OLT-01</t>
  </si>
  <si>
    <t>TAYUG</t>
  </si>
  <si>
    <t>TYP001-OLT-01</t>
  </si>
  <si>
    <t>TYP001-OLT-02</t>
  </si>
  <si>
    <t>UMINGAN</t>
  </si>
  <si>
    <t>UMP001-OLT-01</t>
  </si>
  <si>
    <t>UMP002-OLT-01</t>
  </si>
  <si>
    <t>UMP001-OLT-02</t>
  </si>
  <si>
    <t>URBIZTONDO</t>
  </si>
  <si>
    <t>UZP001-OLT-01</t>
  </si>
  <si>
    <t>UZP001-OLT-02</t>
  </si>
  <si>
    <t>URDANETA CITY</t>
  </si>
  <si>
    <t>UCP001-OLT-01</t>
  </si>
  <si>
    <t>UCP001-OLT-02</t>
  </si>
  <si>
    <t>UCP001-OLT-03</t>
  </si>
  <si>
    <t>UCP001-OLT-04</t>
  </si>
  <si>
    <t>UCP001-OLT-05</t>
  </si>
  <si>
    <t>AYQ002-OLT-01</t>
  </si>
  <si>
    <t>CABARROGUIS</t>
  </si>
  <si>
    <t>CBQ001-OLT-01</t>
  </si>
  <si>
    <t>CBQ001-OLT-02</t>
  </si>
  <si>
    <t>DIFFUN</t>
  </si>
  <si>
    <t>DFQ001-OLT-01</t>
  </si>
  <si>
    <t>MADDELA</t>
  </si>
  <si>
    <t>MDQ001-OLT-01</t>
  </si>
  <si>
    <t>NTQ001-OLT-01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</si>
</sst>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m/d/yyyy h:mm:ss"/>
    <numFmt numFmtId="166" formatCode="M/d/yyyy"/>
    <numFmt numFmtId="167" formatCode="M/d/yyyy H:mm:ss"/>
  </numFmts>
  <fonts count="19">
    <font>
      <sz val="10.0"/>
      <color rgb="FF000000"/>
      <name val="Arial"/>
      <scheme val="minor"/>
    </font>
    <font>
      <b/>
      <sz val="9.0"/>
      <color rgb="FFD9D9D9"/>
      <name val="Arial"/>
    </font>
    <font/>
    <font>
      <b/>
      <sz val="9.0"/>
      <color rgb="FFFFFFFF"/>
      <name val="Arial"/>
    </font>
    <font>
      <color theme="1"/>
      <name val="Arial"/>
      <scheme val="minor"/>
    </font>
    <font>
      <sz val="9.0"/>
      <color theme="1"/>
      <name val="Arial"/>
    </font>
    <font>
      <b/>
      <sz val="6.0"/>
      <color theme="1"/>
      <name val="Nunito"/>
    </font>
    <font>
      <b/>
      <sz val="8.0"/>
      <color theme="1"/>
      <name val="Nunito"/>
    </font>
    <font>
      <b/>
      <i/>
      <sz val="9.0"/>
      <color rgb="FF000000"/>
      <name val="Arial"/>
    </font>
    <font>
      <b/>
      <sz val="9.0"/>
      <color rgb="FF000000"/>
      <name val="Arial"/>
    </font>
    <font>
      <b/>
      <sz val="7.0"/>
      <color theme="1"/>
      <name val="Nunito"/>
    </font>
    <font>
      <sz val="7.0"/>
      <color theme="1"/>
      <name val="Arial"/>
      <scheme val="minor"/>
    </font>
    <font>
      <b/>
      <i/>
      <sz val="8.0"/>
      <color theme="1"/>
      <name val="Nunito"/>
    </font>
    <font>
      <b/>
      <sz val="8.0"/>
      <color rgb="FF000000"/>
      <name val="Nunito"/>
    </font>
    <font>
      <b/>
      <sz val="11.0"/>
      <color theme="1"/>
      <name val="Arial"/>
      <scheme val="minor"/>
    </font>
    <font>
      <b/>
      <sz val="11.0"/>
      <color theme="1"/>
      <name val="Nunito"/>
    </font>
    <font>
      <b/>
      <color theme="1"/>
      <name val="Calibri"/>
    </font>
    <font>
      <color theme="1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2229"/>
        <bgColor rgb="FF1A2229"/>
      </patternFill>
    </fill>
    <fill>
      <patternFill patternType="solid">
        <fgColor rgb="FF00828A"/>
        <bgColor rgb="FF00828A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6F5F6"/>
        <bgColor rgb="FFE6F5F6"/>
      </patternFill>
    </fill>
    <fill>
      <patternFill patternType="solid">
        <fgColor rgb="FFE6F3F3"/>
        <bgColor rgb="FFE6F3F3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D2D6DC"/>
      </left>
      <top style="thin">
        <color rgb="FFD2D6DC"/>
      </top>
      <bottom style="thin">
        <color rgb="FFD2D6DC"/>
      </bottom>
    </border>
    <border>
      <top style="thin">
        <color rgb="FFD2D6DC"/>
      </top>
      <bottom style="thin">
        <color rgb="FFD2D6DC"/>
      </bottom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D2D6DC"/>
      </right>
      <top style="thin">
        <color rgb="FFD2D6DC"/>
      </top>
      <bottom style="thin">
        <color rgb="FFD2D6D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2" fontId="1" numFmtId="0" xfId="0" applyAlignment="1" applyFont="1">
      <alignment horizontal="center" readingOrder="0"/>
    </xf>
    <xf borderId="3" fillId="3" fontId="3" numFmtId="0" xfId="0" applyAlignment="1" applyBorder="1" applyFill="1" applyFont="1">
      <alignment horizontal="left" readingOrder="0"/>
    </xf>
    <xf borderId="3" fillId="3" fontId="3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center"/>
    </xf>
    <xf borderId="0" fillId="3" fontId="3" numFmtId="0" xfId="0" applyAlignment="1" applyFont="1">
      <alignment horizontal="right" readingOrder="0"/>
    </xf>
    <xf borderId="5" fillId="0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left" readingOrder="0"/>
    </xf>
    <xf borderId="6" fillId="0" fontId="2" numFmtId="0" xfId="0" applyBorder="1" applyFont="1"/>
    <xf borderId="3" fillId="4" fontId="5" numFmtId="0" xfId="0" applyAlignment="1" applyBorder="1" applyFill="1" applyFont="1">
      <alignment horizontal="left" readingOrder="0"/>
    </xf>
    <xf borderId="7" fillId="0" fontId="2" numFmtId="0" xfId="0" applyBorder="1" applyFont="1"/>
    <xf borderId="4" fillId="5" fontId="6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4" fillId="5" fontId="6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horizontal="right"/>
    </xf>
    <xf borderId="0" fillId="4" fontId="5" numFmtId="3" xfId="0" applyAlignment="1" applyFont="1" applyNumberFormat="1">
      <alignment horizontal="right"/>
    </xf>
    <xf borderId="5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/>
    </xf>
    <xf borderId="3" fillId="4" fontId="5" numFmtId="0" xfId="0" applyAlignment="1" applyBorder="1" applyFont="1">
      <alignment horizontal="right"/>
    </xf>
    <xf borderId="4" fillId="0" fontId="4" numFmtId="0" xfId="0" applyAlignment="1" applyBorder="1" applyFont="1">
      <alignment horizontal="center" readingOrder="0" shrinkToFit="0" vertical="center" wrapText="1"/>
    </xf>
    <xf borderId="4" fillId="6" fontId="6" numFmtId="3" xfId="0" applyAlignment="1" applyBorder="1" applyFill="1" applyFont="1" applyNumberFormat="1">
      <alignment horizontal="left" readingOrder="0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3" fillId="4" fontId="5" numFmtId="3" xfId="0" applyAlignment="1" applyBorder="1" applyFont="1" applyNumberFormat="1">
      <alignment horizontal="right"/>
    </xf>
    <xf borderId="4" fillId="0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left" shrinkToFit="0" vertical="center" wrapText="1"/>
    </xf>
    <xf borderId="4" fillId="0" fontId="6" numFmtId="1" xfId="0" applyAlignment="1" applyBorder="1" applyFont="1" applyNumberFormat="1">
      <alignment horizontal="left" shrinkToFit="0" vertical="center" wrapText="1"/>
    </xf>
    <xf borderId="4" fillId="0" fontId="6" numFmtId="165" xfId="0" applyAlignment="1" applyBorder="1" applyFont="1" applyNumberFormat="1">
      <alignment horizontal="left" shrinkToFit="0" vertical="center" wrapText="1"/>
    </xf>
    <xf borderId="4" fillId="0" fontId="6" numFmtId="46" xfId="0" applyAlignment="1" applyBorder="1" applyFont="1" applyNumberFormat="1">
      <alignment horizontal="left" shrinkToFit="0" vertical="center" wrapText="1"/>
    </xf>
    <xf borderId="4" fillId="0" fontId="4" numFmtId="0" xfId="0" applyAlignment="1" applyBorder="1" applyFont="1">
      <alignment horizontal="left" shrinkToFit="0" wrapText="0"/>
    </xf>
    <xf borderId="4" fillId="7" fontId="6" numFmtId="3" xfId="0" applyAlignment="1" applyBorder="1" applyFill="1" applyFont="1" applyNumberFormat="1">
      <alignment horizontal="left" readingOrder="0" shrinkToFit="0" vertical="center" wrapText="1"/>
    </xf>
    <xf borderId="4" fillId="7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/>
    </xf>
    <xf borderId="0" fillId="4" fontId="5" numFmtId="0" xfId="0" applyAlignment="1" applyFont="1">
      <alignment horizontal="left" readingOrder="0"/>
    </xf>
    <xf borderId="3" fillId="8" fontId="8" numFmtId="0" xfId="0" applyAlignment="1" applyBorder="1" applyFill="1" applyFont="1">
      <alignment horizontal="left" readingOrder="0"/>
    </xf>
    <xf borderId="3" fillId="8" fontId="9" numFmtId="0" xfId="0" applyAlignment="1" applyBorder="1" applyFont="1">
      <alignment horizontal="right"/>
    </xf>
    <xf borderId="0" fillId="8" fontId="9" numFmtId="0" xfId="0" applyAlignment="1" applyFont="1">
      <alignment horizontal="right"/>
    </xf>
    <xf borderId="4" fillId="5" fontId="10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0" numFmtId="166" xfId="0" applyAlignment="1" applyBorder="1" applyFont="1" applyNumberFormat="1">
      <alignment horizontal="left" readingOrder="0" shrinkToFit="0" vertical="center" wrapText="1"/>
    </xf>
    <xf borderId="4" fillId="6" fontId="10" numFmtId="3" xfId="0" applyAlignment="1" applyBorder="1" applyFont="1" applyNumberFormat="1">
      <alignment horizontal="left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10" numFmtId="166" xfId="0" applyAlignment="1" applyBorder="1" applyFont="1" applyNumberFormat="1">
      <alignment horizontal="left" shrinkToFit="0" vertical="center" wrapText="1"/>
    </xf>
    <xf borderId="4" fillId="0" fontId="10" numFmtId="167" xfId="0" applyAlignment="1" applyBorder="1" applyFont="1" applyNumberFormat="1">
      <alignment horizontal="left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7" fontId="10" numFmtId="3" xfId="0" applyAlignment="1" applyBorder="1" applyFont="1" applyNumberFormat="1">
      <alignment horizontal="left" readingOrder="0" shrinkToFit="0" vertical="center" wrapText="1"/>
    </xf>
    <xf borderId="4" fillId="7" fontId="10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shrinkToFit="0" vertical="center" wrapText="0"/>
    </xf>
    <xf borderId="4" fillId="4" fontId="7" numFmtId="0" xfId="0" applyAlignment="1" applyBorder="1" applyFont="1">
      <alignment horizontal="center" readingOrder="0" vertical="bottom"/>
    </xf>
    <xf borderId="4" fillId="4" fontId="11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readingOrder="0" vertical="center"/>
    </xf>
    <xf borderId="4" fillId="0" fontId="12" numFmtId="0" xfId="0" applyAlignment="1" applyBorder="1" applyFont="1">
      <alignment horizontal="left" readingOrder="0" vertical="center"/>
    </xf>
    <xf borderId="4" fillId="9" fontId="13" numFmtId="0" xfId="0" applyAlignment="1" applyBorder="1" applyFill="1" applyFont="1">
      <alignment horizontal="left" readingOrder="0" shrinkToFit="0" vertical="center" wrapText="0"/>
    </xf>
    <xf borderId="4" fillId="0" fontId="7" numFmtId="0" xfId="0" applyAlignment="1" applyBorder="1" applyFont="1">
      <alignment horizontal="left" vertical="center"/>
    </xf>
    <xf borderId="4" fillId="9" fontId="13" numFmtId="0" xfId="0" applyAlignment="1" applyBorder="1" applyFont="1">
      <alignment horizontal="left" shrinkToFit="0" vertical="center" wrapText="0"/>
    </xf>
    <xf borderId="0" fillId="0" fontId="14" numFmtId="0" xfId="0" applyAlignment="1" applyFont="1">
      <alignment readingOrder="0"/>
    </xf>
    <xf borderId="4" fillId="10" fontId="15" numFmtId="0" xfId="0" applyAlignment="1" applyBorder="1" applyFill="1" applyFont="1">
      <alignment readingOrder="0"/>
    </xf>
    <xf borderId="4" fillId="11" fontId="15" numFmtId="0" xfId="0" applyAlignment="1" applyBorder="1" applyFill="1" applyFont="1">
      <alignment readingOrder="0"/>
    </xf>
    <xf borderId="4" fillId="5" fontId="16" numFmtId="0" xfId="0" applyBorder="1" applyFont="1"/>
    <xf borderId="4" fillId="5" fontId="17" numFmtId="0" xfId="0" applyBorder="1" applyFont="1"/>
    <xf borderId="4" fillId="5" fontId="18" numFmtId="0" xfId="0" applyBorder="1" applyFont="1"/>
    <xf borderId="4" fillId="5" fontId="16" numFmtId="0" xfId="0" applyAlignment="1" applyBorder="1" applyFont="1">
      <alignment shrinkToFit="0" wrapText="1"/>
    </xf>
    <xf borderId="0" fillId="0" fontId="4" numFmtId="0" xfId="0" applyFont="1"/>
    <xf borderId="0" fillId="0" fontId="4" numFmtId="166" xfId="0" applyFont="1" applyNumberFormat="1"/>
    <xf borderId="0" fillId="0" fontId="4" numFmtId="167" xfId="0" applyFont="1" applyNumberFormat="1"/>
    <xf borderId="0" fillId="0" fontId="4" numFmtId="165" xfId="0" applyFont="1" applyNumberFormat="1"/>
    <xf borderId="0" fillId="0" fontId="4" numFmtId="46" xfId="0" applyFont="1" applyNumberFormat="1"/>
    <xf borderId="0" fillId="5" fontId="16" numFmtId="0" xfId="0" applyAlignment="1" applyFont="1">
      <alignment readingOrder="0"/>
    </xf>
    <xf borderId="4" fillId="4" fontId="7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i/>
      </font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4">
    <tableStyle count="2" pivot="0" name="NLZ OLT Report-style">
      <tableStyleElement dxfId="1" type="firstRowStripe"/>
      <tableStyleElement dxfId="2" type="secondRowStripe"/>
    </tableStyle>
    <tableStyle count="3" pivot="0" name="LCP Tickets-style">
      <tableStyleElement dxfId="3" type="headerRow"/>
      <tableStyleElement dxfId="4" type="firstRowStripe"/>
      <tableStyleElement dxfId="5" type="secondRowStripe"/>
    </tableStyle>
    <tableStyle count="3" pivot="0" name="OLT DOWN Tickets-style">
      <tableStyleElement dxfId="3" type="headerRow"/>
      <tableStyleElement dxfId="4" type="firstRowStripe"/>
      <tableStyleElement dxfId="5" type="secondRowStripe"/>
    </tableStyle>
    <tableStyle count="3" pivot="0" name="OLT DOWN - TS MAYMAY-style">
      <tableStyleElement dxfId="7" type="headerRow"/>
      <tableStyleElement dxfId="4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C463" displayName="Table_1" name="Table_1" id="1">
  <tableColumns count="2">
    <tableColumn name="Column1" id="1"/>
    <tableColumn name="Column2" id="2"/>
  </tableColumns>
  <tableStyleInfo name="NLZ OLT Report-style" showColumnStripes="0" showFirstColumn="1" showLastColumn="1" showRowStripes="1"/>
</table>
</file>

<file path=xl/tables/table2.xml><?xml version="1.0" encoding="utf-8"?>
<table xmlns="http://schemas.openxmlformats.org/spreadsheetml/2006/main" ref="AB1:AC1000" displayName="Table_2" name="Table_2" id="2">
  <tableColumns count="2">
    <tableColumn name="NUMBER OF LCPS" id="1"/>
    <tableColumn name="NUMBER OF CLIENTS" id="2"/>
  </tableColumns>
  <tableStyleInfo name="LCP Tickets-style" showColumnStripes="0" showFirstColumn="1" showLastColumn="1" showRowStripes="1"/>
</table>
</file>

<file path=xl/tables/table3.xml><?xml version="1.0" encoding="utf-8"?>
<table xmlns="http://schemas.openxmlformats.org/spreadsheetml/2006/main" headerRowCount="0" ref="Y1:AB5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OLT DOWN Ticke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I820" displayName="Table_4" name="Table_4" id="4">
  <tableColumns count="9">
    <tableColumn name="TICKET" id="1"/>
    <tableColumn name="DESC" id="2"/>
    <tableColumn name="OLT" id="3"/>
    <tableColumn name="OLT COUNT" id="4"/>
    <tableColumn name="CLIENTS" id="5"/>
    <tableColumn name="PROVINCE" id="6"/>
    <tableColumn name="STATUS" id="7"/>
    <tableColumn name="DT-RELATION" id="8"/>
    <tableColumn name="REMARKS/ACTIVITY" id="9"/>
  </tableColumns>
  <tableStyleInfo name="OLT DOWN - TS MAYM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 outlineLevelCol="1"/>
  <cols>
    <col customWidth="1" hidden="1" min="1" max="1" width="14.13"/>
    <col customWidth="1" hidden="1" min="2" max="2" width="14.88"/>
    <col customWidth="1" hidden="1" min="3" max="3" width="11.63"/>
    <col customWidth="1" hidden="1" min="4" max="4" width="9.88"/>
    <col customWidth="1" hidden="1" min="5" max="5" width="8.63"/>
    <col customWidth="1" hidden="1" min="6" max="7" width="7.5"/>
    <col customWidth="1" min="8" max="8" width="9.13"/>
    <col customWidth="1" min="9" max="9" width="12.5"/>
    <col customWidth="1" min="10" max="10" width="9.0"/>
    <col customWidth="1" min="11" max="11" width="7.63"/>
    <col customWidth="1" min="12" max="12" width="6.75"/>
    <col customWidth="1" min="13" max="13" width="7.5"/>
  </cols>
  <sheetData>
    <row r="1">
      <c r="A1" s="1" t="s">
        <v>0</v>
      </c>
      <c r="B1" s="2"/>
      <c r="C1" s="2"/>
      <c r="D1" s="2"/>
      <c r="E1" s="2"/>
      <c r="F1" s="2"/>
      <c r="G1" s="3"/>
      <c r="H1" s="1" t="s">
        <v>0</v>
      </c>
      <c r="I1" s="2"/>
      <c r="J1" s="2"/>
      <c r="K1" s="2"/>
      <c r="L1" s="2"/>
      <c r="M1" s="2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7"/>
      <c r="H2" s="4" t="s">
        <v>1</v>
      </c>
      <c r="I2" s="4" t="s">
        <v>2</v>
      </c>
      <c r="J2" s="5" t="s">
        <v>3</v>
      </c>
      <c r="K2" s="5" t="s">
        <v>4</v>
      </c>
      <c r="L2" s="5" t="s">
        <v>5</v>
      </c>
      <c r="M2" s="5" t="s">
        <v>6</v>
      </c>
    </row>
    <row r="3">
      <c r="A3" s="9" t="s">
        <v>9</v>
      </c>
      <c r="B3" s="11" t="s">
        <v>10</v>
      </c>
      <c r="C3" s="16">
        <f>COUNTIFS('2025 NAP'!$D:$D, UPPER($B3), '2025 NAP'!$X:$X, "&lt;1")</f>
        <v>8</v>
      </c>
      <c r="D3" s="16">
        <f>COUNTIFS('2025 NAP'!$D:$D, UPPER($B3), '2025 NAP'!$X:$X, "&gt;=1", '2025 NAP'!$X:$X, "&lt;=3")</f>
        <v>1</v>
      </c>
      <c r="E3" s="16">
        <f>COUNTIFS('2025 NAP'!$D:$D, UPPER($B3), '2025 NAP'!$X:$X, "&gt;3")</f>
        <v>9</v>
      </c>
      <c r="F3" s="20">
        <f>COUNTIF('2025 NAP'!D:D,B3)</f>
        <v>18</v>
      </c>
      <c r="G3" s="16"/>
      <c r="H3" s="9" t="str">
        <f>IFERROR(__xludf.DUMMYFUNCTION("{
  SORT(FILTER(A3:F18, F3:F18 &gt; 0), 6, FALSE);
  {""TOTAL"", """", SUM(C3:C18), SUM(D3:D18), SUM(E3:E18), SUM(F3:F18)}
}"),"Cluster 1")</f>
        <v>Cluster 1</v>
      </c>
      <c r="I3" s="11" t="str">
        <f>IFERROR(__xludf.DUMMYFUNCTION("""COMPUTED_VALUE"""),"Pangasinan")</f>
        <v>Pangasinan</v>
      </c>
      <c r="J3" s="16">
        <f>IFERROR(__xludf.DUMMYFUNCTION("""COMPUTED_VALUE"""),8.0)</f>
        <v>8</v>
      </c>
      <c r="K3" s="16">
        <f>IFERROR(__xludf.DUMMYFUNCTION("""COMPUTED_VALUE"""),1.0)</f>
        <v>1</v>
      </c>
      <c r="L3" s="16">
        <f>IFERROR(__xludf.DUMMYFUNCTION("""COMPUTED_VALUE"""),9.0)</f>
        <v>9</v>
      </c>
      <c r="M3" s="20">
        <f>IFERROR(__xludf.DUMMYFUNCTION("""COMPUTED_VALUE"""),18.0)</f>
        <v>18</v>
      </c>
    </row>
    <row r="4">
      <c r="A4" s="9" t="s">
        <v>32</v>
      </c>
      <c r="B4" s="11" t="s">
        <v>34</v>
      </c>
      <c r="C4" s="16">
        <f>COUNTIFS('2025 NAP'!$D:$D, UPPER($B4), '2025 NAP'!$X:$X, "&lt;1")</f>
        <v>5</v>
      </c>
      <c r="D4" s="16">
        <f>COUNTIFS('2025 NAP'!$D:$D, UPPER($B4), '2025 NAP'!$X:$X, "&gt;=1", '2025 NAP'!$X:$X, "&lt;=3")</f>
        <v>2</v>
      </c>
      <c r="E4" s="16">
        <f>COUNTIFS('2025 NAP'!$D:$D, UPPER($B4), '2025 NAP'!$X:$X, "&gt;3")</f>
        <v>0</v>
      </c>
      <c r="F4" s="20">
        <f>COUNTIF('2025 NAP'!D:D,B4)</f>
        <v>7</v>
      </c>
      <c r="G4" s="16"/>
      <c r="H4" s="9" t="str">
        <f>IFERROR(__xludf.DUMMYFUNCTION("""COMPUTED_VALUE"""),"Cluster 3")</f>
        <v>Cluster 3</v>
      </c>
      <c r="I4" s="11" t="str">
        <f>IFERROR(__xludf.DUMMYFUNCTION("""COMPUTED_VALUE"""),"Nueva_Vizcaya")</f>
        <v>Nueva_Vizcaya</v>
      </c>
      <c r="J4" s="16">
        <f>IFERROR(__xludf.DUMMYFUNCTION("""COMPUTED_VALUE"""),1.0)</f>
        <v>1</v>
      </c>
      <c r="K4" s="16">
        <f>IFERROR(__xludf.DUMMYFUNCTION("""COMPUTED_VALUE"""),11.0)</f>
        <v>11</v>
      </c>
      <c r="L4" s="16">
        <f>IFERROR(__xludf.DUMMYFUNCTION("""COMPUTED_VALUE"""),1.0)</f>
        <v>1</v>
      </c>
      <c r="M4" s="20">
        <f>IFERROR(__xludf.DUMMYFUNCTION("""COMPUTED_VALUE"""),13.0)</f>
        <v>13</v>
      </c>
    </row>
    <row r="5">
      <c r="A5" s="9" t="s">
        <v>26</v>
      </c>
      <c r="B5" s="11" t="s">
        <v>46</v>
      </c>
      <c r="C5" s="16">
        <f>COUNTIFS('2025 NAP'!$D:$D, UPPER($B5), '2025 NAP'!$X:$X, "&lt;1")</f>
        <v>0</v>
      </c>
      <c r="D5" s="16">
        <f>COUNTIFS('2025 NAP'!$D:$D, UPPER($B5), '2025 NAP'!$X:$X, "&gt;=1", '2025 NAP'!$X:$X, "&lt;=3")</f>
        <v>0</v>
      </c>
      <c r="E5" s="16">
        <f>COUNTIFS('2025 NAP'!$D:$D, UPPER($B5), '2025 NAP'!$X:$X, "&gt;3")</f>
        <v>3</v>
      </c>
      <c r="F5" s="20">
        <f>COUNTIF('2025 NAP'!D:D,B5)</f>
        <v>3</v>
      </c>
      <c r="G5" s="16"/>
      <c r="H5" s="9" t="str">
        <f>IFERROR(__xludf.DUMMYFUNCTION("""COMPUTED_VALUE"""),"Cluster 2")</f>
        <v>Cluster 2</v>
      </c>
      <c r="I5" s="11" t="str">
        <f>IFERROR(__xludf.DUMMYFUNCTION("""COMPUTED_VALUE"""),"Ilocos_Sur")</f>
        <v>Ilocos_Sur</v>
      </c>
      <c r="J5" s="16">
        <f>IFERROR(__xludf.DUMMYFUNCTION("""COMPUTED_VALUE"""),7.0)</f>
        <v>7</v>
      </c>
      <c r="K5" s="16">
        <f>IFERROR(__xludf.DUMMYFUNCTION("""COMPUTED_VALUE"""),3.0)</f>
        <v>3</v>
      </c>
      <c r="L5" s="16">
        <f>IFERROR(__xludf.DUMMYFUNCTION("""COMPUTED_VALUE"""),0.0)</f>
        <v>0</v>
      </c>
      <c r="M5" s="20">
        <f>IFERROR(__xludf.DUMMYFUNCTION("""COMPUTED_VALUE"""),10.0)</f>
        <v>10</v>
      </c>
    </row>
    <row r="6">
      <c r="A6" s="9" t="s">
        <v>26</v>
      </c>
      <c r="B6" s="11" t="s">
        <v>49</v>
      </c>
      <c r="C6" s="16">
        <f>COUNTIFS('2025 NAP'!$D:$D, UPPER($B6), '2025 NAP'!$X:$X, "&lt;1")</f>
        <v>1</v>
      </c>
      <c r="D6" s="16">
        <f>COUNTIFS('2025 NAP'!$D:$D, UPPER($B6), '2025 NAP'!$X:$X, "&gt;=1", '2025 NAP'!$X:$X, "&lt;=3")</f>
        <v>2</v>
      </c>
      <c r="E6" s="16">
        <f>COUNTIFS('2025 NAP'!$D:$D, UPPER($B6), '2025 NAP'!$X:$X, "&gt;3")</f>
        <v>1</v>
      </c>
      <c r="F6" s="20">
        <f>COUNTIF('2025 NAP'!D:D,B6)</f>
        <v>4</v>
      </c>
      <c r="G6" s="16"/>
      <c r="H6" s="9" t="str">
        <f>IFERROR(__xludf.DUMMYFUNCTION("""COMPUTED_VALUE"""),"Cluster 3")</f>
        <v>Cluster 3</v>
      </c>
      <c r="I6" s="11" t="str">
        <f>IFERROR(__xludf.DUMMYFUNCTION("""COMPUTED_VALUE"""),"Nueva_Ecija")</f>
        <v>Nueva_Ecija</v>
      </c>
      <c r="J6" s="16">
        <f>IFERROR(__xludf.DUMMYFUNCTION("""COMPUTED_VALUE"""),5.0)</f>
        <v>5</v>
      </c>
      <c r="K6" s="16">
        <f>IFERROR(__xludf.DUMMYFUNCTION("""COMPUTED_VALUE"""),2.0)</f>
        <v>2</v>
      </c>
      <c r="L6" s="16">
        <f>IFERROR(__xludf.DUMMYFUNCTION("""COMPUTED_VALUE"""),0.0)</f>
        <v>0</v>
      </c>
      <c r="M6" s="20">
        <f>IFERROR(__xludf.DUMMYFUNCTION("""COMPUTED_VALUE"""),7.0)</f>
        <v>7</v>
      </c>
    </row>
    <row r="7">
      <c r="A7" s="9" t="s">
        <v>26</v>
      </c>
      <c r="B7" s="11" t="s">
        <v>27</v>
      </c>
      <c r="C7" s="16">
        <f>COUNTIFS('2025 NAP'!$D:$D, UPPER($B7), '2025 NAP'!$X:$X, "&lt;1")</f>
        <v>0</v>
      </c>
      <c r="D7" s="16">
        <f>COUNTIFS('2025 NAP'!$D:$D, UPPER($B7), '2025 NAP'!$X:$X, "&gt;=1", '2025 NAP'!$X:$X, "&lt;=3")</f>
        <v>0</v>
      </c>
      <c r="E7" s="16">
        <f>COUNTIFS('2025 NAP'!$D:$D, UPPER($B7), '2025 NAP'!$X:$X, "&gt;3")</f>
        <v>0</v>
      </c>
      <c r="F7" s="20">
        <f>COUNTIF('2025 NAP'!D:D,B7)</f>
        <v>0</v>
      </c>
      <c r="G7" s="16"/>
      <c r="H7" s="9" t="str">
        <f>IFERROR(__xludf.DUMMYFUNCTION("""COMPUTED_VALUE"""),"Cluster 2")</f>
        <v>Cluster 2</v>
      </c>
      <c r="I7" s="11" t="str">
        <f>IFERROR(__xludf.DUMMYFUNCTION("""COMPUTED_VALUE"""),"Ilocos_Norte")</f>
        <v>Ilocos_Norte</v>
      </c>
      <c r="J7" s="16">
        <f>IFERROR(__xludf.DUMMYFUNCTION("""COMPUTED_VALUE"""),5.0)</f>
        <v>5</v>
      </c>
      <c r="K7" s="16">
        <f>IFERROR(__xludf.DUMMYFUNCTION("""COMPUTED_VALUE"""),0.0)</f>
        <v>0</v>
      </c>
      <c r="L7" s="16">
        <f>IFERROR(__xludf.DUMMYFUNCTION("""COMPUTED_VALUE"""),0.0)</f>
        <v>0</v>
      </c>
      <c r="M7" s="20">
        <f>IFERROR(__xludf.DUMMYFUNCTION("""COMPUTED_VALUE"""),5.0)</f>
        <v>5</v>
      </c>
    </row>
    <row r="8">
      <c r="A8" s="9" t="s">
        <v>26</v>
      </c>
      <c r="B8" s="11" t="s">
        <v>51</v>
      </c>
      <c r="C8" s="16">
        <f>COUNTIFS('2025 NAP'!$D:$D, UPPER($B8), '2025 NAP'!$X:$X, "&lt;1")</f>
        <v>5</v>
      </c>
      <c r="D8" s="16">
        <f>COUNTIFS('2025 NAP'!$D:$D, UPPER($B8), '2025 NAP'!$X:$X, "&gt;=1", '2025 NAP'!$X:$X, "&lt;=3")</f>
        <v>0</v>
      </c>
      <c r="E8" s="16">
        <f>COUNTIFS('2025 NAP'!$D:$D, UPPER($B8), '2025 NAP'!$X:$X, "&gt;3")</f>
        <v>0</v>
      </c>
      <c r="F8" s="20">
        <f>COUNTIF('2025 NAP'!D:D,B8)</f>
        <v>5</v>
      </c>
      <c r="G8" s="16"/>
      <c r="H8" s="9" t="str">
        <f>IFERROR(__xludf.DUMMYFUNCTION("""COMPUTED_VALUE"""),"Cluster 3")</f>
        <v>Cluster 3</v>
      </c>
      <c r="I8" s="11" t="str">
        <f>IFERROR(__xludf.DUMMYFUNCTION("""COMPUTED_VALUE"""),"Cagayan")</f>
        <v>Cagayan</v>
      </c>
      <c r="J8" s="16">
        <f>IFERROR(__xludf.DUMMYFUNCTION("""COMPUTED_VALUE"""),4.0)</f>
        <v>4</v>
      </c>
      <c r="K8" s="16">
        <f>IFERROR(__xludf.DUMMYFUNCTION("""COMPUTED_VALUE"""),0.0)</f>
        <v>0</v>
      </c>
      <c r="L8" s="16">
        <f>IFERROR(__xludf.DUMMYFUNCTION("""COMPUTED_VALUE"""),1.0)</f>
        <v>1</v>
      </c>
      <c r="M8" s="20">
        <f>IFERROR(__xludf.DUMMYFUNCTION("""COMPUTED_VALUE"""),5.0)</f>
        <v>5</v>
      </c>
    </row>
    <row r="9">
      <c r="A9" s="9" t="s">
        <v>26</v>
      </c>
      <c r="B9" s="11" t="s">
        <v>55</v>
      </c>
      <c r="C9" s="16">
        <f>COUNTIFS('2025 NAP'!$D:$D, UPPER($B9), '2025 NAP'!$X:$X, "&lt;1")</f>
        <v>0</v>
      </c>
      <c r="D9" s="16">
        <f>COUNTIFS('2025 NAP'!$D:$D, UPPER($B9), '2025 NAP'!$X:$X, "&gt;=1", '2025 NAP'!$X:$X, "&lt;=3")</f>
        <v>0</v>
      </c>
      <c r="E9" s="16">
        <f>COUNTIFS('2025 NAP'!$D:$D, UPPER($B9), '2025 NAP'!$X:$X, "&gt;3")</f>
        <v>0</v>
      </c>
      <c r="F9" s="20">
        <f>COUNTIF('2025 NAP'!D:D,B9)</f>
        <v>0</v>
      </c>
      <c r="G9" s="16"/>
      <c r="H9" s="9" t="str">
        <f>IFERROR(__xludf.DUMMYFUNCTION("""COMPUTED_VALUE"""),"Cluster 2")</f>
        <v>Cluster 2</v>
      </c>
      <c r="I9" s="11" t="str">
        <f>IFERROR(__xludf.DUMMYFUNCTION("""COMPUTED_VALUE"""),"La_Union")</f>
        <v>La_Union</v>
      </c>
      <c r="J9" s="16">
        <f>IFERROR(__xludf.DUMMYFUNCTION("""COMPUTED_VALUE"""),1.0)</f>
        <v>1</v>
      </c>
      <c r="K9" s="16">
        <f>IFERROR(__xludf.DUMMYFUNCTION("""COMPUTED_VALUE"""),2.0)</f>
        <v>2</v>
      </c>
      <c r="L9" s="16">
        <f>IFERROR(__xludf.DUMMYFUNCTION("""COMPUTED_VALUE"""),1.0)</f>
        <v>1</v>
      </c>
      <c r="M9" s="20">
        <f>IFERROR(__xludf.DUMMYFUNCTION("""COMPUTED_VALUE"""),4.0)</f>
        <v>4</v>
      </c>
    </row>
    <row r="10">
      <c r="A10" s="9" t="s">
        <v>32</v>
      </c>
      <c r="B10" s="11" t="s">
        <v>57</v>
      </c>
      <c r="C10" s="16">
        <f>COUNTIFS('2025 NAP'!$D:$D, UPPER($B10), '2025 NAP'!$X:$X, "&lt;1")</f>
        <v>1</v>
      </c>
      <c r="D10" s="16">
        <f>COUNTIFS('2025 NAP'!$D:$D, UPPER($B10), '2025 NAP'!$X:$X, "&gt;=1", '2025 NAP'!$X:$X, "&lt;=3")</f>
        <v>11</v>
      </c>
      <c r="E10" s="16">
        <f>COUNTIFS('2025 NAP'!$D:$D, UPPER($B10), '2025 NAP'!$X:$X, "&gt;3")</f>
        <v>1</v>
      </c>
      <c r="F10" s="20">
        <f>COUNTIF('2025 NAP'!D:D,B10)</f>
        <v>13</v>
      </c>
      <c r="G10" s="16"/>
      <c r="H10" s="9" t="str">
        <f>IFERROR(__xludf.DUMMYFUNCTION("""COMPUTED_VALUE"""),"Cluster 3")</f>
        <v>Cluster 3</v>
      </c>
      <c r="I10" s="11" t="str">
        <f>IFERROR(__xludf.DUMMYFUNCTION("""COMPUTED_VALUE"""),"Isabela")</f>
        <v>Isabela</v>
      </c>
      <c r="J10" s="16">
        <f>IFERROR(__xludf.DUMMYFUNCTION("""COMPUTED_VALUE"""),0.0)</f>
        <v>0</v>
      </c>
      <c r="K10" s="16">
        <f>IFERROR(__xludf.DUMMYFUNCTION("""COMPUTED_VALUE"""),4.0)</f>
        <v>4</v>
      </c>
      <c r="L10" s="16">
        <f>IFERROR(__xludf.DUMMYFUNCTION("""COMPUTED_VALUE"""),0.0)</f>
        <v>0</v>
      </c>
      <c r="M10" s="20">
        <f>IFERROR(__xludf.DUMMYFUNCTION("""COMPUTED_VALUE"""),4.0)</f>
        <v>4</v>
      </c>
    </row>
    <row r="11">
      <c r="A11" s="9" t="s">
        <v>32</v>
      </c>
      <c r="B11" s="11" t="s">
        <v>50</v>
      </c>
      <c r="C11" s="16">
        <f>COUNTIFS('2025 NAP'!$D:$D, UPPER($B11), '2025 NAP'!$X:$X, "&lt;1")</f>
        <v>4</v>
      </c>
      <c r="D11" s="16">
        <f>COUNTIFS('2025 NAP'!$D:$D, UPPER($B11), '2025 NAP'!$X:$X, "&gt;=1", '2025 NAP'!$X:$X, "&lt;=3")</f>
        <v>0</v>
      </c>
      <c r="E11" s="16">
        <f>COUNTIFS('2025 NAP'!$D:$D, UPPER($B11), '2025 NAP'!$X:$X, "&gt;3")</f>
        <v>1</v>
      </c>
      <c r="F11" s="20">
        <f>COUNTIF('2025 NAP'!D:D,B11)</f>
        <v>5</v>
      </c>
      <c r="G11" s="16"/>
      <c r="H11" s="9" t="str">
        <f>IFERROR(__xludf.DUMMYFUNCTION("""COMPUTED_VALUE"""),"Cluster 2")</f>
        <v>Cluster 2</v>
      </c>
      <c r="I11" s="11" t="str">
        <f>IFERROR(__xludf.DUMMYFUNCTION("""COMPUTED_VALUE"""),"Benguet")</f>
        <v>Benguet</v>
      </c>
      <c r="J11" s="16">
        <f>IFERROR(__xludf.DUMMYFUNCTION("""COMPUTED_VALUE"""),0.0)</f>
        <v>0</v>
      </c>
      <c r="K11" s="16">
        <f>IFERROR(__xludf.DUMMYFUNCTION("""COMPUTED_VALUE"""),0.0)</f>
        <v>0</v>
      </c>
      <c r="L11" s="16">
        <f>IFERROR(__xludf.DUMMYFUNCTION("""COMPUTED_VALUE"""),3.0)</f>
        <v>3</v>
      </c>
      <c r="M11" s="20">
        <f>IFERROR(__xludf.DUMMYFUNCTION("""COMPUTED_VALUE"""),3.0)</f>
        <v>3</v>
      </c>
    </row>
    <row r="12">
      <c r="A12" s="9" t="s">
        <v>26</v>
      </c>
      <c r="B12" s="11" t="s">
        <v>56</v>
      </c>
      <c r="C12" s="16">
        <f>COUNTIFS('2025 NAP'!$D:$D, UPPER($B12), '2025 NAP'!$X:$X, "&lt;1")</f>
        <v>7</v>
      </c>
      <c r="D12" s="16">
        <f>COUNTIFS('2025 NAP'!$D:$D, UPPER($B12), '2025 NAP'!$X:$X, "&gt;=1", '2025 NAP'!$X:$X, "&lt;=3")</f>
        <v>3</v>
      </c>
      <c r="E12" s="16">
        <f>COUNTIFS('2025 NAP'!$D:$D, UPPER($B12), '2025 NAP'!$X:$X, "&gt;3")</f>
        <v>0</v>
      </c>
      <c r="F12" s="20">
        <f>COUNTIF('2025 NAP'!D:D,B12)</f>
        <v>10</v>
      </c>
      <c r="G12" s="16"/>
      <c r="H12" s="9" t="str">
        <f>IFERROR(__xludf.DUMMYFUNCTION("""COMPUTED_VALUE"""),"Cluster 3")</f>
        <v>Cluster 3</v>
      </c>
      <c r="I12" s="11" t="str">
        <f>IFERROR(__xludf.DUMMYFUNCTION("""COMPUTED_VALUE"""),"Apayao")</f>
        <v>Apayao</v>
      </c>
      <c r="J12" s="16">
        <f>IFERROR(__xludf.DUMMYFUNCTION("""COMPUTED_VALUE"""),1.0)</f>
        <v>1</v>
      </c>
      <c r="K12" s="16">
        <f>IFERROR(__xludf.DUMMYFUNCTION("""COMPUTED_VALUE"""),0.0)</f>
        <v>0</v>
      </c>
      <c r="L12" s="16">
        <f>IFERROR(__xludf.DUMMYFUNCTION("""COMPUTED_VALUE"""),0.0)</f>
        <v>0</v>
      </c>
      <c r="M12" s="20">
        <f>IFERROR(__xludf.DUMMYFUNCTION("""COMPUTED_VALUE"""),1.0)</f>
        <v>1</v>
      </c>
    </row>
    <row r="13">
      <c r="A13" s="9" t="s">
        <v>32</v>
      </c>
      <c r="B13" s="11" t="s">
        <v>58</v>
      </c>
      <c r="C13" s="16">
        <f>COUNTIFS('2025 NAP'!$D:$D, UPPER($B13), '2025 NAP'!$X:$X, "&lt;1")</f>
        <v>0</v>
      </c>
      <c r="D13" s="16">
        <f>COUNTIFS('2025 NAP'!$D:$D, UPPER($B13), '2025 NAP'!$X:$X, "&gt;=1", '2025 NAP'!$X:$X, "&lt;=3")</f>
        <v>4</v>
      </c>
      <c r="E13" s="16">
        <f>COUNTIFS('2025 NAP'!$D:$D, UPPER($B13), '2025 NAP'!$X:$X, "&gt;3")</f>
        <v>0</v>
      </c>
      <c r="F13" s="20">
        <f>COUNTIF('2025 NAP'!D:D,B13)</f>
        <v>4</v>
      </c>
      <c r="G13" s="16"/>
      <c r="H13" s="9" t="str">
        <f>IFERROR(__xludf.DUMMYFUNCTION("""COMPUTED_VALUE"""),"Cluster 3")</f>
        <v>Cluster 3</v>
      </c>
      <c r="I13" s="11" t="str">
        <f>IFERROR(__xludf.DUMMYFUNCTION("""COMPUTED_VALUE"""),"Ifugao")</f>
        <v>Ifugao</v>
      </c>
      <c r="J13" s="16">
        <f>IFERROR(__xludf.DUMMYFUNCTION("""COMPUTED_VALUE"""),0.0)</f>
        <v>0</v>
      </c>
      <c r="K13" s="16">
        <f>IFERROR(__xludf.DUMMYFUNCTION("""COMPUTED_VALUE"""),1.0)</f>
        <v>1</v>
      </c>
      <c r="L13" s="16">
        <f>IFERROR(__xludf.DUMMYFUNCTION("""COMPUTED_VALUE"""),0.0)</f>
        <v>0</v>
      </c>
      <c r="M13" s="20">
        <f>IFERROR(__xludf.DUMMYFUNCTION("""COMPUTED_VALUE"""),1.0)</f>
        <v>1</v>
      </c>
    </row>
    <row r="14">
      <c r="A14" s="9" t="s">
        <v>32</v>
      </c>
      <c r="B14" s="11" t="s">
        <v>47</v>
      </c>
      <c r="C14" s="16">
        <f>COUNTIFS('2025 NAP'!$D:$D, UPPER($B14), '2025 NAP'!$X:$X, "&lt;1")</f>
        <v>1</v>
      </c>
      <c r="D14" s="16">
        <f>COUNTIFS('2025 NAP'!$D:$D, UPPER($B14), '2025 NAP'!$X:$X, "&gt;=1", '2025 NAP'!$X:$X, "&lt;=3")</f>
        <v>0</v>
      </c>
      <c r="E14" s="16">
        <f>COUNTIFS('2025 NAP'!$D:$D, UPPER($B14), '2025 NAP'!$X:$X, "&gt;3")</f>
        <v>0</v>
      </c>
      <c r="F14" s="20">
        <f>COUNTIF('2025 NAP'!D:D,B14)</f>
        <v>1</v>
      </c>
      <c r="G14" s="16"/>
      <c r="H14" s="9" t="str">
        <f>IFERROR(__xludf.DUMMYFUNCTION("""COMPUTED_VALUE"""),"TOTAL")</f>
        <v>TOTAL</v>
      </c>
      <c r="I14" s="11" t="str">
        <f>IFERROR(__xludf.DUMMYFUNCTION("""COMPUTED_VALUE"""),"")</f>
        <v/>
      </c>
      <c r="J14" s="16">
        <f>IFERROR(__xludf.DUMMYFUNCTION("""COMPUTED_VALUE"""),32.0)</f>
        <v>32</v>
      </c>
      <c r="K14" s="16">
        <f>IFERROR(__xludf.DUMMYFUNCTION("""COMPUTED_VALUE"""),24.0)</f>
        <v>24</v>
      </c>
      <c r="L14" s="16">
        <f>IFERROR(__xludf.DUMMYFUNCTION("""COMPUTED_VALUE"""),15.0)</f>
        <v>15</v>
      </c>
      <c r="M14" s="20">
        <f>IFERROR(__xludf.DUMMYFUNCTION("""COMPUTED_VALUE"""),71.0)</f>
        <v>71</v>
      </c>
    </row>
    <row r="15">
      <c r="A15" s="9" t="s">
        <v>32</v>
      </c>
      <c r="B15" s="11" t="s">
        <v>52</v>
      </c>
      <c r="C15" s="16">
        <f>COUNTIFS('2025 NAP'!$D:$D, UPPER($B15), '2025 NAP'!$X:$X, "&lt;1")</f>
        <v>0</v>
      </c>
      <c r="D15" s="16">
        <f>COUNTIFS('2025 NAP'!$D:$D, UPPER($B15), '2025 NAP'!$X:$X, "&gt;=1", '2025 NAP'!$X:$X, "&lt;=3")</f>
        <v>1</v>
      </c>
      <c r="E15" s="16">
        <f>COUNTIFS('2025 NAP'!$D:$D, UPPER($B15), '2025 NAP'!$X:$X, "&gt;3")</f>
        <v>0</v>
      </c>
      <c r="F15" s="20">
        <f>COUNTIF('2025 NAP'!D:D,B15)</f>
        <v>1</v>
      </c>
      <c r="G15" s="16"/>
      <c r="H15" s="9"/>
      <c r="I15" s="11"/>
      <c r="J15" s="16"/>
      <c r="K15" s="16"/>
      <c r="L15" s="16"/>
      <c r="M15" s="20"/>
    </row>
    <row r="16">
      <c r="A16" s="9" t="s">
        <v>32</v>
      </c>
      <c r="B16" s="11" t="s">
        <v>48</v>
      </c>
      <c r="C16" s="16">
        <f>COUNTIFS('2025 NAP'!$D:$D, UPPER($B16), '2025 NAP'!$X:$X, "&lt;1")</f>
        <v>0</v>
      </c>
      <c r="D16" s="16">
        <f>COUNTIFS('2025 NAP'!$D:$D, UPPER($B16), '2025 NAP'!$X:$X, "&gt;=1", '2025 NAP'!$X:$X, "&lt;=3")</f>
        <v>0</v>
      </c>
      <c r="E16" s="16">
        <f>COUNTIFS('2025 NAP'!$D:$D, UPPER($B16), '2025 NAP'!$X:$X, "&gt;3")</f>
        <v>0</v>
      </c>
      <c r="F16" s="20">
        <f>COUNTIF('2025 NAP'!D:D,B16)</f>
        <v>0</v>
      </c>
      <c r="G16" s="16"/>
      <c r="H16" s="9"/>
      <c r="I16" s="11"/>
      <c r="J16" s="16"/>
      <c r="K16" s="16"/>
      <c r="L16" s="16"/>
      <c r="M16" s="20"/>
    </row>
    <row r="17">
      <c r="A17" s="9" t="s">
        <v>32</v>
      </c>
      <c r="B17" s="11" t="s">
        <v>65</v>
      </c>
      <c r="C17" s="16">
        <f>COUNTIFS('2025 NAP'!$D:$D, UPPER($B17), '2025 NAP'!$X:$X, "&lt;1")</f>
        <v>0</v>
      </c>
      <c r="D17" s="16">
        <f>COUNTIFS('2025 NAP'!$D:$D, UPPER($B17), '2025 NAP'!$X:$X, "&gt;=1", '2025 NAP'!$X:$X, "&lt;=3")</f>
        <v>0</v>
      </c>
      <c r="E17" s="16">
        <f>COUNTIFS('2025 NAP'!$D:$D, UPPER($B17), '2025 NAP'!$X:$X, "&gt;3")</f>
        <v>0</v>
      </c>
      <c r="F17" s="20">
        <f>COUNTIF('2025 NAP'!D:D,B17)</f>
        <v>0</v>
      </c>
      <c r="G17" s="16"/>
      <c r="H17" s="9"/>
      <c r="I17" s="11"/>
      <c r="J17" s="16"/>
      <c r="K17" s="16"/>
      <c r="L17" s="16"/>
      <c r="M17" s="20"/>
    </row>
    <row r="18">
      <c r="A18" s="9" t="s">
        <v>32</v>
      </c>
      <c r="B18" s="11" t="s">
        <v>61</v>
      </c>
      <c r="C18" s="16">
        <f>COUNTIFS('2025 NAP'!$D:$D, UPPER($B18), '2025 NAP'!$X:$X, "&lt;1")</f>
        <v>0</v>
      </c>
      <c r="D18" s="16">
        <f>COUNTIFS('2025 NAP'!$D:$D, UPPER($B18), '2025 NAP'!$X:$X, "&gt;=1", '2025 NAP'!$X:$X, "&lt;=3")</f>
        <v>0</v>
      </c>
      <c r="E18" s="16">
        <f>COUNTIFS('2025 NAP'!$D:$D, UPPER($B18), '2025 NAP'!$X:$X, "&gt;3")</f>
        <v>0</v>
      </c>
      <c r="F18" s="20">
        <f>COUNTIF('2025 NAP'!D:D,B18)</f>
        <v>0</v>
      </c>
      <c r="G18" s="16"/>
      <c r="H18" s="9"/>
      <c r="I18" s="11"/>
      <c r="J18" s="16"/>
      <c r="K18" s="16"/>
      <c r="L18" s="16"/>
      <c r="M18" s="20"/>
    </row>
    <row r="19">
      <c r="A19" s="38"/>
      <c r="B19" s="38" t="s">
        <v>6</v>
      </c>
      <c r="C19" s="39">
        <f t="shared" ref="C19:F19" si="1">SUM(C3:C18)</f>
        <v>32</v>
      </c>
      <c r="D19" s="39">
        <f t="shared" si="1"/>
        <v>24</v>
      </c>
      <c r="E19" s="39">
        <f t="shared" si="1"/>
        <v>15</v>
      </c>
      <c r="F19" s="39">
        <f t="shared" si="1"/>
        <v>71</v>
      </c>
      <c r="G19" s="40"/>
      <c r="H19" s="9"/>
      <c r="I19" s="11"/>
      <c r="J19" s="16"/>
      <c r="K19" s="16"/>
      <c r="L19" s="16"/>
      <c r="M19" s="20"/>
    </row>
  </sheetData>
  <mergeCells count="2">
    <mergeCell ref="A1:F1"/>
    <mergeCell ref="H1:M1"/>
  </mergeCells>
  <conditionalFormatting sqref="H3:M19">
    <cfRule type="expression" dxfId="6" priority="1">
      <formula>$H3="TOTAL"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 outlineLevelCol="1"/>
  <cols>
    <col customWidth="1" hidden="1" min="1" max="1" width="12.75"/>
    <col customWidth="1" hidden="1" min="2" max="2" width="13.75"/>
    <col customWidth="1" hidden="1" min="3" max="3" width="12.75"/>
    <col customWidth="1" hidden="1" min="4" max="4" width="14.25"/>
    <col customWidth="1" hidden="1" min="5" max="6" width="11.38"/>
    <col customWidth="1" min="7" max="8" width="9.38"/>
    <col customWidth="1" min="9" max="9" width="8.63"/>
    <col customWidth="1" min="10" max="10" width="9.75"/>
    <col customWidth="1" min="11" max="11" width="7.38"/>
    <col customWidth="1" min="12" max="12" width="5.88"/>
  </cols>
  <sheetData>
    <row r="1">
      <c r="A1" s="1" t="s">
        <v>7</v>
      </c>
      <c r="B1" s="2"/>
      <c r="C1" s="2"/>
      <c r="D1" s="2"/>
      <c r="E1" s="12"/>
      <c r="F1" s="3"/>
      <c r="G1" s="1" t="s">
        <v>7</v>
      </c>
      <c r="H1" s="2"/>
      <c r="I1" s="2"/>
      <c r="J1" s="2"/>
      <c r="K1" s="12"/>
      <c r="L1" s="17"/>
    </row>
    <row r="2" ht="17.25" customHeight="1">
      <c r="A2" s="4" t="s">
        <v>1</v>
      </c>
      <c r="B2" s="4" t="s">
        <v>2</v>
      </c>
      <c r="C2" s="5" t="s">
        <v>16</v>
      </c>
      <c r="D2" s="5" t="s">
        <v>18</v>
      </c>
      <c r="E2" s="5" t="s">
        <v>19</v>
      </c>
      <c r="F2" s="7"/>
      <c r="G2" s="4" t="s">
        <v>1</v>
      </c>
      <c r="H2" s="4" t="s">
        <v>2</v>
      </c>
      <c r="I2" s="5" t="s">
        <v>16</v>
      </c>
      <c r="J2" s="5" t="s">
        <v>18</v>
      </c>
      <c r="K2" s="5" t="s">
        <v>19</v>
      </c>
      <c r="L2" s="17"/>
    </row>
    <row r="3">
      <c r="A3" s="9" t="s">
        <v>26</v>
      </c>
      <c r="B3" s="11" t="s">
        <v>27</v>
      </c>
      <c r="C3" s="20">
        <f>COUNTIF('LCP Tickets'!D:D,B3)</f>
        <v>0</v>
      </c>
      <c r="D3" s="20">
        <f>SUMIF('LCP Tickets'!$D:$D, B3, 'LCP Tickets'!$AB:$AB)</f>
        <v>0</v>
      </c>
      <c r="E3" s="24">
        <f>SUMIF('LCP Tickets'!$D:$D, B3, 'LCP Tickets'!$AC:$AC)</f>
        <v>0</v>
      </c>
      <c r="F3" s="17"/>
      <c r="G3" s="9" t="str">
        <f>IFERROR(__xludf.DUMMYFUNCTION("{
  SORT(FILTER(A3:E18, E3:E18 &gt; 0), 5, FALSE);
  {""TOTAL"", """", SUM(C3:C18), SUM(D3:D18), SUM(E3:E18)}
}"),"Cluster 1")</f>
        <v>Cluster 1</v>
      </c>
      <c r="H3" s="11" t="str">
        <f>IFERROR(__xludf.DUMMYFUNCTION("""COMPUTED_VALUE"""),"Pangasinan")</f>
        <v>Pangasinan</v>
      </c>
      <c r="I3" s="20">
        <f>IFERROR(__xludf.DUMMYFUNCTION("""COMPUTED_VALUE"""),2.0)</f>
        <v>2</v>
      </c>
      <c r="J3" s="20">
        <f>IFERROR(__xludf.DUMMYFUNCTION("""COMPUTED_VALUE"""),12.0)</f>
        <v>12</v>
      </c>
      <c r="K3" s="24">
        <f>IFERROR(__xludf.DUMMYFUNCTION("""COMPUTED_VALUE"""),498.0)</f>
        <v>498</v>
      </c>
      <c r="L3" s="17"/>
    </row>
    <row r="4">
      <c r="A4" s="9" t="s">
        <v>32</v>
      </c>
      <c r="B4" s="11" t="s">
        <v>47</v>
      </c>
      <c r="C4" s="20">
        <f>COUNTIF('LCP Tickets'!D:D,B4)</f>
        <v>0</v>
      </c>
      <c r="D4" s="20">
        <f>SUMIF('LCP Tickets'!$D:$D, B4, 'LCP Tickets'!$AB:$AB)</f>
        <v>0</v>
      </c>
      <c r="E4" s="24">
        <f>SUMIF('LCP Tickets'!$D:$D, B4, 'LCP Tickets'!$AC:$AC)</f>
        <v>0</v>
      </c>
      <c r="F4" s="17"/>
      <c r="G4" s="9" t="str">
        <f>IFERROR(__xludf.DUMMYFUNCTION("""COMPUTED_VALUE"""),"Cluster 3")</f>
        <v>Cluster 3</v>
      </c>
      <c r="H4" s="11" t="str">
        <f>IFERROR(__xludf.DUMMYFUNCTION("""COMPUTED_VALUE"""),"Nueva_Vizcaya")</f>
        <v>Nueva_Vizcaya</v>
      </c>
      <c r="I4" s="20">
        <f>IFERROR(__xludf.DUMMYFUNCTION("""COMPUTED_VALUE"""),1.0)</f>
        <v>1</v>
      </c>
      <c r="J4" s="20">
        <f>IFERROR(__xludf.DUMMYFUNCTION("""COMPUTED_VALUE"""),12.0)</f>
        <v>12</v>
      </c>
      <c r="K4" s="24">
        <f>IFERROR(__xludf.DUMMYFUNCTION("""COMPUTED_VALUE"""),245.0)</f>
        <v>245</v>
      </c>
      <c r="L4" s="17"/>
    </row>
    <row r="5">
      <c r="A5" s="9" t="s">
        <v>32</v>
      </c>
      <c r="B5" s="11" t="s">
        <v>48</v>
      </c>
      <c r="C5" s="20">
        <f>COUNTIF('LCP Tickets'!D:D,B5)</f>
        <v>0</v>
      </c>
      <c r="D5" s="20">
        <f>SUMIF('LCP Tickets'!$D:$D, B5, 'LCP Tickets'!$AB:$AB)</f>
        <v>0</v>
      </c>
      <c r="E5" s="24">
        <f>SUMIF('LCP Tickets'!$D:$D, B5, 'LCP Tickets'!$AC:$AC)</f>
        <v>0</v>
      </c>
      <c r="F5" s="17"/>
      <c r="G5" s="9" t="str">
        <f>IFERROR(__xludf.DUMMYFUNCTION("""COMPUTED_VALUE"""),"Cluster 2")</f>
        <v>Cluster 2</v>
      </c>
      <c r="H5" s="11" t="str">
        <f>IFERROR(__xludf.DUMMYFUNCTION("""COMPUTED_VALUE"""),"Ilocos_Norte")</f>
        <v>Ilocos_Norte</v>
      </c>
      <c r="I5" s="20">
        <f>IFERROR(__xludf.DUMMYFUNCTION("""COMPUTED_VALUE"""),3.0)</f>
        <v>3</v>
      </c>
      <c r="J5" s="20">
        <f>IFERROR(__xludf.DUMMYFUNCTION("""COMPUTED_VALUE"""),5.0)</f>
        <v>5</v>
      </c>
      <c r="K5" s="24">
        <f>IFERROR(__xludf.DUMMYFUNCTION("""COMPUTED_VALUE"""),88.0)</f>
        <v>88</v>
      </c>
      <c r="L5" s="17"/>
    </row>
    <row r="6">
      <c r="A6" s="9" t="s">
        <v>26</v>
      </c>
      <c r="B6" s="11" t="s">
        <v>46</v>
      </c>
      <c r="C6" s="20">
        <f>COUNTIF('LCP Tickets'!D:D,B6)</f>
        <v>4</v>
      </c>
      <c r="D6" s="20">
        <f>SUMIF('LCP Tickets'!$D:$D, B6, 'LCP Tickets'!$AB:$AB)</f>
        <v>5</v>
      </c>
      <c r="E6" s="24">
        <f>SUMIF('LCP Tickets'!$D:$D, B6, 'LCP Tickets'!$AC:$AC)</f>
        <v>21</v>
      </c>
      <c r="F6" s="17"/>
      <c r="G6" s="9" t="str">
        <f>IFERROR(__xludf.DUMMYFUNCTION("""COMPUTED_VALUE"""),"Cluster 2")</f>
        <v>Cluster 2</v>
      </c>
      <c r="H6" s="11" t="str">
        <f>IFERROR(__xludf.DUMMYFUNCTION("""COMPUTED_VALUE"""),"Benguet")</f>
        <v>Benguet</v>
      </c>
      <c r="I6" s="20">
        <f>IFERROR(__xludf.DUMMYFUNCTION("""COMPUTED_VALUE"""),4.0)</f>
        <v>4</v>
      </c>
      <c r="J6" s="20">
        <f>IFERROR(__xludf.DUMMYFUNCTION("""COMPUTED_VALUE"""),5.0)</f>
        <v>5</v>
      </c>
      <c r="K6" s="24">
        <f>IFERROR(__xludf.DUMMYFUNCTION("""COMPUTED_VALUE"""),21.0)</f>
        <v>21</v>
      </c>
      <c r="L6" s="17"/>
    </row>
    <row r="7">
      <c r="A7" s="9" t="s">
        <v>32</v>
      </c>
      <c r="B7" s="11" t="s">
        <v>50</v>
      </c>
      <c r="C7" s="20">
        <f>COUNTIF('LCP Tickets'!D:D,B7)</f>
        <v>0</v>
      </c>
      <c r="D7" s="20">
        <f>SUMIF('LCP Tickets'!$D:$D, B7, 'LCP Tickets'!$AB:$AB)</f>
        <v>0</v>
      </c>
      <c r="E7" s="24">
        <f>SUMIF('LCP Tickets'!$D:$D, B7, 'LCP Tickets'!$AC:$AC)</f>
        <v>0</v>
      </c>
      <c r="F7" s="17"/>
      <c r="G7" s="9" t="str">
        <f>IFERROR(__xludf.DUMMYFUNCTION("""COMPUTED_VALUE"""),"Cluster 3")</f>
        <v>Cluster 3</v>
      </c>
      <c r="H7" s="11" t="str">
        <f>IFERROR(__xludf.DUMMYFUNCTION("""COMPUTED_VALUE"""),"Ifugao")</f>
        <v>Ifugao</v>
      </c>
      <c r="I7" s="20">
        <f>IFERROR(__xludf.DUMMYFUNCTION("""COMPUTED_VALUE"""),1.0)</f>
        <v>1</v>
      </c>
      <c r="J7" s="20">
        <f>IFERROR(__xludf.DUMMYFUNCTION("""COMPUTED_VALUE"""),1.0)</f>
        <v>1</v>
      </c>
      <c r="K7" s="24">
        <f>IFERROR(__xludf.DUMMYFUNCTION("""COMPUTED_VALUE"""),7.0)</f>
        <v>7</v>
      </c>
      <c r="L7" s="17"/>
    </row>
    <row r="8">
      <c r="A8" s="9" t="s">
        <v>32</v>
      </c>
      <c r="B8" s="11" t="s">
        <v>52</v>
      </c>
      <c r="C8" s="20">
        <f>COUNTIF('LCP Tickets'!D:D,B8)</f>
        <v>1</v>
      </c>
      <c r="D8" s="20">
        <f>SUMIF('LCP Tickets'!$D:$D, B8, 'LCP Tickets'!$AB:$AB)</f>
        <v>1</v>
      </c>
      <c r="E8" s="24">
        <f>SUMIF('LCP Tickets'!$D:$D, B8, 'LCP Tickets'!$AC:$AC)</f>
        <v>7</v>
      </c>
      <c r="F8" s="17"/>
      <c r="G8" s="9" t="str">
        <f>IFERROR(__xludf.DUMMYFUNCTION("""COMPUTED_VALUE"""),"TOTAL")</f>
        <v>TOTAL</v>
      </c>
      <c r="H8" s="11" t="str">
        <f>IFERROR(__xludf.DUMMYFUNCTION("""COMPUTED_VALUE"""),"")</f>
        <v/>
      </c>
      <c r="I8" s="20">
        <f>IFERROR(__xludf.DUMMYFUNCTION("""COMPUTED_VALUE"""),11.0)</f>
        <v>11</v>
      </c>
      <c r="J8" s="20">
        <f>IFERROR(__xludf.DUMMYFUNCTION("""COMPUTED_VALUE"""),35.0)</f>
        <v>35</v>
      </c>
      <c r="K8" s="24">
        <f>IFERROR(__xludf.DUMMYFUNCTION("""COMPUTED_VALUE"""),859.0)</f>
        <v>859</v>
      </c>
      <c r="L8" s="17"/>
    </row>
    <row r="9">
      <c r="A9" s="9" t="s">
        <v>26</v>
      </c>
      <c r="B9" s="11" t="s">
        <v>51</v>
      </c>
      <c r="C9" s="20">
        <f>COUNTIF('LCP Tickets'!D:D,B9)</f>
        <v>3</v>
      </c>
      <c r="D9" s="20">
        <f>SUMIF('LCP Tickets'!$D:$D, B9, 'LCP Tickets'!$AB:$AB)</f>
        <v>5</v>
      </c>
      <c r="E9" s="24">
        <f>SUMIF('LCP Tickets'!$D:$D, B9, 'LCP Tickets'!$AC:$AC)</f>
        <v>88</v>
      </c>
      <c r="F9" s="17"/>
      <c r="G9" s="9"/>
      <c r="H9" s="11"/>
      <c r="I9" s="20"/>
      <c r="J9" s="20"/>
      <c r="K9" s="24"/>
      <c r="L9" s="17"/>
    </row>
    <row r="10">
      <c r="A10" s="9" t="s">
        <v>26</v>
      </c>
      <c r="B10" s="11" t="s">
        <v>56</v>
      </c>
      <c r="C10" s="20">
        <f>COUNTIF('LCP Tickets'!D:D,B10)</f>
        <v>0</v>
      </c>
      <c r="D10" s="20">
        <f>SUMIF('LCP Tickets'!$D:$D, B10, 'LCP Tickets'!$AB:$AB)</f>
        <v>0</v>
      </c>
      <c r="E10" s="24">
        <f>SUMIF('LCP Tickets'!$D:$D, B10, 'LCP Tickets'!$AC:$AC)</f>
        <v>0</v>
      </c>
      <c r="F10" s="17"/>
      <c r="G10" s="9"/>
      <c r="H10" s="11"/>
      <c r="I10" s="20"/>
      <c r="J10" s="20"/>
      <c r="K10" s="24"/>
      <c r="L10" s="17"/>
    </row>
    <row r="11">
      <c r="A11" s="9" t="s">
        <v>32</v>
      </c>
      <c r="B11" s="11" t="s">
        <v>58</v>
      </c>
      <c r="C11" s="20">
        <f>COUNTIF('LCP Tickets'!D:D,B11)</f>
        <v>0</v>
      </c>
      <c r="D11" s="20">
        <f>SUMIF('LCP Tickets'!$D:$D, B11, 'LCP Tickets'!$AB:$AB)</f>
        <v>0</v>
      </c>
      <c r="E11" s="24">
        <f>SUMIF('LCP Tickets'!$D:$D, B11, 'LCP Tickets'!$AC:$AC)</f>
        <v>0</v>
      </c>
      <c r="F11" s="17"/>
      <c r="G11" s="9"/>
      <c r="H11" s="11"/>
      <c r="I11" s="20"/>
      <c r="J11" s="20"/>
      <c r="K11" s="24"/>
      <c r="L11" s="17"/>
    </row>
    <row r="12">
      <c r="A12" s="9" t="s">
        <v>32</v>
      </c>
      <c r="B12" s="11" t="s">
        <v>61</v>
      </c>
      <c r="C12" s="20">
        <f>COUNTIF('LCP Tickets'!D:D,B12)</f>
        <v>0</v>
      </c>
      <c r="D12" s="20">
        <f>SUMIF('LCP Tickets'!$D:$D, B12, 'LCP Tickets'!$AB:$AB)</f>
        <v>0</v>
      </c>
      <c r="E12" s="24">
        <f>SUMIF('LCP Tickets'!$D:$D, B12, 'LCP Tickets'!$AC:$AC)</f>
        <v>0</v>
      </c>
      <c r="F12" s="17"/>
      <c r="G12" s="9"/>
      <c r="H12" s="11"/>
      <c r="I12" s="20"/>
      <c r="J12" s="20"/>
      <c r="K12" s="24"/>
      <c r="L12" s="17"/>
    </row>
    <row r="13">
      <c r="A13" s="9" t="s">
        <v>26</v>
      </c>
      <c r="B13" s="11" t="s">
        <v>49</v>
      </c>
      <c r="C13" s="20">
        <f>COUNTIF('LCP Tickets'!D:D,B13)</f>
        <v>0</v>
      </c>
      <c r="D13" s="20">
        <f>SUMIF('LCP Tickets'!$D:$D, B13, 'LCP Tickets'!$AB:$AB)</f>
        <v>0</v>
      </c>
      <c r="E13" s="24">
        <f>SUMIF('LCP Tickets'!$D:$D, B13, 'LCP Tickets'!$AC:$AC)</f>
        <v>0</v>
      </c>
      <c r="F13" s="17"/>
      <c r="G13" s="9"/>
      <c r="H13" s="11"/>
      <c r="I13" s="20"/>
      <c r="J13" s="20"/>
      <c r="K13" s="24"/>
      <c r="L13" s="17"/>
    </row>
    <row r="14">
      <c r="A14" s="9" t="s">
        <v>26</v>
      </c>
      <c r="B14" s="11" t="s">
        <v>55</v>
      </c>
      <c r="C14" s="20">
        <f>COUNTIF('LCP Tickets'!D:D,B14)</f>
        <v>0</v>
      </c>
      <c r="D14" s="20">
        <f>SUMIF('LCP Tickets'!$D:$D, B14, 'LCP Tickets'!$AB:$AB)</f>
        <v>0</v>
      </c>
      <c r="E14" s="24">
        <f>SUMIF('LCP Tickets'!$D:$D, B14, 'LCP Tickets'!$AC:$AC)</f>
        <v>0</v>
      </c>
      <c r="F14" s="17"/>
      <c r="G14" s="9"/>
      <c r="H14" s="11"/>
      <c r="I14" s="20"/>
      <c r="J14" s="20"/>
      <c r="K14" s="24"/>
      <c r="L14" s="17"/>
    </row>
    <row r="15">
      <c r="A15" s="9" t="s">
        <v>32</v>
      </c>
      <c r="B15" s="11" t="s">
        <v>34</v>
      </c>
      <c r="C15" s="20">
        <f>COUNTIF('LCP Tickets'!D:D,B15)</f>
        <v>0</v>
      </c>
      <c r="D15" s="20">
        <f>SUMIF('LCP Tickets'!$D:$D, B15, 'LCP Tickets'!$AB:$AB)</f>
        <v>0</v>
      </c>
      <c r="E15" s="24">
        <f>SUMIF('LCP Tickets'!$D:$D, B15, 'LCP Tickets'!$AC:$AC)</f>
        <v>0</v>
      </c>
      <c r="F15" s="17"/>
      <c r="G15" s="9"/>
      <c r="H15" s="11"/>
      <c r="I15" s="20"/>
      <c r="J15" s="20"/>
      <c r="K15" s="24"/>
      <c r="L15" s="17"/>
    </row>
    <row r="16">
      <c r="A16" s="9" t="s">
        <v>32</v>
      </c>
      <c r="B16" s="11" t="s">
        <v>57</v>
      </c>
      <c r="C16" s="20">
        <f>COUNTIF('LCP Tickets'!D:D,B16)</f>
        <v>1</v>
      </c>
      <c r="D16" s="20">
        <f>SUMIF('LCP Tickets'!$D:$D, B16, 'LCP Tickets'!$AB:$AB)</f>
        <v>12</v>
      </c>
      <c r="E16" s="24">
        <f>SUMIF('LCP Tickets'!$D:$D, B16, 'LCP Tickets'!$AC:$AC)</f>
        <v>245</v>
      </c>
      <c r="F16" s="17"/>
      <c r="G16" s="9"/>
      <c r="H16" s="11"/>
      <c r="I16" s="20"/>
      <c r="J16" s="20"/>
      <c r="K16" s="24"/>
      <c r="L16" s="17"/>
    </row>
    <row r="17">
      <c r="A17" s="9" t="s">
        <v>9</v>
      </c>
      <c r="B17" s="11" t="s">
        <v>10</v>
      </c>
      <c r="C17" s="20">
        <f>COUNTIF('LCP Tickets'!D:D,B17)</f>
        <v>2</v>
      </c>
      <c r="D17" s="20">
        <f>SUMIF('LCP Tickets'!$D:$D, B17, 'LCP Tickets'!$AB:$AB)</f>
        <v>12</v>
      </c>
      <c r="E17" s="24">
        <f>SUMIF('LCP Tickets'!$D:$D, B17, 'LCP Tickets'!$AC:$AC)</f>
        <v>498</v>
      </c>
      <c r="F17" s="17"/>
      <c r="G17" s="9"/>
      <c r="H17" s="11"/>
      <c r="I17" s="20"/>
      <c r="J17" s="20"/>
      <c r="K17" s="24"/>
      <c r="L17" s="17"/>
    </row>
    <row r="18">
      <c r="A18" s="9" t="s">
        <v>32</v>
      </c>
      <c r="B18" s="11" t="s">
        <v>65</v>
      </c>
      <c r="C18" s="20">
        <f>COUNTIF('LCP Tickets'!D:D,B18)</f>
        <v>0</v>
      </c>
      <c r="D18" s="20">
        <f>SUMIF('LCP Tickets'!$D:$D, B18, 'LCP Tickets'!$AB:$AB)</f>
        <v>0</v>
      </c>
      <c r="E18" s="24">
        <f>SUMIF('LCP Tickets'!$D:$D, B18, 'LCP Tickets'!$AC:$AC)</f>
        <v>0</v>
      </c>
      <c r="F18" s="17"/>
      <c r="G18" s="9"/>
      <c r="H18" s="11"/>
      <c r="I18" s="20"/>
      <c r="J18" s="20"/>
      <c r="K18" s="24"/>
      <c r="L18" s="17"/>
    </row>
    <row r="19">
      <c r="A19" s="9"/>
      <c r="B19" s="11" t="s">
        <v>6</v>
      </c>
      <c r="C19" s="20">
        <f t="shared" ref="C19:E19" si="1">SUM(C3:C18)</f>
        <v>11</v>
      </c>
      <c r="D19" s="20">
        <f t="shared" si="1"/>
        <v>35</v>
      </c>
      <c r="E19" s="24">
        <f t="shared" si="1"/>
        <v>859</v>
      </c>
      <c r="F19" s="17"/>
      <c r="G19" s="9"/>
      <c r="H19" s="11"/>
      <c r="I19" s="20"/>
      <c r="J19" s="20"/>
      <c r="K19" s="24"/>
      <c r="L19" s="17"/>
    </row>
    <row r="20">
      <c r="A20" s="36"/>
      <c r="B20" s="37"/>
      <c r="C20" s="16"/>
      <c r="D20" s="16"/>
      <c r="E20" s="17"/>
      <c r="F20" s="17"/>
      <c r="G20" s="36"/>
      <c r="H20" s="37"/>
      <c r="I20" s="16"/>
      <c r="J20" s="16"/>
      <c r="K20" s="17"/>
      <c r="L20" s="17"/>
    </row>
    <row r="21">
      <c r="A21" s="36"/>
      <c r="B21" s="37"/>
      <c r="C21" s="16"/>
      <c r="D21" s="16"/>
      <c r="E21" s="17"/>
      <c r="F21" s="17"/>
      <c r="G21" s="36"/>
      <c r="H21" s="37"/>
      <c r="I21" s="16"/>
      <c r="J21" s="16"/>
      <c r="K21" s="17"/>
      <c r="L21" s="17"/>
    </row>
    <row r="22">
      <c r="A22" s="1" t="s">
        <v>68</v>
      </c>
      <c r="B22" s="2"/>
      <c r="C22" s="2"/>
      <c r="D22" s="2"/>
      <c r="E22" s="2"/>
      <c r="F22" s="2"/>
      <c r="G22" s="1" t="s">
        <v>69</v>
      </c>
      <c r="H22" s="2"/>
      <c r="I22" s="2"/>
      <c r="J22" s="2"/>
      <c r="K22" s="2"/>
      <c r="L22" s="2"/>
    </row>
    <row r="23">
      <c r="A23" s="4" t="s">
        <v>1</v>
      </c>
      <c r="B23" s="4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4" t="s">
        <v>1</v>
      </c>
      <c r="H23" s="4" t="s">
        <v>2</v>
      </c>
      <c r="I23" s="5" t="s">
        <v>3</v>
      </c>
      <c r="J23" s="5" t="s">
        <v>4</v>
      </c>
      <c r="K23" s="5" t="s">
        <v>5</v>
      </c>
      <c r="L23" s="5" t="s">
        <v>6</v>
      </c>
    </row>
    <row r="24">
      <c r="A24" s="9" t="s">
        <v>26</v>
      </c>
      <c r="B24" s="11" t="s">
        <v>27</v>
      </c>
      <c r="C24" s="16">
        <f>SUMIFS('LCP Tickets'!$AB:$AB, 'LCP Tickets'!$D:$D, UPPER($B24), 'LCP Tickets'!$AA:$AA, "&lt;1")</f>
        <v>0</v>
      </c>
      <c r="D24" s="16">
        <f>SUMIFS('LCP Tickets'!$AB:$AB, 'LCP Tickets'!$D:$D, UPPER($B24), 'LCP Tickets'!$AA:$AA, "&gt;=1", 'LCP Tickets'!$AA:$AA, "&lt;=3")</f>
        <v>0</v>
      </c>
      <c r="E24" s="16">
        <f>SUMIFS('LCP Tickets'!$AB:$AB, 'LCP Tickets'!$D:$D, UPPER($B24), 'LCP Tickets'!$AA:$AA, "&gt;3")</f>
        <v>0</v>
      </c>
      <c r="F24" s="20">
        <f t="shared" ref="F24:F39" si="2">SUM(C24:E24)</f>
        <v>0</v>
      </c>
      <c r="G24" s="36" t="str">
        <f>IFERROR(__xludf.DUMMYFUNCTION("{
  SORT(FILTER(A24:F39, F24:F39 &gt; 0), 6, FALSE);
  {""TOTAL"", """", SUM(C24:C39), SUM(D24:D39), SUM(E24:E39), SUM(F24:F39)}
}"),"Cluster 3")</f>
        <v>Cluster 3</v>
      </c>
      <c r="H24" s="37" t="str">
        <f>IFERROR(__xludf.DUMMYFUNCTION("""COMPUTED_VALUE"""),"Nueva_Vizcaya")</f>
        <v>Nueva_Vizcaya</v>
      </c>
      <c r="I24" s="16">
        <f>IFERROR(__xludf.DUMMYFUNCTION("""COMPUTED_VALUE"""),12.0)</f>
        <v>12</v>
      </c>
      <c r="J24" s="16">
        <f>IFERROR(__xludf.DUMMYFUNCTION("""COMPUTED_VALUE"""),0.0)</f>
        <v>0</v>
      </c>
      <c r="K24" s="17">
        <f>IFERROR(__xludf.DUMMYFUNCTION("""COMPUTED_VALUE"""),0.0)</f>
        <v>0</v>
      </c>
      <c r="L24" s="17">
        <f>IFERROR(__xludf.DUMMYFUNCTION("""COMPUTED_VALUE"""),12.0)</f>
        <v>12</v>
      </c>
    </row>
    <row r="25">
      <c r="A25" s="9" t="s">
        <v>32</v>
      </c>
      <c r="B25" s="11" t="s">
        <v>47</v>
      </c>
      <c r="C25" s="16">
        <f>SUMIFS('LCP Tickets'!$AB:$AB, 'LCP Tickets'!$D:$D, UPPER($B25), 'LCP Tickets'!$AA:$AA, "&lt;1")</f>
        <v>0</v>
      </c>
      <c r="D25" s="16">
        <f>SUMIFS('LCP Tickets'!$AB:$AB, 'LCP Tickets'!$D:$D, UPPER($B25), 'LCP Tickets'!$AA:$AA, "&gt;=1", 'LCP Tickets'!$AA:$AA, "&lt;=3")</f>
        <v>0</v>
      </c>
      <c r="E25" s="16">
        <f>SUMIFS('LCP Tickets'!$AB:$AB, 'LCP Tickets'!$D:$D, UPPER($B25), 'LCP Tickets'!$AA:$AA, "&gt;3")</f>
        <v>0</v>
      </c>
      <c r="F25" s="20">
        <f t="shared" si="2"/>
        <v>0</v>
      </c>
      <c r="G25" s="36" t="str">
        <f>IFERROR(__xludf.DUMMYFUNCTION("""COMPUTED_VALUE"""),"Cluster 1")</f>
        <v>Cluster 1</v>
      </c>
      <c r="H25" s="37" t="str">
        <f>IFERROR(__xludf.DUMMYFUNCTION("""COMPUTED_VALUE"""),"Pangasinan")</f>
        <v>Pangasinan</v>
      </c>
      <c r="I25" s="16">
        <f>IFERROR(__xludf.DUMMYFUNCTION("""COMPUTED_VALUE"""),12.0)</f>
        <v>12</v>
      </c>
      <c r="J25" s="16">
        <f>IFERROR(__xludf.DUMMYFUNCTION("""COMPUTED_VALUE"""),0.0)</f>
        <v>0</v>
      </c>
      <c r="K25" s="17">
        <f>IFERROR(__xludf.DUMMYFUNCTION("""COMPUTED_VALUE"""),0.0)</f>
        <v>0</v>
      </c>
      <c r="L25" s="17">
        <f>IFERROR(__xludf.DUMMYFUNCTION("""COMPUTED_VALUE"""),12.0)</f>
        <v>12</v>
      </c>
    </row>
    <row r="26">
      <c r="A26" s="9" t="s">
        <v>32</v>
      </c>
      <c r="B26" s="11" t="s">
        <v>48</v>
      </c>
      <c r="C26" s="16">
        <f>SUMIFS('LCP Tickets'!$AB:$AB, 'LCP Tickets'!$D:$D, UPPER($B26), 'LCP Tickets'!$AA:$AA, "&lt;1")</f>
        <v>0</v>
      </c>
      <c r="D26" s="16">
        <f>SUMIFS('LCP Tickets'!$AB:$AB, 'LCP Tickets'!$D:$D, UPPER($B26), 'LCP Tickets'!$AA:$AA, "&gt;=1", 'LCP Tickets'!$AA:$AA, "&lt;=3")</f>
        <v>0</v>
      </c>
      <c r="E26" s="16">
        <f>SUMIFS('LCP Tickets'!$AB:$AB, 'LCP Tickets'!$D:$D, UPPER($B26), 'LCP Tickets'!$AA:$AA, "&gt;3")</f>
        <v>0</v>
      </c>
      <c r="F26" s="20">
        <f t="shared" si="2"/>
        <v>0</v>
      </c>
      <c r="G26" s="36" t="str">
        <f>IFERROR(__xludf.DUMMYFUNCTION("""COMPUTED_VALUE"""),"Cluster 2")</f>
        <v>Cluster 2</v>
      </c>
      <c r="H26" s="37" t="str">
        <f>IFERROR(__xludf.DUMMYFUNCTION("""COMPUTED_VALUE"""),"Benguet")</f>
        <v>Benguet</v>
      </c>
      <c r="I26" s="16">
        <f>IFERROR(__xludf.DUMMYFUNCTION("""COMPUTED_VALUE"""),1.0)</f>
        <v>1</v>
      </c>
      <c r="J26" s="16">
        <f>IFERROR(__xludf.DUMMYFUNCTION("""COMPUTED_VALUE"""),1.0)</f>
        <v>1</v>
      </c>
      <c r="K26" s="17">
        <f>IFERROR(__xludf.DUMMYFUNCTION("""COMPUTED_VALUE"""),3.0)</f>
        <v>3</v>
      </c>
      <c r="L26" s="17">
        <f>IFERROR(__xludf.DUMMYFUNCTION("""COMPUTED_VALUE"""),5.0)</f>
        <v>5</v>
      </c>
    </row>
    <row r="27">
      <c r="A27" s="9" t="s">
        <v>26</v>
      </c>
      <c r="B27" s="11" t="s">
        <v>46</v>
      </c>
      <c r="C27" s="16">
        <f>SUMIFS('LCP Tickets'!$AB:$AB, 'LCP Tickets'!$D:$D, UPPER($B27), 'LCP Tickets'!$AA:$AA, "&lt;1")</f>
        <v>1</v>
      </c>
      <c r="D27" s="16">
        <f>SUMIFS('LCP Tickets'!$AB:$AB, 'LCP Tickets'!$D:$D, UPPER($B27), 'LCP Tickets'!$AA:$AA, "&gt;=1", 'LCP Tickets'!$AA:$AA, "&lt;=3")</f>
        <v>1</v>
      </c>
      <c r="E27" s="16">
        <f>SUMIFS('LCP Tickets'!$AB:$AB, 'LCP Tickets'!$D:$D, UPPER($B27), 'LCP Tickets'!$AA:$AA, "&gt;3")</f>
        <v>3</v>
      </c>
      <c r="F27" s="20">
        <f t="shared" si="2"/>
        <v>5</v>
      </c>
      <c r="G27" s="36" t="str">
        <f>IFERROR(__xludf.DUMMYFUNCTION("""COMPUTED_VALUE"""),"Cluster 2")</f>
        <v>Cluster 2</v>
      </c>
      <c r="H27" s="37" t="str">
        <f>IFERROR(__xludf.DUMMYFUNCTION("""COMPUTED_VALUE"""),"Ilocos_Norte")</f>
        <v>Ilocos_Norte</v>
      </c>
      <c r="I27" s="16">
        <f>IFERROR(__xludf.DUMMYFUNCTION("""COMPUTED_VALUE"""),5.0)</f>
        <v>5</v>
      </c>
      <c r="J27" s="16">
        <f>IFERROR(__xludf.DUMMYFUNCTION("""COMPUTED_VALUE"""),0.0)</f>
        <v>0</v>
      </c>
      <c r="K27" s="17">
        <f>IFERROR(__xludf.DUMMYFUNCTION("""COMPUTED_VALUE"""),0.0)</f>
        <v>0</v>
      </c>
      <c r="L27" s="17">
        <f>IFERROR(__xludf.DUMMYFUNCTION("""COMPUTED_VALUE"""),5.0)</f>
        <v>5</v>
      </c>
    </row>
    <row r="28">
      <c r="A28" s="9" t="s">
        <v>32</v>
      </c>
      <c r="B28" s="11" t="s">
        <v>50</v>
      </c>
      <c r="C28" s="16">
        <f>SUMIFS('LCP Tickets'!$AB:$AB, 'LCP Tickets'!$D:$D, UPPER($B28), 'LCP Tickets'!$AA:$AA, "&lt;1")</f>
        <v>0</v>
      </c>
      <c r="D28" s="16">
        <f>SUMIFS('LCP Tickets'!$AB:$AB, 'LCP Tickets'!$D:$D, UPPER($B28), 'LCP Tickets'!$AA:$AA, "&gt;=1", 'LCP Tickets'!$AA:$AA, "&lt;=3")</f>
        <v>0</v>
      </c>
      <c r="E28" s="16">
        <f>SUMIFS('LCP Tickets'!$AB:$AB, 'LCP Tickets'!$D:$D, UPPER($B28), 'LCP Tickets'!$AA:$AA, "&gt;3")</f>
        <v>0</v>
      </c>
      <c r="F28" s="20">
        <f t="shared" si="2"/>
        <v>0</v>
      </c>
      <c r="G28" s="36" t="str">
        <f>IFERROR(__xludf.DUMMYFUNCTION("""COMPUTED_VALUE"""),"Cluster 3")</f>
        <v>Cluster 3</v>
      </c>
      <c r="H28" s="37" t="str">
        <f>IFERROR(__xludf.DUMMYFUNCTION("""COMPUTED_VALUE"""),"Ifugao")</f>
        <v>Ifugao</v>
      </c>
      <c r="I28" s="16">
        <f>IFERROR(__xludf.DUMMYFUNCTION("""COMPUTED_VALUE"""),0.0)</f>
        <v>0</v>
      </c>
      <c r="J28" s="16">
        <f>IFERROR(__xludf.DUMMYFUNCTION("""COMPUTED_VALUE"""),1.0)</f>
        <v>1</v>
      </c>
      <c r="K28" s="17">
        <f>IFERROR(__xludf.DUMMYFUNCTION("""COMPUTED_VALUE"""),0.0)</f>
        <v>0</v>
      </c>
      <c r="L28" s="17">
        <f>IFERROR(__xludf.DUMMYFUNCTION("""COMPUTED_VALUE"""),1.0)</f>
        <v>1</v>
      </c>
    </row>
    <row r="29">
      <c r="A29" s="9" t="s">
        <v>32</v>
      </c>
      <c r="B29" s="11" t="s">
        <v>52</v>
      </c>
      <c r="C29" s="16">
        <f>SUMIFS('LCP Tickets'!$AB:$AB, 'LCP Tickets'!$D:$D, UPPER($B29), 'LCP Tickets'!$AA:$AA, "&lt;1")</f>
        <v>0</v>
      </c>
      <c r="D29" s="16">
        <f>SUMIFS('LCP Tickets'!$AB:$AB, 'LCP Tickets'!$D:$D, UPPER($B29), 'LCP Tickets'!$AA:$AA, "&gt;=1", 'LCP Tickets'!$AA:$AA, "&lt;=3")</f>
        <v>1</v>
      </c>
      <c r="E29" s="16">
        <f>SUMIFS('LCP Tickets'!$AB:$AB, 'LCP Tickets'!$D:$D, UPPER($B29), 'LCP Tickets'!$AA:$AA, "&gt;3")</f>
        <v>0</v>
      </c>
      <c r="F29" s="20">
        <f t="shared" si="2"/>
        <v>1</v>
      </c>
      <c r="G29" s="36" t="str">
        <f>IFERROR(__xludf.DUMMYFUNCTION("""COMPUTED_VALUE"""),"TOTAL")</f>
        <v>TOTAL</v>
      </c>
      <c r="H29" s="37" t="str">
        <f>IFERROR(__xludf.DUMMYFUNCTION("""COMPUTED_VALUE"""),"")</f>
        <v/>
      </c>
      <c r="I29" s="16">
        <f>IFERROR(__xludf.DUMMYFUNCTION("""COMPUTED_VALUE"""),30.0)</f>
        <v>30</v>
      </c>
      <c r="J29" s="16">
        <f>IFERROR(__xludf.DUMMYFUNCTION("""COMPUTED_VALUE"""),2.0)</f>
        <v>2</v>
      </c>
      <c r="K29" s="17">
        <f>IFERROR(__xludf.DUMMYFUNCTION("""COMPUTED_VALUE"""),3.0)</f>
        <v>3</v>
      </c>
      <c r="L29" s="17">
        <f>IFERROR(__xludf.DUMMYFUNCTION("""COMPUTED_VALUE"""),35.0)</f>
        <v>35</v>
      </c>
    </row>
    <row r="30">
      <c r="A30" s="9" t="s">
        <v>26</v>
      </c>
      <c r="B30" s="11" t="s">
        <v>51</v>
      </c>
      <c r="C30" s="16">
        <f>SUMIFS('LCP Tickets'!$AB:$AB, 'LCP Tickets'!$D:$D, UPPER($B30), 'LCP Tickets'!$AA:$AA, "&lt;1")</f>
        <v>5</v>
      </c>
      <c r="D30" s="16">
        <f>SUMIFS('LCP Tickets'!$AB:$AB, 'LCP Tickets'!$D:$D, UPPER($B30), 'LCP Tickets'!$AA:$AA, "&gt;=1", 'LCP Tickets'!$AA:$AA, "&lt;=3")</f>
        <v>0</v>
      </c>
      <c r="E30" s="16">
        <f>SUMIFS('LCP Tickets'!$AB:$AB, 'LCP Tickets'!$D:$D, UPPER($B30), 'LCP Tickets'!$AA:$AA, "&gt;3")</f>
        <v>0</v>
      </c>
      <c r="F30" s="20">
        <f t="shared" si="2"/>
        <v>5</v>
      </c>
      <c r="G30" s="36"/>
      <c r="H30" s="37"/>
      <c r="I30" s="16"/>
      <c r="J30" s="16"/>
      <c r="K30" s="17"/>
      <c r="L30" s="17"/>
    </row>
    <row r="31">
      <c r="A31" s="9" t="s">
        <v>26</v>
      </c>
      <c r="B31" s="11" t="s">
        <v>56</v>
      </c>
      <c r="C31" s="16">
        <f>SUMIFS('LCP Tickets'!$AB:$AB, 'LCP Tickets'!$D:$D, UPPER($B31), 'LCP Tickets'!$AA:$AA, "&lt;1")</f>
        <v>0</v>
      </c>
      <c r="D31" s="16">
        <f>SUMIFS('LCP Tickets'!$AB:$AB, 'LCP Tickets'!$D:$D, UPPER($B31), 'LCP Tickets'!$AA:$AA, "&gt;=1", 'LCP Tickets'!$AA:$AA, "&lt;=3")</f>
        <v>0</v>
      </c>
      <c r="E31" s="16">
        <f>SUMIFS('LCP Tickets'!$AB:$AB, 'LCP Tickets'!$D:$D, UPPER($B31), 'LCP Tickets'!$AA:$AA, "&gt;3")</f>
        <v>0</v>
      </c>
      <c r="F31" s="20">
        <f t="shared" si="2"/>
        <v>0</v>
      </c>
      <c r="G31" s="36"/>
      <c r="H31" s="37"/>
      <c r="I31" s="16"/>
      <c r="J31" s="16"/>
      <c r="K31" s="17"/>
      <c r="L31" s="17"/>
    </row>
    <row r="32">
      <c r="A32" s="9" t="s">
        <v>32</v>
      </c>
      <c r="B32" s="11" t="s">
        <v>58</v>
      </c>
      <c r="C32" s="16">
        <f>SUMIFS('LCP Tickets'!$AB:$AB, 'LCP Tickets'!$D:$D, UPPER($B32), 'LCP Tickets'!$AA:$AA, "&lt;1")</f>
        <v>0</v>
      </c>
      <c r="D32" s="16">
        <f>SUMIFS('LCP Tickets'!$AB:$AB, 'LCP Tickets'!$D:$D, UPPER($B32), 'LCP Tickets'!$AA:$AA, "&gt;=1", 'LCP Tickets'!$AA:$AA, "&lt;=3")</f>
        <v>0</v>
      </c>
      <c r="E32" s="16">
        <f>SUMIFS('LCP Tickets'!$AB:$AB, 'LCP Tickets'!$D:$D, UPPER($B32), 'LCP Tickets'!$AA:$AA, "&gt;3")</f>
        <v>0</v>
      </c>
      <c r="F32" s="20">
        <f t="shared" si="2"/>
        <v>0</v>
      </c>
      <c r="G32" s="36"/>
      <c r="H32" s="37"/>
      <c r="I32" s="16"/>
      <c r="J32" s="16"/>
      <c r="K32" s="17"/>
      <c r="L32" s="17"/>
    </row>
    <row r="33">
      <c r="A33" s="9" t="s">
        <v>32</v>
      </c>
      <c r="B33" s="11" t="s">
        <v>61</v>
      </c>
      <c r="C33" s="16">
        <f>SUMIFS('LCP Tickets'!$AB:$AB, 'LCP Tickets'!$D:$D, UPPER($B33), 'LCP Tickets'!$AA:$AA, "&lt;1")</f>
        <v>0</v>
      </c>
      <c r="D33" s="16">
        <f>SUMIFS('LCP Tickets'!$AB:$AB, 'LCP Tickets'!$D:$D, UPPER($B33), 'LCP Tickets'!$AA:$AA, "&gt;=1", 'LCP Tickets'!$AA:$AA, "&lt;=3")</f>
        <v>0</v>
      </c>
      <c r="E33" s="16">
        <f>SUMIFS('LCP Tickets'!$AB:$AB, 'LCP Tickets'!$D:$D, UPPER($B33), 'LCP Tickets'!$AA:$AA, "&gt;3")</f>
        <v>0</v>
      </c>
      <c r="F33" s="20">
        <f t="shared" si="2"/>
        <v>0</v>
      </c>
      <c r="G33" s="36"/>
      <c r="H33" s="37"/>
      <c r="I33" s="16"/>
      <c r="J33" s="16"/>
      <c r="K33" s="17"/>
      <c r="L33" s="17"/>
    </row>
    <row r="34">
      <c r="A34" s="9" t="s">
        <v>26</v>
      </c>
      <c r="B34" s="11" t="s">
        <v>49</v>
      </c>
      <c r="C34" s="16">
        <f>SUMIFS('LCP Tickets'!$AB:$AB, 'LCP Tickets'!$D:$D, UPPER($B34), 'LCP Tickets'!$AA:$AA, "&lt;1")</f>
        <v>0</v>
      </c>
      <c r="D34" s="16">
        <f>SUMIFS('LCP Tickets'!$AB:$AB, 'LCP Tickets'!$D:$D, UPPER($B34), 'LCP Tickets'!$AA:$AA, "&gt;=1", 'LCP Tickets'!$AA:$AA, "&lt;=3")</f>
        <v>0</v>
      </c>
      <c r="E34" s="16">
        <f>SUMIFS('LCP Tickets'!$AB:$AB, 'LCP Tickets'!$D:$D, UPPER($B34), 'LCP Tickets'!$AA:$AA, "&gt;3")</f>
        <v>0</v>
      </c>
      <c r="F34" s="20">
        <f t="shared" si="2"/>
        <v>0</v>
      </c>
      <c r="G34" s="36"/>
      <c r="H34" s="37"/>
      <c r="I34" s="16"/>
      <c r="J34" s="16"/>
      <c r="K34" s="17"/>
      <c r="L34" s="17"/>
    </row>
    <row r="35">
      <c r="A35" s="9" t="s">
        <v>26</v>
      </c>
      <c r="B35" s="11" t="s">
        <v>55</v>
      </c>
      <c r="C35" s="16">
        <f>SUMIFS('LCP Tickets'!$AB:$AB, 'LCP Tickets'!$D:$D, UPPER($B35), 'LCP Tickets'!$AA:$AA, "&lt;1")</f>
        <v>0</v>
      </c>
      <c r="D35" s="16">
        <f>SUMIFS('LCP Tickets'!$AB:$AB, 'LCP Tickets'!$D:$D, UPPER($B35), 'LCP Tickets'!$AA:$AA, "&gt;=1", 'LCP Tickets'!$AA:$AA, "&lt;=3")</f>
        <v>0</v>
      </c>
      <c r="E35" s="16">
        <f>SUMIFS('LCP Tickets'!$AB:$AB, 'LCP Tickets'!$D:$D, UPPER($B35), 'LCP Tickets'!$AA:$AA, "&gt;3")</f>
        <v>0</v>
      </c>
      <c r="F35" s="20">
        <f t="shared" si="2"/>
        <v>0</v>
      </c>
      <c r="G35" s="36"/>
      <c r="H35" s="37"/>
      <c r="I35" s="16"/>
      <c r="J35" s="16"/>
      <c r="K35" s="17"/>
      <c r="L35" s="17"/>
    </row>
    <row r="36">
      <c r="A36" s="9" t="s">
        <v>32</v>
      </c>
      <c r="B36" s="11" t="s">
        <v>34</v>
      </c>
      <c r="C36" s="16">
        <f>SUMIFS('LCP Tickets'!$AB:$AB, 'LCP Tickets'!$D:$D, UPPER($B36), 'LCP Tickets'!$AA:$AA, "&lt;1")</f>
        <v>0</v>
      </c>
      <c r="D36" s="16">
        <f>SUMIFS('LCP Tickets'!$AB:$AB, 'LCP Tickets'!$D:$D, UPPER($B36), 'LCP Tickets'!$AA:$AA, "&gt;=1", 'LCP Tickets'!$AA:$AA, "&lt;=3")</f>
        <v>0</v>
      </c>
      <c r="E36" s="16">
        <f>SUMIFS('LCP Tickets'!$AB:$AB, 'LCP Tickets'!$D:$D, UPPER($B36), 'LCP Tickets'!$AA:$AA, "&gt;3")</f>
        <v>0</v>
      </c>
      <c r="F36" s="20">
        <f t="shared" si="2"/>
        <v>0</v>
      </c>
      <c r="G36" s="36"/>
      <c r="H36" s="37"/>
      <c r="I36" s="16"/>
      <c r="J36" s="16"/>
      <c r="K36" s="17"/>
      <c r="L36" s="17"/>
    </row>
    <row r="37">
      <c r="A37" s="9" t="s">
        <v>32</v>
      </c>
      <c r="B37" s="11" t="s">
        <v>57</v>
      </c>
      <c r="C37" s="16">
        <f>SUMIFS('LCP Tickets'!$AB:$AB, 'LCP Tickets'!$D:$D, UPPER($B37), 'LCP Tickets'!$AA:$AA, "&lt;1")</f>
        <v>12</v>
      </c>
      <c r="D37" s="16">
        <f>SUMIFS('LCP Tickets'!$AB:$AB, 'LCP Tickets'!$D:$D, UPPER($B37), 'LCP Tickets'!$AA:$AA, "&gt;=1", 'LCP Tickets'!$AA:$AA, "&lt;=3")</f>
        <v>0</v>
      </c>
      <c r="E37" s="16">
        <f>SUMIFS('LCP Tickets'!$AB:$AB, 'LCP Tickets'!$D:$D, UPPER($B37), 'LCP Tickets'!$AA:$AA, "&gt;3")</f>
        <v>0</v>
      </c>
      <c r="F37" s="20">
        <f t="shared" si="2"/>
        <v>12</v>
      </c>
      <c r="G37" s="36"/>
      <c r="H37" s="37"/>
      <c r="I37" s="16"/>
      <c r="J37" s="16"/>
      <c r="K37" s="17"/>
      <c r="L37" s="17"/>
    </row>
    <row r="38">
      <c r="A38" s="9" t="s">
        <v>9</v>
      </c>
      <c r="B38" s="11" t="s">
        <v>10</v>
      </c>
      <c r="C38" s="16">
        <f>SUMIFS('LCP Tickets'!$AB:$AB, 'LCP Tickets'!$D:$D, UPPER($B38), 'LCP Tickets'!$AA:$AA, "&lt;1")</f>
        <v>12</v>
      </c>
      <c r="D38" s="16">
        <f>SUMIFS('LCP Tickets'!$AB:$AB, 'LCP Tickets'!$D:$D, UPPER($B38), 'LCP Tickets'!$AA:$AA, "&gt;=1", 'LCP Tickets'!$AA:$AA, "&lt;=3")</f>
        <v>0</v>
      </c>
      <c r="E38" s="16">
        <f>SUMIFS('LCP Tickets'!$AB:$AB, 'LCP Tickets'!$D:$D, UPPER($B38), 'LCP Tickets'!$AA:$AA, "&gt;3")</f>
        <v>0</v>
      </c>
      <c r="F38" s="20">
        <f t="shared" si="2"/>
        <v>12</v>
      </c>
      <c r="G38" s="36"/>
      <c r="H38" s="37"/>
      <c r="I38" s="16"/>
      <c r="J38" s="16"/>
      <c r="K38" s="17"/>
      <c r="L38" s="17"/>
    </row>
    <row r="39">
      <c r="A39" s="9" t="s">
        <v>32</v>
      </c>
      <c r="B39" s="11" t="s">
        <v>65</v>
      </c>
      <c r="C39" s="16">
        <f>SUMIFS('LCP Tickets'!$AB:$AB, 'LCP Tickets'!$D:$D, UPPER($B39), 'LCP Tickets'!$AA:$AA, "&lt;1")</f>
        <v>0</v>
      </c>
      <c r="D39" s="16">
        <f>SUMIFS('LCP Tickets'!$AB:$AB, 'LCP Tickets'!$D:$D, UPPER($B39), 'LCP Tickets'!$AA:$AA, "&gt;=1", 'LCP Tickets'!$AA:$AA, "&lt;=3")</f>
        <v>0</v>
      </c>
      <c r="E39" s="16">
        <f>SUMIFS('LCP Tickets'!$AB:$AB, 'LCP Tickets'!$D:$D, UPPER($B39), 'LCP Tickets'!$AA:$AA, "&gt;3")</f>
        <v>0</v>
      </c>
      <c r="F39" s="20">
        <f t="shared" si="2"/>
        <v>0</v>
      </c>
      <c r="G39" s="36"/>
      <c r="H39" s="37"/>
      <c r="I39" s="16"/>
      <c r="J39" s="16"/>
      <c r="K39" s="17"/>
      <c r="L39" s="17"/>
    </row>
    <row r="40">
      <c r="A40" s="38"/>
      <c r="B40" s="38" t="s">
        <v>6</v>
      </c>
      <c r="C40" s="39">
        <f t="shared" ref="C40:F40" si="3">SUM(C24:C39)</f>
        <v>30</v>
      </c>
      <c r="D40" s="39">
        <f t="shared" si="3"/>
        <v>2</v>
      </c>
      <c r="E40" s="39">
        <f t="shared" si="3"/>
        <v>3</v>
      </c>
      <c r="F40" s="39">
        <f t="shared" si="3"/>
        <v>35</v>
      </c>
      <c r="G40" s="36"/>
      <c r="H40" s="37"/>
      <c r="I40" s="16"/>
      <c r="J40" s="16"/>
      <c r="K40" s="17"/>
      <c r="L40" s="17"/>
    </row>
  </sheetData>
  <mergeCells count="4">
    <mergeCell ref="A1:E1"/>
    <mergeCell ref="G1:K1"/>
    <mergeCell ref="A22:F22"/>
    <mergeCell ref="G22:L22"/>
  </mergeCells>
  <conditionalFormatting sqref="G3:K19">
    <cfRule type="expression" dxfId="6" priority="1">
      <formula>$G3="TOTAL"</formula>
    </cfRule>
  </conditionalFormatting>
  <conditionalFormatting sqref="G24:L40">
    <cfRule type="expression" dxfId="6" priority="2">
      <formula>$G24="TOTAL"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2" max="2" width="15.5"/>
    <col customWidth="1" min="3" max="3" width="27.13"/>
    <col customWidth="1" min="4" max="4" width="13.88"/>
    <col customWidth="1" min="5" max="5" width="10.88"/>
    <col customWidth="1" min="6" max="6" width="6.25"/>
    <col customWidth="1" min="7" max="7" width="11.5"/>
    <col customWidth="1" min="8" max="8" width="10.63"/>
    <col customWidth="1" min="9" max="9" width="13.13"/>
    <col customWidth="1" min="10" max="10" width="29.0"/>
    <col customWidth="1" min="11" max="11" width="28.25"/>
    <col customWidth="1" min="12" max="12" width="16.38"/>
    <col customWidth="1" min="13" max="13" width="13.13"/>
  </cols>
  <sheetData>
    <row r="1">
      <c r="A1" s="6"/>
      <c r="B1" s="6"/>
      <c r="C1" s="6"/>
      <c r="D1" s="6"/>
      <c r="E1" s="8" t="s">
        <v>8</v>
      </c>
      <c r="F1" s="10"/>
      <c r="G1" s="10"/>
      <c r="H1" s="10"/>
      <c r="I1" s="14"/>
      <c r="J1" s="18" t="s">
        <v>13</v>
      </c>
      <c r="K1" s="10"/>
      <c r="L1" s="10"/>
      <c r="M1" s="14"/>
      <c r="N1" s="8" t="s">
        <v>15</v>
      </c>
      <c r="O1" s="10"/>
      <c r="P1" s="10"/>
      <c r="Q1" s="14"/>
      <c r="R1" s="19"/>
      <c r="S1" s="19"/>
      <c r="T1" s="19"/>
      <c r="U1" s="19"/>
    </row>
    <row r="2" ht="37.5" customHeight="1">
      <c r="A2" s="21" t="s">
        <v>24</v>
      </c>
      <c r="B2" s="21" t="s">
        <v>2</v>
      </c>
      <c r="C2" s="21" t="s">
        <v>28</v>
      </c>
      <c r="D2" s="21" t="s">
        <v>29</v>
      </c>
      <c r="E2" s="21" t="s">
        <v>30</v>
      </c>
      <c r="F2" s="21" t="s">
        <v>31</v>
      </c>
      <c r="G2" s="21" t="s">
        <v>33</v>
      </c>
      <c r="H2" s="21" t="s">
        <v>35</v>
      </c>
      <c r="I2" s="21" t="s">
        <v>36</v>
      </c>
      <c r="J2" s="21" t="s">
        <v>31</v>
      </c>
      <c r="K2" s="21" t="s">
        <v>33</v>
      </c>
      <c r="L2" s="21" t="s">
        <v>35</v>
      </c>
      <c r="M2" s="21" t="s">
        <v>36</v>
      </c>
      <c r="N2" s="21" t="s">
        <v>38</v>
      </c>
      <c r="O2" s="21" t="s">
        <v>39</v>
      </c>
      <c r="P2" s="21" t="s">
        <v>40</v>
      </c>
      <c r="Q2" s="21" t="s">
        <v>42</v>
      </c>
      <c r="R2" s="21"/>
      <c r="S2" s="21"/>
      <c r="T2" s="21"/>
      <c r="U2" s="21"/>
    </row>
    <row r="3">
      <c r="A3" s="19"/>
      <c r="B3" s="26" t="s">
        <v>43</v>
      </c>
      <c r="C3" s="26" t="s">
        <v>44</v>
      </c>
      <c r="D3" s="27" t="s">
        <v>45</v>
      </c>
      <c r="E3" s="6" t="b">
        <f t="shared" ref="E3:E463" si="1">NOT(OR(F3, G3, H3, I3))</f>
        <v>1</v>
      </c>
      <c r="F3" s="6" t="b">
        <f>COUNTIFS('OLT DOWN Tickets'!$AB:$AB, "*" &amp; D3 &amp; "*", 'OLT DOWN Tickets'!$L:$L, "OLT DOWN") &gt; 0</f>
        <v>0</v>
      </c>
      <c r="G3" s="6" t="b">
        <f>COUNTIFS('OLT DOWN Tickets'!$AB:$AB, "*" &amp; D3 &amp; "*", 'OLT DOWN Tickets'!$L:$L, "OLT UPLINK LOW POWER") &gt; 0</f>
        <v>0</v>
      </c>
      <c r="H3" s="6" t="b">
        <f>COUNTIFS('OLT DOWN Tickets'!$AB:$AB, "*" &amp; D3 &amp; "*", 'OLT DOWN Tickets'!$L:$L, "OLT UPLINK DOWN") &gt; 0</f>
        <v>0</v>
      </c>
      <c r="I3" s="6" t="b">
        <f>COUNTIFS('OLT DOWN Tickets'!$AB:$AB, "*" &amp; D3 &amp; "*", 'OLT DOWN Tickets'!$L:$L, "OLT SERVICE DEGRADATION") &gt; 0</f>
        <v>0</v>
      </c>
      <c r="J3" s="32" t="str">
        <f>IFERROR(__xludf.DUMMYFUNCTION("IFERROR(INDEX(FILTER('OLT DOWN Tickets'!$F:$F, REGEXMATCH('OLT DOWN Tickets'!$AB:$AB, ""(?i)""&amp;TRIM(D3)), 'OLT DOWN Tickets'!$L:$L=""OLT DOWN""), 1), """")"),"")</f>
        <v/>
      </c>
      <c r="K3" s="32" t="str">
        <f>IFERROR(__xludf.DUMMYFUNCTION("IFERROR(INDEX(FILTER('OLT DOWN Tickets'!$F:$F, REGEXMATCH('OLT DOWN Tickets'!$AB:$AB, ""(?i)""&amp;TRIM(D3)), 'OLT DOWN Tickets'!$L:$L=""OLT UPLINK LOW POWER""), 1), """")"),"")</f>
        <v/>
      </c>
      <c r="L3" s="32" t="str">
        <f>IFERROR(__xludf.DUMMYFUNCTION("IFERROR(INDEX(FILTER('OLT DOWN Tickets'!$F:$F, REGEXMATCH('OLT DOWN Tickets'!$AB:$AB, ""(?i)""&amp;TRIM(D3)), 'OLT DOWN Tickets'!$L:$L=""OLT UPLINK DOWN""), 1), """")"),"")</f>
        <v/>
      </c>
      <c r="M3" s="32" t="str">
        <f>IFERROR(__xludf.DUMMYFUNCTION("IFERROR(INDEX(FILTER('OLT DOWN Tickets'!$F:$F, REGEXMATCH('OLT DOWN Tickets'!$AB:$AB, ""(?i)""&amp;TRIM(D3)), 'OLT DOWN Tickets'!$L:$L=""OLT SERVICE DEGRADATION""), 1), """")
"),"")</f>
        <v/>
      </c>
      <c r="N3" s="6" t="b">
        <v>0</v>
      </c>
      <c r="O3" s="6" t="b">
        <v>0</v>
      </c>
      <c r="P3" s="6" t="b">
        <v>0</v>
      </c>
      <c r="Q3" s="6" t="b">
        <v>0</v>
      </c>
      <c r="R3" s="19"/>
      <c r="S3" s="6"/>
      <c r="T3" s="6"/>
      <c r="U3" s="6"/>
    </row>
    <row r="4">
      <c r="A4" s="19"/>
      <c r="B4" s="26" t="s">
        <v>43</v>
      </c>
      <c r="C4" s="26" t="s">
        <v>53</v>
      </c>
      <c r="D4" s="27" t="s">
        <v>54</v>
      </c>
      <c r="E4" s="6" t="b">
        <f t="shared" si="1"/>
        <v>1</v>
      </c>
      <c r="F4" s="6" t="b">
        <f>COUNTIFS('OLT DOWN Tickets'!$AB:$AB, "*" &amp; D4 &amp; "*", 'OLT DOWN Tickets'!$L:$L, "OLT DOWN") &gt; 0</f>
        <v>0</v>
      </c>
      <c r="G4" s="6" t="b">
        <f>COUNTIFS('OLT DOWN Tickets'!$AB:$AB, "*" &amp; D4 &amp; "*", 'OLT DOWN Tickets'!$L:$L, "OLT UPLINK LOW POWER") &gt; 0</f>
        <v>0</v>
      </c>
      <c r="H4" s="6" t="b">
        <f>COUNTIFS('OLT DOWN Tickets'!$AB:$AB, "*" &amp; D4 &amp; "*", 'OLT DOWN Tickets'!$L:$L, "OLT UPLINK DOWN") &gt; 0</f>
        <v>0</v>
      </c>
      <c r="I4" s="6" t="b">
        <f>COUNTIFS('OLT DOWN Tickets'!$AB:$AB, "*" &amp; D4 &amp; "*", 'OLT DOWN Tickets'!$L:$L, "OLT SERVICE DEGRADATION") &gt; 0</f>
        <v>0</v>
      </c>
      <c r="J4" s="32" t="str">
        <f>IFERROR(__xludf.DUMMYFUNCTION("IFERROR(INDEX(FILTER('OLT DOWN Tickets'!$F:$F, REGEXMATCH('OLT DOWN Tickets'!$AB:$AB, ""(?i)""&amp;TRIM(D4)), 'OLT DOWN Tickets'!$L:$L=""OLT DOWN""), 1), """")"),"")</f>
        <v/>
      </c>
      <c r="K4" s="32" t="str">
        <f>IFERROR(__xludf.DUMMYFUNCTION("IFERROR(INDEX(FILTER('OLT DOWN Tickets'!$F:$F, REGEXMATCH('OLT DOWN Tickets'!$AB:$AB, ""(?i)""&amp;TRIM(D4)), 'OLT DOWN Tickets'!$L:$L=""OLT UPLINK LOW POWER""), 1), """")"),"")</f>
        <v/>
      </c>
      <c r="L4" s="32" t="str">
        <f>IFERROR(__xludf.DUMMYFUNCTION("IFERROR(INDEX(FILTER('OLT DOWN Tickets'!$F:$F, REGEXMATCH('OLT DOWN Tickets'!$AB:$AB, ""(?i)""&amp;TRIM(D4)), 'OLT DOWN Tickets'!$L:$L=""OLT UPLINK DOWN""), 1), """")"),"")</f>
        <v/>
      </c>
      <c r="M4" s="32" t="str">
        <f>IFERROR(__xludf.DUMMYFUNCTION("IFERROR(INDEX(FILTER('OLT DOWN Tickets'!$F:$F, REGEXMATCH('OLT DOWN Tickets'!$AB:$AB, ""(?i)""&amp;TRIM(D4)), 'OLT DOWN Tickets'!$L:$L=""OLT SERVICE DEGRADATION""), 1), """")
"),"")</f>
        <v/>
      </c>
      <c r="N4" s="6" t="b">
        <v>0</v>
      </c>
      <c r="O4" s="6" t="b">
        <v>0</v>
      </c>
      <c r="P4" s="6" t="b">
        <v>0</v>
      </c>
      <c r="Q4" s="6" t="b">
        <v>0</v>
      </c>
      <c r="R4" s="6"/>
      <c r="S4" s="6"/>
      <c r="T4" s="6"/>
      <c r="U4" s="6"/>
    </row>
    <row r="5">
      <c r="A5" s="19"/>
      <c r="B5" s="26" t="s">
        <v>43</v>
      </c>
      <c r="C5" s="26" t="s">
        <v>59</v>
      </c>
      <c r="D5" s="27" t="s">
        <v>60</v>
      </c>
      <c r="E5" s="6" t="b">
        <f t="shared" si="1"/>
        <v>1</v>
      </c>
      <c r="F5" s="6" t="b">
        <f>COUNTIFS('OLT DOWN Tickets'!$AB:$AB, "*" &amp; D5 &amp; "*", 'OLT DOWN Tickets'!$L:$L, "OLT DOWN") &gt; 0</f>
        <v>0</v>
      </c>
      <c r="G5" s="6" t="b">
        <f>COUNTIFS('OLT DOWN Tickets'!$AB:$AB, "*" &amp; D5 &amp; "*", 'OLT DOWN Tickets'!$L:$L, "OLT UPLINK LOW POWER") &gt; 0</f>
        <v>0</v>
      </c>
      <c r="H5" s="6" t="b">
        <f>COUNTIFS('OLT DOWN Tickets'!$AB:$AB, "*" &amp; D5 &amp; "*", 'OLT DOWN Tickets'!$L:$L, "OLT UPLINK DOWN") &gt; 0</f>
        <v>0</v>
      </c>
      <c r="I5" s="6" t="b">
        <f>COUNTIFS('OLT DOWN Tickets'!$AB:$AB, "*" &amp; D5 &amp; "*", 'OLT DOWN Tickets'!$L:$L, "OLT SERVICE DEGRADATION") &gt; 0</f>
        <v>0</v>
      </c>
      <c r="J5" s="32" t="str">
        <f>IFERROR(__xludf.DUMMYFUNCTION("IFERROR(INDEX(FILTER('OLT DOWN Tickets'!$F:$F, REGEXMATCH('OLT DOWN Tickets'!$AB:$AB, ""(?i)""&amp;TRIM(D5)), 'OLT DOWN Tickets'!$L:$L=""OLT DOWN""), 1), """")"),"")</f>
        <v/>
      </c>
      <c r="K5" s="32" t="str">
        <f>IFERROR(__xludf.DUMMYFUNCTION("IFERROR(INDEX(FILTER('OLT DOWN Tickets'!$F:$F, REGEXMATCH('OLT DOWN Tickets'!$AB:$AB, ""(?i)""&amp;TRIM(D5)), 'OLT DOWN Tickets'!$L:$L=""OLT UPLINK LOW POWER""), 1), """")"),"")</f>
        <v/>
      </c>
      <c r="L5" s="32" t="str">
        <f>IFERROR(__xludf.DUMMYFUNCTION("IFERROR(INDEX(FILTER('OLT DOWN Tickets'!$F:$F, REGEXMATCH('OLT DOWN Tickets'!$AB:$AB, ""(?i)""&amp;TRIM(D5)), 'OLT DOWN Tickets'!$L:$L=""OLT UPLINK DOWN""), 1), """")"),"")</f>
        <v/>
      </c>
      <c r="M5" s="32" t="str">
        <f>IFERROR(__xludf.DUMMYFUNCTION("IFERROR(INDEX(FILTER('OLT DOWN Tickets'!$F:$F, REGEXMATCH('OLT DOWN Tickets'!$AB:$AB, ""(?i)""&amp;TRIM(D5)), 'OLT DOWN Tickets'!$L:$L=""OLT SERVICE DEGRADATION""), 1), """")
"),"")</f>
        <v/>
      </c>
      <c r="N5" s="6" t="b">
        <v>0</v>
      </c>
      <c r="O5" s="6" t="b">
        <v>0</v>
      </c>
      <c r="P5" s="6" t="b">
        <v>0</v>
      </c>
      <c r="Q5" s="6" t="b">
        <v>0</v>
      </c>
      <c r="R5" s="6"/>
      <c r="S5" s="6"/>
      <c r="T5" s="6"/>
      <c r="U5" s="6"/>
    </row>
    <row r="6">
      <c r="A6" s="19"/>
      <c r="B6" s="26" t="s">
        <v>62</v>
      </c>
      <c r="C6" s="26" t="s">
        <v>63</v>
      </c>
      <c r="D6" s="27" t="s">
        <v>64</v>
      </c>
      <c r="E6" s="6" t="b">
        <f t="shared" si="1"/>
        <v>1</v>
      </c>
      <c r="F6" s="6" t="b">
        <f>COUNTIFS('OLT DOWN Tickets'!$AB:$AB, "*" &amp; D6 &amp; "*", 'OLT DOWN Tickets'!$L:$L, "OLT DOWN") &gt; 0</f>
        <v>0</v>
      </c>
      <c r="G6" s="6" t="b">
        <f>COUNTIFS('OLT DOWN Tickets'!$AB:$AB, "*" &amp; D6 &amp; "*", 'OLT DOWN Tickets'!$L:$L, "OLT UPLINK LOW POWER") &gt; 0</f>
        <v>0</v>
      </c>
      <c r="H6" s="6" t="b">
        <f>COUNTIFS('OLT DOWN Tickets'!$AB:$AB, "*" &amp; D6 &amp; "*", 'OLT DOWN Tickets'!$L:$L, "OLT UPLINK DOWN") &gt; 0</f>
        <v>0</v>
      </c>
      <c r="I6" s="6" t="b">
        <f>COUNTIFS('OLT DOWN Tickets'!$AB:$AB, "*" &amp; D6 &amp; "*", 'OLT DOWN Tickets'!$L:$L, "OLT SERVICE DEGRADATION") &gt; 0</f>
        <v>0</v>
      </c>
      <c r="J6" s="32" t="str">
        <f>IFERROR(__xludf.DUMMYFUNCTION("IFERROR(INDEX(FILTER('OLT DOWN Tickets'!$F:$F, REGEXMATCH('OLT DOWN Tickets'!$AB:$AB, ""(?i)""&amp;TRIM(D6)), 'OLT DOWN Tickets'!$L:$L=""OLT DOWN""), 1), """")"),"")</f>
        <v/>
      </c>
      <c r="K6" s="32" t="str">
        <f>IFERROR(__xludf.DUMMYFUNCTION("IFERROR(INDEX(FILTER('OLT DOWN Tickets'!$F:$F, REGEXMATCH('OLT DOWN Tickets'!$AB:$AB, ""(?i)""&amp;TRIM(D6)), 'OLT DOWN Tickets'!$L:$L=""OLT UPLINK LOW POWER""), 1), """")"),"")</f>
        <v/>
      </c>
      <c r="L6" s="32" t="str">
        <f>IFERROR(__xludf.DUMMYFUNCTION("IFERROR(INDEX(FILTER('OLT DOWN Tickets'!$F:$F, REGEXMATCH('OLT DOWN Tickets'!$AB:$AB, ""(?i)""&amp;TRIM(D6)), 'OLT DOWN Tickets'!$L:$L=""OLT UPLINK DOWN""), 1), """")"),"")</f>
        <v/>
      </c>
      <c r="M6" s="32" t="str">
        <f>IFERROR(__xludf.DUMMYFUNCTION("IFERROR(INDEX(FILTER('OLT DOWN Tickets'!$F:$F, REGEXMATCH('OLT DOWN Tickets'!$AB:$AB, ""(?i)""&amp;TRIM(D6)), 'OLT DOWN Tickets'!$L:$L=""OLT SERVICE DEGRADATION""), 1), """")
"),"")</f>
        <v/>
      </c>
      <c r="N6" s="6" t="b">
        <v>0</v>
      </c>
      <c r="O6" s="6" t="b">
        <v>0</v>
      </c>
      <c r="P6" s="6" t="b">
        <v>0</v>
      </c>
      <c r="Q6" s="6" t="b">
        <v>0</v>
      </c>
      <c r="R6" s="6"/>
      <c r="S6" s="6"/>
      <c r="T6" s="6"/>
      <c r="U6" s="6"/>
    </row>
    <row r="7">
      <c r="A7" s="19"/>
      <c r="B7" s="26" t="s">
        <v>62</v>
      </c>
      <c r="C7" s="26" t="s">
        <v>66</v>
      </c>
      <c r="D7" s="27" t="s">
        <v>67</v>
      </c>
      <c r="E7" s="6" t="b">
        <f t="shared" si="1"/>
        <v>1</v>
      </c>
      <c r="F7" s="6" t="b">
        <f>COUNTIFS('OLT DOWN Tickets'!$AB:$AB, "*" &amp; D7 &amp; "*", 'OLT DOWN Tickets'!$L:$L, "OLT DOWN") &gt; 0</f>
        <v>0</v>
      </c>
      <c r="G7" s="6" t="b">
        <f>COUNTIFS('OLT DOWN Tickets'!$AB:$AB, "*" &amp; D7 &amp; "*", 'OLT DOWN Tickets'!$L:$L, "OLT UPLINK LOW POWER") &gt; 0</f>
        <v>0</v>
      </c>
      <c r="H7" s="6" t="b">
        <f>COUNTIFS('OLT DOWN Tickets'!$AB:$AB, "*" &amp; D7 &amp; "*", 'OLT DOWN Tickets'!$L:$L, "OLT UPLINK DOWN") &gt; 0</f>
        <v>0</v>
      </c>
      <c r="I7" s="6" t="b">
        <f>COUNTIFS('OLT DOWN Tickets'!$AB:$AB, "*" &amp; D7 &amp; "*", 'OLT DOWN Tickets'!$L:$L, "OLT SERVICE DEGRADATION") &gt; 0</f>
        <v>0</v>
      </c>
      <c r="J7" s="32" t="str">
        <f>IFERROR(__xludf.DUMMYFUNCTION("IFERROR(INDEX(FILTER('OLT DOWN Tickets'!$F:$F, REGEXMATCH('OLT DOWN Tickets'!$AB:$AB, ""(?i)""&amp;TRIM(D7)), 'OLT DOWN Tickets'!$L:$L=""OLT DOWN""), 1), """")"),"")</f>
        <v/>
      </c>
      <c r="K7" s="32" t="str">
        <f>IFERROR(__xludf.DUMMYFUNCTION("IFERROR(INDEX(FILTER('OLT DOWN Tickets'!$F:$F, REGEXMATCH('OLT DOWN Tickets'!$AB:$AB, ""(?i)""&amp;TRIM(D7)), 'OLT DOWN Tickets'!$L:$L=""OLT UPLINK LOW POWER""), 1), """")"),"")</f>
        <v/>
      </c>
      <c r="L7" s="32" t="str">
        <f>IFERROR(__xludf.DUMMYFUNCTION("IFERROR(INDEX(FILTER('OLT DOWN Tickets'!$F:$F, REGEXMATCH('OLT DOWN Tickets'!$AB:$AB, ""(?i)""&amp;TRIM(D7)), 'OLT DOWN Tickets'!$L:$L=""OLT UPLINK DOWN""), 1), """")"),"")</f>
        <v/>
      </c>
      <c r="M7" s="32" t="str">
        <f>IFERROR(__xludf.DUMMYFUNCTION("IFERROR(INDEX(FILTER('OLT DOWN Tickets'!$F:$F, REGEXMATCH('OLT DOWN Tickets'!$AB:$AB, ""(?i)""&amp;TRIM(D7)), 'OLT DOWN Tickets'!$L:$L=""OLT SERVICE DEGRADATION""), 1), """")
"),"")</f>
        <v/>
      </c>
      <c r="N7" s="6" t="b">
        <v>0</v>
      </c>
      <c r="O7" s="6" t="b">
        <v>0</v>
      </c>
      <c r="P7" s="6" t="b">
        <v>0</v>
      </c>
      <c r="Q7" s="6" t="b">
        <v>0</v>
      </c>
      <c r="R7" s="6"/>
      <c r="S7" s="6"/>
      <c r="T7" s="6"/>
      <c r="U7" s="6"/>
    </row>
    <row r="8">
      <c r="A8" s="19"/>
      <c r="B8" s="26" t="s">
        <v>62</v>
      </c>
      <c r="C8" s="26" t="s">
        <v>70</v>
      </c>
      <c r="D8" s="27" t="s">
        <v>71</v>
      </c>
      <c r="E8" s="6" t="b">
        <f t="shared" si="1"/>
        <v>1</v>
      </c>
      <c r="F8" s="6" t="b">
        <f>COUNTIFS('OLT DOWN Tickets'!$AB:$AB, "*" &amp; D8 &amp; "*", 'OLT DOWN Tickets'!$L:$L, "OLT DOWN") &gt; 0</f>
        <v>0</v>
      </c>
      <c r="G8" s="6" t="b">
        <f>COUNTIFS('OLT DOWN Tickets'!$AB:$AB, "*" &amp; D8 &amp; "*", 'OLT DOWN Tickets'!$L:$L, "OLT UPLINK LOW POWER") &gt; 0</f>
        <v>0</v>
      </c>
      <c r="H8" s="6" t="b">
        <f>COUNTIFS('OLT DOWN Tickets'!$AB:$AB, "*" &amp; D8 &amp; "*", 'OLT DOWN Tickets'!$L:$L, "OLT UPLINK DOWN") &gt; 0</f>
        <v>0</v>
      </c>
      <c r="I8" s="6" t="b">
        <f>COUNTIFS('OLT DOWN Tickets'!$AB:$AB, "*" &amp; D8 &amp; "*", 'OLT DOWN Tickets'!$L:$L, "OLT SERVICE DEGRADATION") &gt; 0</f>
        <v>0</v>
      </c>
      <c r="J8" s="32" t="str">
        <f>IFERROR(__xludf.DUMMYFUNCTION("IFERROR(INDEX(FILTER('OLT DOWN Tickets'!$F:$F, REGEXMATCH('OLT DOWN Tickets'!$AB:$AB, ""(?i)""&amp;TRIM(D8)), 'OLT DOWN Tickets'!$L:$L=""OLT DOWN""), 1), """")"),"")</f>
        <v/>
      </c>
      <c r="K8" s="32" t="str">
        <f>IFERROR(__xludf.DUMMYFUNCTION("IFERROR(INDEX(FILTER('OLT DOWN Tickets'!$F:$F, REGEXMATCH('OLT DOWN Tickets'!$AB:$AB, ""(?i)""&amp;TRIM(D8)), 'OLT DOWN Tickets'!$L:$L=""OLT UPLINK LOW POWER""), 1), """")"),"")</f>
        <v/>
      </c>
      <c r="L8" s="32" t="str">
        <f>IFERROR(__xludf.DUMMYFUNCTION("IFERROR(INDEX(FILTER('OLT DOWN Tickets'!$F:$F, REGEXMATCH('OLT DOWN Tickets'!$AB:$AB, ""(?i)""&amp;TRIM(D8)), 'OLT DOWN Tickets'!$L:$L=""OLT UPLINK DOWN""), 1), """")"),"")</f>
        <v/>
      </c>
      <c r="M8" s="32" t="str">
        <f>IFERROR(__xludf.DUMMYFUNCTION("IFERROR(INDEX(FILTER('OLT DOWN Tickets'!$F:$F, REGEXMATCH('OLT DOWN Tickets'!$AB:$AB, ""(?i)""&amp;TRIM(D8)), 'OLT DOWN Tickets'!$L:$L=""OLT SERVICE DEGRADATION""), 1), """")
"),"")</f>
        <v/>
      </c>
      <c r="N8" s="6" t="b">
        <v>0</v>
      </c>
      <c r="O8" s="6" t="b">
        <v>0</v>
      </c>
      <c r="P8" s="6" t="b">
        <v>0</v>
      </c>
      <c r="Q8" s="6" t="b">
        <v>0</v>
      </c>
      <c r="R8" s="6"/>
      <c r="S8" s="6"/>
      <c r="T8" s="6"/>
      <c r="U8" s="6"/>
    </row>
    <row r="9">
      <c r="A9" s="19"/>
      <c r="B9" s="26" t="s">
        <v>62</v>
      </c>
      <c r="C9" s="26" t="s">
        <v>72</v>
      </c>
      <c r="D9" s="27" t="s">
        <v>73</v>
      </c>
      <c r="E9" s="6" t="b">
        <f t="shared" si="1"/>
        <v>1</v>
      </c>
      <c r="F9" s="6" t="b">
        <f>COUNTIFS('OLT DOWN Tickets'!$AB:$AB, "*" &amp; D9 &amp; "*", 'OLT DOWN Tickets'!$L:$L, "OLT DOWN") &gt; 0</f>
        <v>0</v>
      </c>
      <c r="G9" s="6" t="b">
        <f>COUNTIFS('OLT DOWN Tickets'!$AB:$AB, "*" &amp; D9 &amp; "*", 'OLT DOWN Tickets'!$L:$L, "OLT UPLINK LOW POWER") &gt; 0</f>
        <v>0</v>
      </c>
      <c r="H9" s="6" t="b">
        <f>COUNTIFS('OLT DOWN Tickets'!$AB:$AB, "*" &amp; D9 &amp; "*", 'OLT DOWN Tickets'!$L:$L, "OLT UPLINK DOWN") &gt; 0</f>
        <v>0</v>
      </c>
      <c r="I9" s="6" t="b">
        <f>COUNTIFS('OLT DOWN Tickets'!$AB:$AB, "*" &amp; D9 &amp; "*", 'OLT DOWN Tickets'!$L:$L, "OLT SERVICE DEGRADATION") &gt; 0</f>
        <v>0</v>
      </c>
      <c r="J9" s="32" t="str">
        <f>IFERROR(__xludf.DUMMYFUNCTION("IFERROR(INDEX(FILTER('OLT DOWN Tickets'!$F:$F, REGEXMATCH('OLT DOWN Tickets'!$AB:$AB, ""(?i)""&amp;TRIM(D9)), 'OLT DOWN Tickets'!$L:$L=""OLT DOWN""), 1), """")"),"")</f>
        <v/>
      </c>
      <c r="K9" s="32" t="str">
        <f>IFERROR(__xludf.DUMMYFUNCTION("IFERROR(INDEX(FILTER('OLT DOWN Tickets'!$F:$F, REGEXMATCH('OLT DOWN Tickets'!$AB:$AB, ""(?i)""&amp;TRIM(D9)), 'OLT DOWN Tickets'!$L:$L=""OLT UPLINK LOW POWER""), 1), """")"),"")</f>
        <v/>
      </c>
      <c r="L9" s="32" t="str">
        <f>IFERROR(__xludf.DUMMYFUNCTION("IFERROR(INDEX(FILTER('OLT DOWN Tickets'!$F:$F, REGEXMATCH('OLT DOWN Tickets'!$AB:$AB, ""(?i)""&amp;TRIM(D9)), 'OLT DOWN Tickets'!$L:$L=""OLT UPLINK DOWN""), 1), """")"),"")</f>
        <v/>
      </c>
      <c r="M9" s="32" t="str">
        <f>IFERROR(__xludf.DUMMYFUNCTION("IFERROR(INDEX(FILTER('OLT DOWN Tickets'!$F:$F, REGEXMATCH('OLT DOWN Tickets'!$AB:$AB, ""(?i)""&amp;TRIM(D9)), 'OLT DOWN Tickets'!$L:$L=""OLT SERVICE DEGRADATION""), 1), """")
"),"")</f>
        <v/>
      </c>
      <c r="N9" s="6" t="b">
        <v>0</v>
      </c>
      <c r="O9" s="6" t="b">
        <v>0</v>
      </c>
      <c r="P9" s="6" t="b">
        <v>0</v>
      </c>
      <c r="Q9" s="6" t="b">
        <v>0</v>
      </c>
      <c r="R9" s="6"/>
      <c r="S9" s="6"/>
      <c r="T9" s="6"/>
      <c r="U9" s="6"/>
    </row>
    <row r="10">
      <c r="A10" s="19"/>
      <c r="B10" s="26" t="s">
        <v>62</v>
      </c>
      <c r="C10" s="26" t="s">
        <v>78</v>
      </c>
      <c r="D10" s="27" t="s">
        <v>79</v>
      </c>
      <c r="E10" s="6" t="b">
        <f t="shared" si="1"/>
        <v>1</v>
      </c>
      <c r="F10" s="6" t="b">
        <f>COUNTIFS('OLT DOWN Tickets'!$AB:$AB, "*" &amp; D10 &amp; "*", 'OLT DOWN Tickets'!$L:$L, "OLT DOWN") &gt; 0</f>
        <v>0</v>
      </c>
      <c r="G10" s="6" t="b">
        <f>COUNTIFS('OLT DOWN Tickets'!$AB:$AB, "*" &amp; D10 &amp; "*", 'OLT DOWN Tickets'!$L:$L, "OLT UPLINK LOW POWER") &gt; 0</f>
        <v>0</v>
      </c>
      <c r="H10" s="6" t="b">
        <f>COUNTIFS('OLT DOWN Tickets'!$AB:$AB, "*" &amp; D10 &amp; "*", 'OLT DOWN Tickets'!$L:$L, "OLT UPLINK DOWN") &gt; 0</f>
        <v>0</v>
      </c>
      <c r="I10" s="6" t="b">
        <f>COUNTIFS('OLT DOWN Tickets'!$AB:$AB, "*" &amp; D10 &amp; "*", 'OLT DOWN Tickets'!$L:$L, "OLT SERVICE DEGRADATION") &gt; 0</f>
        <v>0</v>
      </c>
      <c r="J10" s="32" t="str">
        <f>IFERROR(__xludf.DUMMYFUNCTION("IFERROR(INDEX(FILTER('OLT DOWN Tickets'!$F:$F, REGEXMATCH('OLT DOWN Tickets'!$AB:$AB, ""(?i)""&amp;TRIM(D10)), 'OLT DOWN Tickets'!$L:$L=""OLT DOWN""), 1), """")"),"")</f>
        <v/>
      </c>
      <c r="K10" s="32" t="str">
        <f>IFERROR(__xludf.DUMMYFUNCTION("IFERROR(INDEX(FILTER('OLT DOWN Tickets'!$F:$F, REGEXMATCH('OLT DOWN Tickets'!$AB:$AB, ""(?i)""&amp;TRIM(D10)), 'OLT DOWN Tickets'!$L:$L=""OLT UPLINK LOW POWER""), 1), """")"),"")</f>
        <v/>
      </c>
      <c r="L10" s="32" t="str">
        <f>IFERROR(__xludf.DUMMYFUNCTION("IFERROR(INDEX(FILTER('OLT DOWN Tickets'!$F:$F, REGEXMATCH('OLT DOWN Tickets'!$AB:$AB, ""(?i)""&amp;TRIM(D10)), 'OLT DOWN Tickets'!$L:$L=""OLT UPLINK DOWN""), 1), """")"),"")</f>
        <v/>
      </c>
      <c r="M10" s="32" t="str">
        <f>IFERROR(__xludf.DUMMYFUNCTION("IFERROR(INDEX(FILTER('OLT DOWN Tickets'!$F:$F, REGEXMATCH('OLT DOWN Tickets'!$AB:$AB, ""(?i)""&amp;TRIM(D10)), 'OLT DOWN Tickets'!$L:$L=""OLT SERVICE DEGRADATION""), 1), """")
"),"")</f>
        <v/>
      </c>
      <c r="N10" s="6" t="b">
        <v>0</v>
      </c>
      <c r="O10" s="6" t="b">
        <v>0</v>
      </c>
      <c r="P10" s="6" t="b">
        <v>0</v>
      </c>
      <c r="Q10" s="6" t="b">
        <v>0</v>
      </c>
      <c r="R10" s="6"/>
      <c r="S10" s="6"/>
      <c r="T10" s="6"/>
      <c r="U10" s="6"/>
    </row>
    <row r="11">
      <c r="A11" s="19"/>
      <c r="B11" s="26" t="s">
        <v>81</v>
      </c>
      <c r="C11" s="53" t="s">
        <v>82</v>
      </c>
      <c r="D11" s="27" t="s">
        <v>83</v>
      </c>
      <c r="E11" s="6" t="b">
        <f t="shared" si="1"/>
        <v>1</v>
      </c>
      <c r="F11" s="6" t="b">
        <f>COUNTIFS('OLT DOWN Tickets'!$AB:$AB, "*" &amp; D11 &amp; "*", 'OLT DOWN Tickets'!$L:$L, "OLT DOWN") &gt; 0</f>
        <v>0</v>
      </c>
      <c r="G11" s="6" t="b">
        <f>COUNTIFS('OLT DOWN Tickets'!$AB:$AB, "*" &amp; D11 &amp; "*", 'OLT DOWN Tickets'!$L:$L, "OLT UPLINK LOW POWER") &gt; 0</f>
        <v>0</v>
      </c>
      <c r="H11" s="6" t="b">
        <f>COUNTIFS('OLT DOWN Tickets'!$AB:$AB, "*" &amp; D11 &amp; "*", 'OLT DOWN Tickets'!$L:$L, "OLT UPLINK DOWN") &gt; 0</f>
        <v>0</v>
      </c>
      <c r="I11" s="6" t="b">
        <f>COUNTIFS('OLT DOWN Tickets'!$AB:$AB, "*" &amp; D11 &amp; "*", 'OLT DOWN Tickets'!$L:$L, "OLT SERVICE DEGRADATION") &gt; 0</f>
        <v>0</v>
      </c>
      <c r="J11" s="32" t="str">
        <f>IFERROR(__xludf.DUMMYFUNCTION("IFERROR(INDEX(FILTER('OLT DOWN Tickets'!$F:$F, REGEXMATCH('OLT DOWN Tickets'!$AB:$AB, ""(?i)""&amp;TRIM(D11)), 'OLT DOWN Tickets'!$L:$L=""OLT DOWN""), 1), """")"),"")</f>
        <v/>
      </c>
      <c r="K11" s="32" t="str">
        <f>IFERROR(__xludf.DUMMYFUNCTION("IFERROR(INDEX(FILTER('OLT DOWN Tickets'!$F:$F, REGEXMATCH('OLT DOWN Tickets'!$AB:$AB, ""(?i)""&amp;TRIM(D11)), 'OLT DOWN Tickets'!$L:$L=""OLT UPLINK LOW POWER""), 1), """")"),"")</f>
        <v/>
      </c>
      <c r="L11" s="32" t="str">
        <f>IFERROR(__xludf.DUMMYFUNCTION("IFERROR(INDEX(FILTER('OLT DOWN Tickets'!$F:$F, REGEXMATCH('OLT DOWN Tickets'!$AB:$AB, ""(?i)""&amp;TRIM(D11)), 'OLT DOWN Tickets'!$L:$L=""OLT UPLINK DOWN""), 1), """")"),"")</f>
        <v/>
      </c>
      <c r="M11" s="32" t="str">
        <f>IFERROR(__xludf.DUMMYFUNCTION("IFERROR(INDEX(FILTER('OLT DOWN Tickets'!$F:$F, REGEXMATCH('OLT DOWN Tickets'!$AB:$AB, ""(?i)""&amp;TRIM(D11)), 'OLT DOWN Tickets'!$L:$L=""OLT SERVICE DEGRADATION""), 1), """")
"),"")</f>
        <v/>
      </c>
      <c r="N11" s="6" t="b">
        <v>0</v>
      </c>
      <c r="O11" s="6" t="b">
        <v>0</v>
      </c>
      <c r="P11" s="6" t="b">
        <v>0</v>
      </c>
      <c r="Q11" s="6" t="b">
        <v>0</v>
      </c>
      <c r="R11" s="6"/>
      <c r="S11" s="6"/>
      <c r="T11" s="6"/>
      <c r="U11" s="6"/>
    </row>
    <row r="12">
      <c r="A12" s="19"/>
      <c r="B12" s="26" t="s">
        <v>81</v>
      </c>
      <c r="C12" s="26" t="s">
        <v>84</v>
      </c>
      <c r="D12" s="27" t="s">
        <v>85</v>
      </c>
      <c r="E12" s="6" t="b">
        <f t="shared" si="1"/>
        <v>1</v>
      </c>
      <c r="F12" s="6" t="b">
        <f>COUNTIFS('OLT DOWN Tickets'!$AB:$AB, "*" &amp; D12 &amp; "*", 'OLT DOWN Tickets'!$L:$L, "OLT DOWN") &gt; 0</f>
        <v>0</v>
      </c>
      <c r="G12" s="6" t="b">
        <f>COUNTIFS('OLT DOWN Tickets'!$AB:$AB, "*" &amp; D12 &amp; "*", 'OLT DOWN Tickets'!$L:$L, "OLT UPLINK LOW POWER") &gt; 0</f>
        <v>0</v>
      </c>
      <c r="H12" s="6" t="b">
        <f>COUNTIFS('OLT DOWN Tickets'!$AB:$AB, "*" &amp; D12 &amp; "*", 'OLT DOWN Tickets'!$L:$L, "OLT UPLINK DOWN") &gt; 0</f>
        <v>0</v>
      </c>
      <c r="I12" s="6" t="b">
        <f>COUNTIFS('OLT DOWN Tickets'!$AB:$AB, "*" &amp; D12 &amp; "*", 'OLT DOWN Tickets'!$L:$L, "OLT SERVICE DEGRADATION") &gt; 0</f>
        <v>0</v>
      </c>
      <c r="J12" s="32" t="str">
        <f>IFERROR(__xludf.DUMMYFUNCTION("IFERROR(INDEX(FILTER('OLT DOWN Tickets'!$F:$F, REGEXMATCH('OLT DOWN Tickets'!$AB:$AB, ""(?i)""&amp;TRIM(D12)), 'OLT DOWN Tickets'!$L:$L=""OLT DOWN""), 1), """")"),"")</f>
        <v/>
      </c>
      <c r="K12" s="32" t="str">
        <f>IFERROR(__xludf.DUMMYFUNCTION("IFERROR(INDEX(FILTER('OLT DOWN Tickets'!$F:$F, REGEXMATCH('OLT DOWN Tickets'!$AB:$AB, ""(?i)""&amp;TRIM(D12)), 'OLT DOWN Tickets'!$L:$L=""OLT UPLINK LOW POWER""), 1), """")"),"")</f>
        <v/>
      </c>
      <c r="L12" s="32" t="str">
        <f>IFERROR(__xludf.DUMMYFUNCTION("IFERROR(INDEX(FILTER('OLT DOWN Tickets'!$F:$F, REGEXMATCH('OLT DOWN Tickets'!$AB:$AB, ""(?i)""&amp;TRIM(D12)), 'OLT DOWN Tickets'!$L:$L=""OLT UPLINK DOWN""), 1), """")"),"")</f>
        <v/>
      </c>
      <c r="M12" s="32" t="str">
        <f>IFERROR(__xludf.DUMMYFUNCTION("IFERROR(INDEX(FILTER('OLT DOWN Tickets'!$F:$F, REGEXMATCH('OLT DOWN Tickets'!$AB:$AB, ""(?i)""&amp;TRIM(D12)), 'OLT DOWN Tickets'!$L:$L=""OLT SERVICE DEGRADATION""), 1), """")
"),"")</f>
        <v/>
      </c>
      <c r="N12" s="6" t="b">
        <v>0</v>
      </c>
      <c r="O12" s="6" t="b">
        <v>0</v>
      </c>
      <c r="P12" s="6" t="b">
        <v>0</v>
      </c>
      <c r="Q12" s="6" t="b">
        <v>0</v>
      </c>
      <c r="R12" s="6"/>
      <c r="S12" s="6"/>
      <c r="T12" s="6"/>
      <c r="U12" s="6"/>
    </row>
    <row r="13">
      <c r="A13" s="19"/>
      <c r="B13" s="26" t="s">
        <v>81</v>
      </c>
      <c r="C13" s="26" t="s">
        <v>84</v>
      </c>
      <c r="D13" s="27" t="s">
        <v>86</v>
      </c>
      <c r="E13" s="6" t="b">
        <f t="shared" si="1"/>
        <v>1</v>
      </c>
      <c r="F13" s="6" t="b">
        <f>COUNTIFS('OLT DOWN Tickets'!$AB:$AB, "*" &amp; D13 &amp; "*", 'OLT DOWN Tickets'!$L:$L, "OLT DOWN") &gt; 0</f>
        <v>0</v>
      </c>
      <c r="G13" s="6" t="b">
        <f>COUNTIFS('OLT DOWN Tickets'!$AB:$AB, "*" &amp; D13 &amp; "*", 'OLT DOWN Tickets'!$L:$L, "OLT UPLINK LOW POWER") &gt; 0</f>
        <v>0</v>
      </c>
      <c r="H13" s="6" t="b">
        <f>COUNTIFS('OLT DOWN Tickets'!$AB:$AB, "*" &amp; D13 &amp; "*", 'OLT DOWN Tickets'!$L:$L, "OLT UPLINK DOWN") &gt; 0</f>
        <v>0</v>
      </c>
      <c r="I13" s="6" t="b">
        <f>COUNTIFS('OLT DOWN Tickets'!$AB:$AB, "*" &amp; D13 &amp; "*", 'OLT DOWN Tickets'!$L:$L, "OLT SERVICE DEGRADATION") &gt; 0</f>
        <v>0</v>
      </c>
      <c r="J13" s="32" t="str">
        <f>IFERROR(__xludf.DUMMYFUNCTION("IFERROR(INDEX(FILTER('OLT DOWN Tickets'!$F:$F, REGEXMATCH('OLT DOWN Tickets'!$AB:$AB, ""(?i)""&amp;TRIM(D13)), 'OLT DOWN Tickets'!$L:$L=""OLT DOWN""), 1), """")"),"")</f>
        <v/>
      </c>
      <c r="K13" s="32" t="str">
        <f>IFERROR(__xludf.DUMMYFUNCTION("IFERROR(INDEX(FILTER('OLT DOWN Tickets'!$F:$F, REGEXMATCH('OLT DOWN Tickets'!$AB:$AB, ""(?i)""&amp;TRIM(D13)), 'OLT DOWN Tickets'!$L:$L=""OLT UPLINK LOW POWER""), 1), """")"),"")</f>
        <v/>
      </c>
      <c r="L13" s="32" t="str">
        <f>IFERROR(__xludf.DUMMYFUNCTION("IFERROR(INDEX(FILTER('OLT DOWN Tickets'!$F:$F, REGEXMATCH('OLT DOWN Tickets'!$AB:$AB, ""(?i)""&amp;TRIM(D13)), 'OLT DOWN Tickets'!$L:$L=""OLT UPLINK DOWN""), 1), """")"),"")</f>
        <v/>
      </c>
      <c r="M13" s="32" t="str">
        <f>IFERROR(__xludf.DUMMYFUNCTION("IFERROR(INDEX(FILTER('OLT DOWN Tickets'!$F:$F, REGEXMATCH('OLT DOWN Tickets'!$AB:$AB, ""(?i)""&amp;TRIM(D13)), 'OLT DOWN Tickets'!$L:$L=""OLT SERVICE DEGRADATION""), 1), """")
"),"")</f>
        <v/>
      </c>
      <c r="N13" s="6" t="b">
        <v>0</v>
      </c>
      <c r="O13" s="6" t="b">
        <v>0</v>
      </c>
      <c r="P13" s="6" t="b">
        <v>0</v>
      </c>
      <c r="Q13" s="6" t="b">
        <v>0</v>
      </c>
      <c r="R13" s="6"/>
      <c r="S13" s="6"/>
      <c r="T13" s="6"/>
      <c r="U13" s="6"/>
    </row>
    <row r="14">
      <c r="A14" s="19"/>
      <c r="B14" s="26" t="s">
        <v>81</v>
      </c>
      <c r="C14" s="53" t="s">
        <v>87</v>
      </c>
      <c r="D14" s="27" t="s">
        <v>88</v>
      </c>
      <c r="E14" s="6" t="b">
        <f t="shared" si="1"/>
        <v>1</v>
      </c>
      <c r="F14" s="6" t="b">
        <f>COUNTIFS('OLT DOWN Tickets'!$AB:$AB, "*" &amp; D14 &amp; "*", 'OLT DOWN Tickets'!$L:$L, "OLT DOWN") &gt; 0</f>
        <v>0</v>
      </c>
      <c r="G14" s="6" t="b">
        <f>COUNTIFS('OLT DOWN Tickets'!$AB:$AB, "*" &amp; D14 &amp; "*", 'OLT DOWN Tickets'!$L:$L, "OLT UPLINK LOW POWER") &gt; 0</f>
        <v>0</v>
      </c>
      <c r="H14" s="6" t="b">
        <f>COUNTIFS('OLT DOWN Tickets'!$AB:$AB, "*" &amp; D14 &amp; "*", 'OLT DOWN Tickets'!$L:$L, "OLT UPLINK DOWN") &gt; 0</f>
        <v>0</v>
      </c>
      <c r="I14" s="6" t="b">
        <f>COUNTIFS('OLT DOWN Tickets'!$AB:$AB, "*" &amp; D14 &amp; "*", 'OLT DOWN Tickets'!$L:$L, "OLT SERVICE DEGRADATION") &gt; 0</f>
        <v>0</v>
      </c>
      <c r="J14" s="32" t="str">
        <f>IFERROR(__xludf.DUMMYFUNCTION("IFERROR(INDEX(FILTER('OLT DOWN Tickets'!$F:$F, REGEXMATCH('OLT DOWN Tickets'!$AB:$AB, ""(?i)""&amp;TRIM(D14)), 'OLT DOWN Tickets'!$L:$L=""OLT DOWN""), 1), """")"),"")</f>
        <v/>
      </c>
      <c r="K14" s="32" t="str">
        <f>IFERROR(__xludf.DUMMYFUNCTION("IFERROR(INDEX(FILTER('OLT DOWN Tickets'!$F:$F, REGEXMATCH('OLT DOWN Tickets'!$AB:$AB, ""(?i)""&amp;TRIM(D14)), 'OLT DOWN Tickets'!$L:$L=""OLT UPLINK LOW POWER""), 1), """")"),"")</f>
        <v/>
      </c>
      <c r="L14" s="32" t="str">
        <f>IFERROR(__xludf.DUMMYFUNCTION("IFERROR(INDEX(FILTER('OLT DOWN Tickets'!$F:$F, REGEXMATCH('OLT DOWN Tickets'!$AB:$AB, ""(?i)""&amp;TRIM(D14)), 'OLT DOWN Tickets'!$L:$L=""OLT UPLINK DOWN""), 1), """")"),"")</f>
        <v/>
      </c>
      <c r="M14" s="32" t="str">
        <f>IFERROR(__xludf.DUMMYFUNCTION("IFERROR(INDEX(FILTER('OLT DOWN Tickets'!$F:$F, REGEXMATCH('OLT DOWN Tickets'!$AB:$AB, ""(?i)""&amp;TRIM(D14)), 'OLT DOWN Tickets'!$L:$L=""OLT SERVICE DEGRADATION""), 1), """")
"),"")</f>
        <v/>
      </c>
      <c r="N14" s="6" t="b">
        <v>0</v>
      </c>
      <c r="O14" s="6" t="b">
        <v>0</v>
      </c>
      <c r="P14" s="6" t="b">
        <v>0</v>
      </c>
      <c r="Q14" s="6" t="b">
        <v>0</v>
      </c>
      <c r="R14" s="6"/>
      <c r="S14" s="6"/>
      <c r="T14" s="6"/>
      <c r="U14" s="6"/>
    </row>
    <row r="15">
      <c r="A15" s="19"/>
      <c r="B15" s="26" t="s">
        <v>81</v>
      </c>
      <c r="C15" s="26" t="s">
        <v>89</v>
      </c>
      <c r="D15" s="27" t="s">
        <v>90</v>
      </c>
      <c r="E15" s="6" t="b">
        <f t="shared" si="1"/>
        <v>1</v>
      </c>
      <c r="F15" s="6" t="b">
        <f>COUNTIFS('OLT DOWN Tickets'!$AB:$AB, "*" &amp; D15 &amp; "*", 'OLT DOWN Tickets'!$L:$L, "OLT DOWN") &gt; 0</f>
        <v>0</v>
      </c>
      <c r="G15" s="6" t="b">
        <f>COUNTIFS('OLT DOWN Tickets'!$AB:$AB, "*" &amp; D15 &amp; "*", 'OLT DOWN Tickets'!$L:$L, "OLT UPLINK LOW POWER") &gt; 0</f>
        <v>0</v>
      </c>
      <c r="H15" s="6" t="b">
        <f>COUNTIFS('OLT DOWN Tickets'!$AB:$AB, "*" &amp; D15 &amp; "*", 'OLT DOWN Tickets'!$L:$L, "OLT UPLINK DOWN") &gt; 0</f>
        <v>0</v>
      </c>
      <c r="I15" s="6" t="b">
        <f>COUNTIFS('OLT DOWN Tickets'!$AB:$AB, "*" &amp; D15 &amp; "*", 'OLT DOWN Tickets'!$L:$L, "OLT SERVICE DEGRADATION") &gt; 0</f>
        <v>0</v>
      </c>
      <c r="J15" s="32" t="str">
        <f>IFERROR(__xludf.DUMMYFUNCTION("IFERROR(INDEX(FILTER('OLT DOWN Tickets'!$F:$F, REGEXMATCH('OLT DOWN Tickets'!$AB:$AB, ""(?i)""&amp;TRIM(D15)), 'OLT DOWN Tickets'!$L:$L=""OLT DOWN""), 1), """")"),"")</f>
        <v/>
      </c>
      <c r="K15" s="32" t="str">
        <f>IFERROR(__xludf.DUMMYFUNCTION("IFERROR(INDEX(FILTER('OLT DOWN Tickets'!$F:$F, REGEXMATCH('OLT DOWN Tickets'!$AB:$AB, ""(?i)""&amp;TRIM(D15)), 'OLT DOWN Tickets'!$L:$L=""OLT UPLINK LOW POWER""), 1), """")"),"")</f>
        <v/>
      </c>
      <c r="L15" s="32" t="str">
        <f>IFERROR(__xludf.DUMMYFUNCTION("IFERROR(INDEX(FILTER('OLT DOWN Tickets'!$F:$F, REGEXMATCH('OLT DOWN Tickets'!$AB:$AB, ""(?i)""&amp;TRIM(D15)), 'OLT DOWN Tickets'!$L:$L=""OLT UPLINK DOWN""), 1), """")"),"")</f>
        <v/>
      </c>
      <c r="M15" s="32" t="str">
        <f>IFERROR(__xludf.DUMMYFUNCTION("IFERROR(INDEX(FILTER('OLT DOWN Tickets'!$F:$F, REGEXMATCH('OLT DOWN Tickets'!$AB:$AB, ""(?i)""&amp;TRIM(D15)), 'OLT DOWN Tickets'!$L:$L=""OLT SERVICE DEGRADATION""), 1), """")
"),"")</f>
        <v/>
      </c>
      <c r="N15" s="6" t="b">
        <v>0</v>
      </c>
      <c r="O15" s="6" t="b">
        <v>0</v>
      </c>
      <c r="P15" s="6" t="b">
        <v>0</v>
      </c>
      <c r="Q15" s="6" t="b">
        <v>0</v>
      </c>
      <c r="R15" s="6"/>
      <c r="S15" s="6"/>
      <c r="T15" s="6"/>
      <c r="U15" s="6"/>
    </row>
    <row r="16">
      <c r="A16" s="19"/>
      <c r="B16" s="26" t="s">
        <v>81</v>
      </c>
      <c r="C16" s="26" t="s">
        <v>91</v>
      </c>
      <c r="D16" s="27" t="s">
        <v>92</v>
      </c>
      <c r="E16" s="6" t="b">
        <f t="shared" si="1"/>
        <v>1</v>
      </c>
      <c r="F16" s="6" t="b">
        <f>COUNTIFS('OLT DOWN Tickets'!$AB:$AB, "*" &amp; D16 &amp; "*", 'OLT DOWN Tickets'!$L:$L, "OLT DOWN") &gt; 0</f>
        <v>0</v>
      </c>
      <c r="G16" s="6" t="b">
        <f>COUNTIFS('OLT DOWN Tickets'!$AB:$AB, "*" &amp; D16 &amp; "*", 'OLT DOWN Tickets'!$L:$L, "OLT UPLINK LOW POWER") &gt; 0</f>
        <v>0</v>
      </c>
      <c r="H16" s="6" t="b">
        <f>COUNTIFS('OLT DOWN Tickets'!$AB:$AB, "*" &amp; D16 &amp; "*", 'OLT DOWN Tickets'!$L:$L, "OLT UPLINK DOWN") &gt; 0</f>
        <v>0</v>
      </c>
      <c r="I16" s="6" t="b">
        <f>COUNTIFS('OLT DOWN Tickets'!$AB:$AB, "*" &amp; D16 &amp; "*", 'OLT DOWN Tickets'!$L:$L, "OLT SERVICE DEGRADATION") &gt; 0</f>
        <v>0</v>
      </c>
      <c r="J16" s="32" t="str">
        <f>IFERROR(__xludf.DUMMYFUNCTION("IFERROR(INDEX(FILTER('OLT DOWN Tickets'!$F:$F, REGEXMATCH('OLT DOWN Tickets'!$AB:$AB, ""(?i)""&amp;TRIM(D16)), 'OLT DOWN Tickets'!$L:$L=""OLT DOWN""), 1), """")"),"")</f>
        <v/>
      </c>
      <c r="K16" s="32" t="str">
        <f>IFERROR(__xludf.DUMMYFUNCTION("IFERROR(INDEX(FILTER('OLT DOWN Tickets'!$F:$F, REGEXMATCH('OLT DOWN Tickets'!$AB:$AB, ""(?i)""&amp;TRIM(D16)), 'OLT DOWN Tickets'!$L:$L=""OLT UPLINK LOW POWER""), 1), """")"),"")</f>
        <v/>
      </c>
      <c r="L16" s="32" t="str">
        <f>IFERROR(__xludf.DUMMYFUNCTION("IFERROR(INDEX(FILTER('OLT DOWN Tickets'!$F:$F, REGEXMATCH('OLT DOWN Tickets'!$AB:$AB, ""(?i)""&amp;TRIM(D16)), 'OLT DOWN Tickets'!$L:$L=""OLT UPLINK DOWN""), 1), """")"),"")</f>
        <v/>
      </c>
      <c r="M16" s="32" t="str">
        <f>IFERROR(__xludf.DUMMYFUNCTION("IFERROR(INDEX(FILTER('OLT DOWN Tickets'!$F:$F, REGEXMATCH('OLT DOWN Tickets'!$AB:$AB, ""(?i)""&amp;TRIM(D16)), 'OLT DOWN Tickets'!$L:$L=""OLT SERVICE DEGRADATION""), 1), """")
"),"")</f>
        <v/>
      </c>
      <c r="N16" s="6" t="b">
        <v>0</v>
      </c>
      <c r="O16" s="6" t="b">
        <v>0</v>
      </c>
      <c r="P16" s="6" t="b">
        <v>0</v>
      </c>
      <c r="Q16" s="6" t="b">
        <v>0</v>
      </c>
      <c r="R16" s="6"/>
      <c r="S16" s="6"/>
      <c r="T16" s="6"/>
      <c r="U16" s="6"/>
    </row>
    <row r="17">
      <c r="A17" s="19"/>
      <c r="B17" s="26" t="s">
        <v>81</v>
      </c>
      <c r="C17" s="26" t="s">
        <v>91</v>
      </c>
      <c r="D17" s="27" t="s">
        <v>93</v>
      </c>
      <c r="E17" s="6" t="b">
        <f t="shared" si="1"/>
        <v>1</v>
      </c>
      <c r="F17" s="6" t="b">
        <f>COUNTIFS('OLT DOWN Tickets'!$AB:$AB, "*" &amp; D17 &amp; "*", 'OLT DOWN Tickets'!$L:$L, "OLT DOWN") &gt; 0</f>
        <v>0</v>
      </c>
      <c r="G17" s="6" t="b">
        <f>COUNTIFS('OLT DOWN Tickets'!$AB:$AB, "*" &amp; D17 &amp; "*", 'OLT DOWN Tickets'!$L:$L, "OLT UPLINK LOW POWER") &gt; 0</f>
        <v>0</v>
      </c>
      <c r="H17" s="6" t="b">
        <f>COUNTIFS('OLT DOWN Tickets'!$AB:$AB, "*" &amp; D17 &amp; "*", 'OLT DOWN Tickets'!$L:$L, "OLT UPLINK DOWN") &gt; 0</f>
        <v>0</v>
      </c>
      <c r="I17" s="6" t="b">
        <f>COUNTIFS('OLT DOWN Tickets'!$AB:$AB, "*" &amp; D17 &amp; "*", 'OLT DOWN Tickets'!$L:$L, "OLT SERVICE DEGRADATION") &gt; 0</f>
        <v>0</v>
      </c>
      <c r="J17" s="32" t="str">
        <f>IFERROR(__xludf.DUMMYFUNCTION("IFERROR(INDEX(FILTER('OLT DOWN Tickets'!$F:$F, REGEXMATCH('OLT DOWN Tickets'!$AB:$AB, ""(?i)""&amp;TRIM(D17)), 'OLT DOWN Tickets'!$L:$L=""OLT DOWN""), 1), """")"),"")</f>
        <v/>
      </c>
      <c r="K17" s="32" t="str">
        <f>IFERROR(__xludf.DUMMYFUNCTION("IFERROR(INDEX(FILTER('OLT DOWN Tickets'!$F:$F, REGEXMATCH('OLT DOWN Tickets'!$AB:$AB, ""(?i)""&amp;TRIM(D17)), 'OLT DOWN Tickets'!$L:$L=""OLT UPLINK LOW POWER""), 1), """")"),"")</f>
        <v/>
      </c>
      <c r="L17" s="32" t="str">
        <f>IFERROR(__xludf.DUMMYFUNCTION("IFERROR(INDEX(FILTER('OLT DOWN Tickets'!$F:$F, REGEXMATCH('OLT DOWN Tickets'!$AB:$AB, ""(?i)""&amp;TRIM(D17)), 'OLT DOWN Tickets'!$L:$L=""OLT UPLINK DOWN""), 1), """")"),"")</f>
        <v/>
      </c>
      <c r="M17" s="32" t="str">
        <f>IFERROR(__xludf.DUMMYFUNCTION("IFERROR(INDEX(FILTER('OLT DOWN Tickets'!$F:$F, REGEXMATCH('OLT DOWN Tickets'!$AB:$AB, ""(?i)""&amp;TRIM(D17)), 'OLT DOWN Tickets'!$L:$L=""OLT SERVICE DEGRADATION""), 1), """")
"),"")</f>
        <v/>
      </c>
      <c r="N17" s="6" t="b">
        <v>0</v>
      </c>
      <c r="O17" s="6" t="b">
        <v>0</v>
      </c>
      <c r="P17" s="6" t="b">
        <v>0</v>
      </c>
      <c r="Q17" s="6" t="b">
        <v>0</v>
      </c>
      <c r="R17" s="6"/>
      <c r="S17" s="6"/>
      <c r="T17" s="6"/>
      <c r="U17" s="6"/>
    </row>
    <row r="18">
      <c r="A18" s="19"/>
      <c r="B18" s="26" t="s">
        <v>81</v>
      </c>
      <c r="C18" s="26" t="s">
        <v>102</v>
      </c>
      <c r="D18" s="27" t="s">
        <v>103</v>
      </c>
      <c r="E18" s="6" t="b">
        <f t="shared" si="1"/>
        <v>1</v>
      </c>
      <c r="F18" s="6" t="b">
        <f>COUNTIFS('OLT DOWN Tickets'!$AB:$AB, "*" &amp; D18 &amp; "*", 'OLT DOWN Tickets'!$L:$L, "OLT DOWN") &gt; 0</f>
        <v>0</v>
      </c>
      <c r="G18" s="6" t="b">
        <f>COUNTIFS('OLT DOWN Tickets'!$AB:$AB, "*" &amp; D18 &amp; "*", 'OLT DOWN Tickets'!$L:$L, "OLT UPLINK LOW POWER") &gt; 0</f>
        <v>0</v>
      </c>
      <c r="H18" s="6" t="b">
        <f>COUNTIFS('OLT DOWN Tickets'!$AB:$AB, "*" &amp; D18 &amp; "*", 'OLT DOWN Tickets'!$L:$L, "OLT UPLINK DOWN") &gt; 0</f>
        <v>0</v>
      </c>
      <c r="I18" s="6" t="b">
        <f>COUNTIFS('OLT DOWN Tickets'!$AB:$AB, "*" &amp; D18 &amp; "*", 'OLT DOWN Tickets'!$L:$L, "OLT SERVICE DEGRADATION") &gt; 0</f>
        <v>0</v>
      </c>
      <c r="J18" s="32" t="str">
        <f>IFERROR(__xludf.DUMMYFUNCTION("IFERROR(INDEX(FILTER('OLT DOWN Tickets'!$F:$F, REGEXMATCH('OLT DOWN Tickets'!$AB:$AB, ""(?i)""&amp;TRIM(D18)), 'OLT DOWN Tickets'!$L:$L=""OLT DOWN""), 1), """")"),"")</f>
        <v/>
      </c>
      <c r="K18" s="32" t="str">
        <f>IFERROR(__xludf.DUMMYFUNCTION("IFERROR(INDEX(FILTER('OLT DOWN Tickets'!$F:$F, REGEXMATCH('OLT DOWN Tickets'!$AB:$AB, ""(?i)""&amp;TRIM(D18)), 'OLT DOWN Tickets'!$L:$L=""OLT UPLINK LOW POWER""), 1), """")"),"")</f>
        <v/>
      </c>
      <c r="L18" s="32" t="str">
        <f>IFERROR(__xludf.DUMMYFUNCTION("IFERROR(INDEX(FILTER('OLT DOWN Tickets'!$F:$F, REGEXMATCH('OLT DOWN Tickets'!$AB:$AB, ""(?i)""&amp;TRIM(D18)), 'OLT DOWN Tickets'!$L:$L=""OLT UPLINK DOWN""), 1), """")"),"")</f>
        <v/>
      </c>
      <c r="M18" s="32" t="str">
        <f>IFERROR(__xludf.DUMMYFUNCTION("IFERROR(INDEX(FILTER('OLT DOWN Tickets'!$F:$F, REGEXMATCH('OLT DOWN Tickets'!$AB:$AB, ""(?i)""&amp;TRIM(D18)), 'OLT DOWN Tickets'!$L:$L=""OLT SERVICE DEGRADATION""), 1), """")
"),"")</f>
        <v/>
      </c>
      <c r="N18" s="6" t="b">
        <v>0</v>
      </c>
      <c r="O18" s="6" t="b">
        <v>0</v>
      </c>
      <c r="P18" s="6" t="b">
        <v>0</v>
      </c>
      <c r="Q18" s="6" t="b">
        <v>0</v>
      </c>
      <c r="R18" s="6"/>
      <c r="S18" s="6"/>
      <c r="T18" s="6"/>
      <c r="U18" s="6"/>
    </row>
    <row r="19">
      <c r="A19" s="19"/>
      <c r="B19" s="26" t="s">
        <v>81</v>
      </c>
      <c r="C19" s="26" t="s">
        <v>102</v>
      </c>
      <c r="D19" s="27" t="s">
        <v>120</v>
      </c>
      <c r="E19" s="6" t="b">
        <f t="shared" si="1"/>
        <v>1</v>
      </c>
      <c r="F19" s="6" t="b">
        <f>COUNTIFS('OLT DOWN Tickets'!$AB:$AB, "*" &amp; D19 &amp; "*", 'OLT DOWN Tickets'!$L:$L, "OLT DOWN") &gt; 0</f>
        <v>0</v>
      </c>
      <c r="G19" s="6" t="b">
        <f>COUNTIFS('OLT DOWN Tickets'!$AB:$AB, "*" &amp; D19 &amp; "*", 'OLT DOWN Tickets'!$L:$L, "OLT UPLINK LOW POWER") &gt; 0</f>
        <v>0</v>
      </c>
      <c r="H19" s="6" t="b">
        <f>COUNTIFS('OLT DOWN Tickets'!$AB:$AB, "*" &amp; D19 &amp; "*", 'OLT DOWN Tickets'!$L:$L, "OLT UPLINK DOWN") &gt; 0</f>
        <v>0</v>
      </c>
      <c r="I19" s="6" t="b">
        <f>COUNTIFS('OLT DOWN Tickets'!$AB:$AB, "*" &amp; D19 &amp; "*", 'OLT DOWN Tickets'!$L:$L, "OLT SERVICE DEGRADATION") &gt; 0</f>
        <v>0</v>
      </c>
      <c r="J19" s="32" t="str">
        <f>IFERROR(__xludf.DUMMYFUNCTION("IFERROR(INDEX(FILTER('OLT DOWN Tickets'!$F:$F, REGEXMATCH('OLT DOWN Tickets'!$AB:$AB, ""(?i)""&amp;TRIM(D19)), 'OLT DOWN Tickets'!$L:$L=""OLT DOWN""), 1), """")"),"")</f>
        <v/>
      </c>
      <c r="K19" s="32" t="str">
        <f>IFERROR(__xludf.DUMMYFUNCTION("IFERROR(INDEX(FILTER('OLT DOWN Tickets'!$F:$F, REGEXMATCH('OLT DOWN Tickets'!$AB:$AB, ""(?i)""&amp;TRIM(D19)), 'OLT DOWN Tickets'!$L:$L=""OLT UPLINK LOW POWER""), 1), """")"),"")</f>
        <v/>
      </c>
      <c r="L19" s="32" t="str">
        <f>IFERROR(__xludf.DUMMYFUNCTION("IFERROR(INDEX(FILTER('OLT DOWN Tickets'!$F:$F, REGEXMATCH('OLT DOWN Tickets'!$AB:$AB, ""(?i)""&amp;TRIM(D19)), 'OLT DOWN Tickets'!$L:$L=""OLT UPLINK DOWN""), 1), """")"),"")</f>
        <v/>
      </c>
      <c r="M19" s="32" t="str">
        <f>IFERROR(__xludf.DUMMYFUNCTION("IFERROR(INDEX(FILTER('OLT DOWN Tickets'!$F:$F, REGEXMATCH('OLT DOWN Tickets'!$AB:$AB, ""(?i)""&amp;TRIM(D19)), 'OLT DOWN Tickets'!$L:$L=""OLT SERVICE DEGRADATION""), 1), """")
"),"")</f>
        <v/>
      </c>
      <c r="N19" s="6" t="b">
        <v>0</v>
      </c>
      <c r="O19" s="6" t="b">
        <v>0</v>
      </c>
      <c r="P19" s="6" t="b">
        <v>0</v>
      </c>
      <c r="Q19" s="6" t="b">
        <v>0</v>
      </c>
      <c r="R19" s="6"/>
      <c r="S19" s="6"/>
      <c r="T19" s="6"/>
      <c r="U19" s="6"/>
    </row>
    <row r="20">
      <c r="A20" s="19"/>
      <c r="B20" s="26" t="s">
        <v>81</v>
      </c>
      <c r="C20" s="26" t="s">
        <v>125</v>
      </c>
      <c r="D20" s="27" t="s">
        <v>126</v>
      </c>
      <c r="E20" s="6" t="b">
        <f t="shared" si="1"/>
        <v>1</v>
      </c>
      <c r="F20" s="6" t="b">
        <f>COUNTIFS('OLT DOWN Tickets'!$AB:$AB, "*" &amp; D20 &amp; "*", 'OLT DOWN Tickets'!$L:$L, "OLT DOWN") &gt; 0</f>
        <v>0</v>
      </c>
      <c r="G20" s="6" t="b">
        <f>COUNTIFS('OLT DOWN Tickets'!$AB:$AB, "*" &amp; D20 &amp; "*", 'OLT DOWN Tickets'!$L:$L, "OLT UPLINK LOW POWER") &gt; 0</f>
        <v>0</v>
      </c>
      <c r="H20" s="6" t="b">
        <f>COUNTIFS('OLT DOWN Tickets'!$AB:$AB, "*" &amp; D20 &amp; "*", 'OLT DOWN Tickets'!$L:$L, "OLT UPLINK DOWN") &gt; 0</f>
        <v>0</v>
      </c>
      <c r="I20" s="6" t="b">
        <f>COUNTIFS('OLT DOWN Tickets'!$AB:$AB, "*" &amp; D20 &amp; "*", 'OLT DOWN Tickets'!$L:$L, "OLT SERVICE DEGRADATION") &gt; 0</f>
        <v>0</v>
      </c>
      <c r="J20" s="32" t="str">
        <f>IFERROR(__xludf.DUMMYFUNCTION("IFERROR(INDEX(FILTER('OLT DOWN Tickets'!$F:$F, REGEXMATCH('OLT DOWN Tickets'!$AB:$AB, ""(?i)""&amp;TRIM(D20)), 'OLT DOWN Tickets'!$L:$L=""OLT DOWN""), 1), """")"),"")</f>
        <v/>
      </c>
      <c r="K20" s="32" t="str">
        <f>IFERROR(__xludf.DUMMYFUNCTION("IFERROR(INDEX(FILTER('OLT DOWN Tickets'!$F:$F, REGEXMATCH('OLT DOWN Tickets'!$AB:$AB, ""(?i)""&amp;TRIM(D20)), 'OLT DOWN Tickets'!$L:$L=""OLT UPLINK LOW POWER""), 1), """")"),"")</f>
        <v/>
      </c>
      <c r="L20" s="32" t="str">
        <f>IFERROR(__xludf.DUMMYFUNCTION("IFERROR(INDEX(FILTER('OLT DOWN Tickets'!$F:$F, REGEXMATCH('OLT DOWN Tickets'!$AB:$AB, ""(?i)""&amp;TRIM(D20)), 'OLT DOWN Tickets'!$L:$L=""OLT UPLINK DOWN""), 1), """")"),"")</f>
        <v/>
      </c>
      <c r="M20" s="32" t="str">
        <f>IFERROR(__xludf.DUMMYFUNCTION("IFERROR(INDEX(FILTER('OLT DOWN Tickets'!$F:$F, REGEXMATCH('OLT DOWN Tickets'!$AB:$AB, ""(?i)""&amp;TRIM(D20)), 'OLT DOWN Tickets'!$L:$L=""OLT SERVICE DEGRADATION""), 1), """")
"),"")</f>
        <v/>
      </c>
      <c r="N20" s="6" t="b">
        <v>0</v>
      </c>
      <c r="O20" s="6" t="b">
        <v>0</v>
      </c>
      <c r="P20" s="6" t="b">
        <v>0</v>
      </c>
      <c r="Q20" s="6" t="b">
        <v>0</v>
      </c>
      <c r="R20" s="6"/>
      <c r="S20" s="6"/>
      <c r="T20" s="6"/>
      <c r="U20" s="6"/>
    </row>
    <row r="21">
      <c r="A21" s="19"/>
      <c r="B21" s="26" t="s">
        <v>81</v>
      </c>
      <c r="C21" s="26" t="s">
        <v>127</v>
      </c>
      <c r="D21" s="27" t="s">
        <v>128</v>
      </c>
      <c r="E21" s="6" t="b">
        <f t="shared" si="1"/>
        <v>1</v>
      </c>
      <c r="F21" s="6" t="b">
        <f>COUNTIFS('OLT DOWN Tickets'!$AB:$AB, "*" &amp; D21 &amp; "*", 'OLT DOWN Tickets'!$L:$L, "OLT DOWN") &gt; 0</f>
        <v>0</v>
      </c>
      <c r="G21" s="6" t="b">
        <f>COUNTIFS('OLT DOWN Tickets'!$AB:$AB, "*" &amp; D21 &amp; "*", 'OLT DOWN Tickets'!$L:$L, "OLT UPLINK LOW POWER") &gt; 0</f>
        <v>0</v>
      </c>
      <c r="H21" s="6" t="b">
        <f>COUNTIFS('OLT DOWN Tickets'!$AB:$AB, "*" &amp; D21 &amp; "*", 'OLT DOWN Tickets'!$L:$L, "OLT UPLINK DOWN") &gt; 0</f>
        <v>0</v>
      </c>
      <c r="I21" s="6" t="b">
        <f>COUNTIFS('OLT DOWN Tickets'!$AB:$AB, "*" &amp; D21 &amp; "*", 'OLT DOWN Tickets'!$L:$L, "OLT SERVICE DEGRADATION") &gt; 0</f>
        <v>0</v>
      </c>
      <c r="J21" s="32" t="str">
        <f>IFERROR(__xludf.DUMMYFUNCTION("IFERROR(INDEX(FILTER('OLT DOWN Tickets'!$F:$F, REGEXMATCH('OLT DOWN Tickets'!$AB:$AB, ""(?i)""&amp;TRIM(D21)), 'OLT DOWN Tickets'!$L:$L=""OLT DOWN""), 1), """")"),"")</f>
        <v/>
      </c>
      <c r="K21" s="32" t="str">
        <f>IFERROR(__xludf.DUMMYFUNCTION("IFERROR(INDEX(FILTER('OLT DOWN Tickets'!$F:$F, REGEXMATCH('OLT DOWN Tickets'!$AB:$AB, ""(?i)""&amp;TRIM(D21)), 'OLT DOWN Tickets'!$L:$L=""OLT UPLINK LOW POWER""), 1), """")"),"")</f>
        <v/>
      </c>
      <c r="L21" s="32" t="str">
        <f>IFERROR(__xludf.DUMMYFUNCTION("IFERROR(INDEX(FILTER('OLT DOWN Tickets'!$F:$F, REGEXMATCH('OLT DOWN Tickets'!$AB:$AB, ""(?i)""&amp;TRIM(D21)), 'OLT DOWN Tickets'!$L:$L=""OLT UPLINK DOWN""), 1), """")"),"")</f>
        <v/>
      </c>
      <c r="M21" s="32" t="str">
        <f>IFERROR(__xludf.DUMMYFUNCTION("IFERROR(INDEX(FILTER('OLT DOWN Tickets'!$F:$F, REGEXMATCH('OLT DOWN Tickets'!$AB:$AB, ""(?i)""&amp;TRIM(D21)), 'OLT DOWN Tickets'!$L:$L=""OLT SERVICE DEGRADATION""), 1), """")
"),"")</f>
        <v/>
      </c>
      <c r="N21" s="6" t="b">
        <v>0</v>
      </c>
      <c r="O21" s="6" t="b">
        <v>0</v>
      </c>
      <c r="P21" s="6" t="b">
        <v>0</v>
      </c>
      <c r="Q21" s="6" t="b">
        <v>0</v>
      </c>
      <c r="R21" s="6"/>
      <c r="S21" s="6"/>
      <c r="T21" s="6"/>
      <c r="U21" s="6"/>
    </row>
    <row r="22">
      <c r="A22" s="19"/>
      <c r="B22" s="26" t="s">
        <v>81</v>
      </c>
      <c r="C22" s="26" t="s">
        <v>127</v>
      </c>
      <c r="D22" s="27" t="s">
        <v>129</v>
      </c>
      <c r="E22" s="6" t="b">
        <f t="shared" si="1"/>
        <v>1</v>
      </c>
      <c r="F22" s="6" t="b">
        <f>COUNTIFS('OLT DOWN Tickets'!$AB:$AB, "*" &amp; D22 &amp; "*", 'OLT DOWN Tickets'!$L:$L, "OLT DOWN") &gt; 0</f>
        <v>0</v>
      </c>
      <c r="G22" s="6" t="b">
        <f>COUNTIFS('OLT DOWN Tickets'!$AB:$AB, "*" &amp; D22 &amp; "*", 'OLT DOWN Tickets'!$L:$L, "OLT UPLINK LOW POWER") &gt; 0</f>
        <v>0</v>
      </c>
      <c r="H22" s="6" t="b">
        <f>COUNTIFS('OLT DOWN Tickets'!$AB:$AB, "*" &amp; D22 &amp; "*", 'OLT DOWN Tickets'!$L:$L, "OLT UPLINK DOWN") &gt; 0</f>
        <v>0</v>
      </c>
      <c r="I22" s="6" t="b">
        <f>COUNTIFS('OLT DOWN Tickets'!$AB:$AB, "*" &amp; D22 &amp; "*", 'OLT DOWN Tickets'!$L:$L, "OLT SERVICE DEGRADATION") &gt; 0</f>
        <v>0</v>
      </c>
      <c r="J22" s="32" t="str">
        <f>IFERROR(__xludf.DUMMYFUNCTION("IFERROR(INDEX(FILTER('OLT DOWN Tickets'!$F:$F, REGEXMATCH('OLT DOWN Tickets'!$AB:$AB, ""(?i)""&amp;TRIM(D22)), 'OLT DOWN Tickets'!$L:$L=""OLT DOWN""), 1), """")"),"")</f>
        <v/>
      </c>
      <c r="K22" s="32" t="str">
        <f>IFERROR(__xludf.DUMMYFUNCTION("IFERROR(INDEX(FILTER('OLT DOWN Tickets'!$F:$F, REGEXMATCH('OLT DOWN Tickets'!$AB:$AB, ""(?i)""&amp;TRIM(D22)), 'OLT DOWN Tickets'!$L:$L=""OLT UPLINK LOW POWER""), 1), """")"),"")</f>
        <v/>
      </c>
      <c r="L22" s="32" t="str">
        <f>IFERROR(__xludf.DUMMYFUNCTION("IFERROR(INDEX(FILTER('OLT DOWN Tickets'!$F:$F, REGEXMATCH('OLT DOWN Tickets'!$AB:$AB, ""(?i)""&amp;TRIM(D22)), 'OLT DOWN Tickets'!$L:$L=""OLT UPLINK DOWN""), 1), """")"),"")</f>
        <v/>
      </c>
      <c r="M22" s="32" t="str">
        <f>IFERROR(__xludf.DUMMYFUNCTION("IFERROR(INDEX(FILTER('OLT DOWN Tickets'!$F:$F, REGEXMATCH('OLT DOWN Tickets'!$AB:$AB, ""(?i)""&amp;TRIM(D22)), 'OLT DOWN Tickets'!$L:$L=""OLT SERVICE DEGRADATION""), 1), """")
"),"")</f>
        <v/>
      </c>
      <c r="N22" s="6" t="b">
        <v>0</v>
      </c>
      <c r="O22" s="6" t="b">
        <v>0</v>
      </c>
      <c r="P22" s="6" t="b">
        <v>0</v>
      </c>
      <c r="Q22" s="6" t="b">
        <v>0</v>
      </c>
      <c r="R22" s="6"/>
      <c r="S22" s="6"/>
      <c r="T22" s="6"/>
      <c r="U22" s="6"/>
    </row>
    <row r="23">
      <c r="A23" s="19"/>
      <c r="B23" s="26" t="s">
        <v>104</v>
      </c>
      <c r="C23" s="26" t="s">
        <v>130</v>
      </c>
      <c r="D23" s="27" t="s">
        <v>131</v>
      </c>
      <c r="E23" s="6" t="b">
        <f t="shared" si="1"/>
        <v>1</v>
      </c>
      <c r="F23" s="6" t="b">
        <f>COUNTIFS('OLT DOWN Tickets'!$AB:$AB, "*" &amp; D23 &amp; "*", 'OLT DOWN Tickets'!$L:$L, "OLT DOWN") &gt; 0</f>
        <v>0</v>
      </c>
      <c r="G23" s="6" t="b">
        <f>COUNTIFS('OLT DOWN Tickets'!$AB:$AB, "*" &amp; D23 &amp; "*", 'OLT DOWN Tickets'!$L:$L, "OLT UPLINK LOW POWER") &gt; 0</f>
        <v>0</v>
      </c>
      <c r="H23" s="6" t="b">
        <f>COUNTIFS('OLT DOWN Tickets'!$AB:$AB, "*" &amp; D23 &amp; "*", 'OLT DOWN Tickets'!$L:$L, "OLT UPLINK DOWN") &gt; 0</f>
        <v>0</v>
      </c>
      <c r="I23" s="6" t="b">
        <f>COUNTIFS('OLT DOWN Tickets'!$AB:$AB, "*" &amp; D23 &amp; "*", 'OLT DOWN Tickets'!$L:$L, "OLT SERVICE DEGRADATION") &gt; 0</f>
        <v>0</v>
      </c>
      <c r="J23" s="32" t="str">
        <f>IFERROR(__xludf.DUMMYFUNCTION("IFERROR(INDEX(FILTER('OLT DOWN Tickets'!$F:$F, REGEXMATCH('OLT DOWN Tickets'!$AB:$AB, ""(?i)""&amp;TRIM(D23)), 'OLT DOWN Tickets'!$L:$L=""OLT DOWN""), 1), """")"),"")</f>
        <v/>
      </c>
      <c r="K23" s="32" t="str">
        <f>IFERROR(__xludf.DUMMYFUNCTION("IFERROR(INDEX(FILTER('OLT DOWN Tickets'!$F:$F, REGEXMATCH('OLT DOWN Tickets'!$AB:$AB, ""(?i)""&amp;TRIM(D23)), 'OLT DOWN Tickets'!$L:$L=""OLT UPLINK LOW POWER""), 1), """")"),"")</f>
        <v/>
      </c>
      <c r="L23" s="32" t="str">
        <f>IFERROR(__xludf.DUMMYFUNCTION("IFERROR(INDEX(FILTER('OLT DOWN Tickets'!$F:$F, REGEXMATCH('OLT DOWN Tickets'!$AB:$AB, ""(?i)""&amp;TRIM(D23)), 'OLT DOWN Tickets'!$L:$L=""OLT UPLINK DOWN""), 1), """")"),"")</f>
        <v/>
      </c>
      <c r="M23" s="32" t="str">
        <f>IFERROR(__xludf.DUMMYFUNCTION("IFERROR(INDEX(FILTER('OLT DOWN Tickets'!$F:$F, REGEXMATCH('OLT DOWN Tickets'!$AB:$AB, ""(?i)""&amp;TRIM(D23)), 'OLT DOWN Tickets'!$L:$L=""OLT SERVICE DEGRADATION""), 1), """")
"),"")</f>
        <v/>
      </c>
      <c r="N23" s="6" t="b">
        <v>0</v>
      </c>
      <c r="O23" s="6" t="b">
        <v>0</v>
      </c>
      <c r="P23" s="6" t="b">
        <v>0</v>
      </c>
      <c r="Q23" s="6" t="b">
        <v>0</v>
      </c>
      <c r="R23" s="6"/>
      <c r="S23" s="6"/>
      <c r="T23" s="6"/>
      <c r="U23" s="6"/>
    </row>
    <row r="24">
      <c r="A24" s="19"/>
      <c r="B24" s="26" t="s">
        <v>104</v>
      </c>
      <c r="C24" s="26" t="s">
        <v>130</v>
      </c>
      <c r="D24" s="27" t="s">
        <v>107</v>
      </c>
      <c r="E24" s="6" t="b">
        <f t="shared" si="1"/>
        <v>1</v>
      </c>
      <c r="F24" s="6" t="b">
        <f>COUNTIFS('OLT DOWN Tickets'!$AB:$AB, "*" &amp; D24 &amp; "*", 'OLT DOWN Tickets'!$L:$L, "OLT DOWN") &gt; 0</f>
        <v>0</v>
      </c>
      <c r="G24" s="6" t="b">
        <f>COUNTIFS('OLT DOWN Tickets'!$AB:$AB, "*" &amp; D24 &amp; "*", 'OLT DOWN Tickets'!$L:$L, "OLT UPLINK LOW POWER") &gt; 0</f>
        <v>0</v>
      </c>
      <c r="H24" s="6" t="b">
        <f>COUNTIFS('OLT DOWN Tickets'!$AB:$AB, "*" &amp; D24 &amp; "*", 'OLT DOWN Tickets'!$L:$L, "OLT UPLINK DOWN") &gt; 0</f>
        <v>0</v>
      </c>
      <c r="I24" s="6" t="b">
        <f>COUNTIFS('OLT DOWN Tickets'!$AB:$AB, "*" &amp; D24 &amp; "*", 'OLT DOWN Tickets'!$L:$L, "OLT SERVICE DEGRADATION") &gt; 0</f>
        <v>0</v>
      </c>
      <c r="J24" s="32" t="str">
        <f>IFERROR(__xludf.DUMMYFUNCTION("IFERROR(INDEX(FILTER('OLT DOWN Tickets'!$F:$F, REGEXMATCH('OLT DOWN Tickets'!$AB:$AB, ""(?i)""&amp;TRIM(D24)), 'OLT DOWN Tickets'!$L:$L=""OLT DOWN""), 1), """")"),"")</f>
        <v/>
      </c>
      <c r="K24" s="32" t="str">
        <f>IFERROR(__xludf.DUMMYFUNCTION("IFERROR(INDEX(FILTER('OLT DOWN Tickets'!$F:$F, REGEXMATCH('OLT DOWN Tickets'!$AB:$AB, ""(?i)""&amp;TRIM(D24)), 'OLT DOWN Tickets'!$L:$L=""OLT UPLINK LOW POWER""), 1), """")"),"")</f>
        <v/>
      </c>
      <c r="L24" s="32" t="str">
        <f>IFERROR(__xludf.DUMMYFUNCTION("IFERROR(INDEX(FILTER('OLT DOWN Tickets'!$F:$F, REGEXMATCH('OLT DOWN Tickets'!$AB:$AB, ""(?i)""&amp;TRIM(D24)), 'OLT DOWN Tickets'!$L:$L=""OLT UPLINK DOWN""), 1), """")"),"")</f>
        <v/>
      </c>
      <c r="M24" s="32" t="str">
        <f>IFERROR(__xludf.DUMMYFUNCTION("IFERROR(INDEX(FILTER('OLT DOWN Tickets'!$F:$F, REGEXMATCH('OLT DOWN Tickets'!$AB:$AB, ""(?i)""&amp;TRIM(D24)), 'OLT DOWN Tickets'!$L:$L=""OLT SERVICE DEGRADATION""), 1), """")
"),"")</f>
        <v/>
      </c>
      <c r="N24" s="6" t="b">
        <v>0</v>
      </c>
      <c r="O24" s="6" t="b">
        <v>0</v>
      </c>
      <c r="P24" s="6" t="b">
        <v>0</v>
      </c>
      <c r="Q24" s="6" t="b">
        <v>0</v>
      </c>
      <c r="R24" s="6"/>
      <c r="S24" s="6"/>
      <c r="T24" s="6"/>
      <c r="U24" s="6"/>
    </row>
    <row r="25">
      <c r="A25" s="19"/>
      <c r="B25" s="26" t="s">
        <v>104</v>
      </c>
      <c r="C25" s="26" t="s">
        <v>132</v>
      </c>
      <c r="D25" s="27" t="s">
        <v>133</v>
      </c>
      <c r="E25" s="6" t="b">
        <f t="shared" si="1"/>
        <v>1</v>
      </c>
      <c r="F25" s="6" t="b">
        <f>COUNTIFS('OLT DOWN Tickets'!$AB:$AB, "*" &amp; D25 &amp; "*", 'OLT DOWN Tickets'!$L:$L, "OLT DOWN") &gt; 0</f>
        <v>0</v>
      </c>
      <c r="G25" s="6" t="b">
        <f>COUNTIFS('OLT DOWN Tickets'!$AB:$AB, "*" &amp; D25 &amp; "*", 'OLT DOWN Tickets'!$L:$L, "OLT UPLINK LOW POWER") &gt; 0</f>
        <v>0</v>
      </c>
      <c r="H25" s="6" t="b">
        <f>COUNTIFS('OLT DOWN Tickets'!$AB:$AB, "*" &amp; D25 &amp; "*", 'OLT DOWN Tickets'!$L:$L, "OLT UPLINK DOWN") &gt; 0</f>
        <v>0</v>
      </c>
      <c r="I25" s="6" t="b">
        <f>COUNTIFS('OLT DOWN Tickets'!$AB:$AB, "*" &amp; D25 &amp; "*", 'OLT DOWN Tickets'!$L:$L, "OLT SERVICE DEGRADATION") &gt; 0</f>
        <v>0</v>
      </c>
      <c r="J25" s="32" t="str">
        <f>IFERROR(__xludf.DUMMYFUNCTION("IFERROR(INDEX(FILTER('OLT DOWN Tickets'!$F:$F, REGEXMATCH('OLT DOWN Tickets'!$AB:$AB, ""(?i)""&amp;TRIM(D25)), 'OLT DOWN Tickets'!$L:$L=""OLT DOWN""), 1), """")"),"")</f>
        <v/>
      </c>
      <c r="K25" s="32" t="str">
        <f>IFERROR(__xludf.DUMMYFUNCTION("IFERROR(INDEX(FILTER('OLT DOWN Tickets'!$F:$F, REGEXMATCH('OLT DOWN Tickets'!$AB:$AB, ""(?i)""&amp;TRIM(D25)), 'OLT DOWN Tickets'!$L:$L=""OLT UPLINK LOW POWER""), 1), """")"),"")</f>
        <v/>
      </c>
      <c r="L25" s="32" t="str">
        <f>IFERROR(__xludf.DUMMYFUNCTION("IFERROR(INDEX(FILTER('OLT DOWN Tickets'!$F:$F, REGEXMATCH('OLT DOWN Tickets'!$AB:$AB, ""(?i)""&amp;TRIM(D25)), 'OLT DOWN Tickets'!$L:$L=""OLT UPLINK DOWN""), 1), """")"),"")</f>
        <v/>
      </c>
      <c r="M25" s="32" t="str">
        <f>IFERROR(__xludf.DUMMYFUNCTION("IFERROR(INDEX(FILTER('OLT DOWN Tickets'!$F:$F, REGEXMATCH('OLT DOWN Tickets'!$AB:$AB, ""(?i)""&amp;TRIM(D25)), 'OLT DOWN Tickets'!$L:$L=""OLT SERVICE DEGRADATION""), 1), """")
"),"")</f>
        <v/>
      </c>
      <c r="N25" s="6" t="b">
        <v>0</v>
      </c>
      <c r="O25" s="6" t="b">
        <v>0</v>
      </c>
      <c r="P25" s="6" t="b">
        <v>0</v>
      </c>
      <c r="Q25" s="6" t="b">
        <v>0</v>
      </c>
      <c r="R25" s="6"/>
      <c r="S25" s="6"/>
      <c r="T25" s="6"/>
      <c r="U25" s="6"/>
    </row>
    <row r="26">
      <c r="A26" s="19"/>
      <c r="B26" s="26" t="s">
        <v>104</v>
      </c>
      <c r="C26" s="26" t="s">
        <v>132</v>
      </c>
      <c r="D26" s="27" t="s">
        <v>134</v>
      </c>
      <c r="E26" s="6" t="b">
        <f t="shared" si="1"/>
        <v>1</v>
      </c>
      <c r="F26" s="6" t="b">
        <f>COUNTIFS('OLT DOWN Tickets'!$AB:$AB, "*" &amp; D26 &amp; "*", 'OLT DOWN Tickets'!$L:$L, "OLT DOWN") &gt; 0</f>
        <v>0</v>
      </c>
      <c r="G26" s="6" t="b">
        <f>COUNTIFS('OLT DOWN Tickets'!$AB:$AB, "*" &amp; D26 &amp; "*", 'OLT DOWN Tickets'!$L:$L, "OLT UPLINK LOW POWER") &gt; 0</f>
        <v>0</v>
      </c>
      <c r="H26" s="6" t="b">
        <f>COUNTIFS('OLT DOWN Tickets'!$AB:$AB, "*" &amp; D26 &amp; "*", 'OLT DOWN Tickets'!$L:$L, "OLT UPLINK DOWN") &gt; 0</f>
        <v>0</v>
      </c>
      <c r="I26" s="6" t="b">
        <f>COUNTIFS('OLT DOWN Tickets'!$AB:$AB, "*" &amp; D26 &amp; "*", 'OLT DOWN Tickets'!$L:$L, "OLT SERVICE DEGRADATION") &gt; 0</f>
        <v>0</v>
      </c>
      <c r="J26" s="32" t="str">
        <f>IFERROR(__xludf.DUMMYFUNCTION("IFERROR(INDEX(FILTER('OLT DOWN Tickets'!$F:$F, REGEXMATCH('OLT DOWN Tickets'!$AB:$AB, ""(?i)""&amp;TRIM(D26)), 'OLT DOWN Tickets'!$L:$L=""OLT DOWN""), 1), """")"),"")</f>
        <v/>
      </c>
      <c r="K26" s="32" t="str">
        <f>IFERROR(__xludf.DUMMYFUNCTION("IFERROR(INDEX(FILTER('OLT DOWN Tickets'!$F:$F, REGEXMATCH('OLT DOWN Tickets'!$AB:$AB, ""(?i)""&amp;TRIM(D26)), 'OLT DOWN Tickets'!$L:$L=""OLT UPLINK LOW POWER""), 1), """")"),"")</f>
        <v/>
      </c>
      <c r="L26" s="32" t="str">
        <f>IFERROR(__xludf.DUMMYFUNCTION("IFERROR(INDEX(FILTER('OLT DOWN Tickets'!$F:$F, REGEXMATCH('OLT DOWN Tickets'!$AB:$AB, ""(?i)""&amp;TRIM(D26)), 'OLT DOWN Tickets'!$L:$L=""OLT UPLINK DOWN""), 1), """")"),"")</f>
        <v/>
      </c>
      <c r="M26" s="32" t="str">
        <f>IFERROR(__xludf.DUMMYFUNCTION("IFERROR(INDEX(FILTER('OLT DOWN Tickets'!$F:$F, REGEXMATCH('OLT DOWN Tickets'!$AB:$AB, ""(?i)""&amp;TRIM(D26)), 'OLT DOWN Tickets'!$L:$L=""OLT SERVICE DEGRADATION""), 1), """")
"),"")</f>
        <v/>
      </c>
      <c r="N26" s="6" t="b">
        <v>0</v>
      </c>
      <c r="O26" s="6" t="b">
        <v>0</v>
      </c>
      <c r="P26" s="6" t="b">
        <v>0</v>
      </c>
      <c r="Q26" s="6" t="b">
        <v>0</v>
      </c>
      <c r="R26" s="6"/>
      <c r="S26" s="6"/>
      <c r="T26" s="6"/>
      <c r="U26" s="6"/>
    </row>
    <row r="27">
      <c r="A27" s="19"/>
      <c r="B27" s="26" t="s">
        <v>104</v>
      </c>
      <c r="C27" s="26" t="s">
        <v>132</v>
      </c>
      <c r="D27" s="27" t="s">
        <v>135</v>
      </c>
      <c r="E27" s="6" t="b">
        <f t="shared" si="1"/>
        <v>1</v>
      </c>
      <c r="F27" s="6" t="b">
        <f>COUNTIFS('OLT DOWN Tickets'!$AB:$AB, "*" &amp; D27 &amp; "*", 'OLT DOWN Tickets'!$L:$L, "OLT DOWN") &gt; 0</f>
        <v>0</v>
      </c>
      <c r="G27" s="6" t="b">
        <f>COUNTIFS('OLT DOWN Tickets'!$AB:$AB, "*" &amp; D27 &amp; "*", 'OLT DOWN Tickets'!$L:$L, "OLT UPLINK LOW POWER") &gt; 0</f>
        <v>0</v>
      </c>
      <c r="H27" s="6" t="b">
        <f>COUNTIFS('OLT DOWN Tickets'!$AB:$AB, "*" &amp; D27 &amp; "*", 'OLT DOWN Tickets'!$L:$L, "OLT UPLINK DOWN") &gt; 0</f>
        <v>0</v>
      </c>
      <c r="I27" s="6" t="b">
        <f>COUNTIFS('OLT DOWN Tickets'!$AB:$AB, "*" &amp; D27 &amp; "*", 'OLT DOWN Tickets'!$L:$L, "OLT SERVICE DEGRADATION") &gt; 0</f>
        <v>0</v>
      </c>
      <c r="J27" s="32" t="str">
        <f>IFERROR(__xludf.DUMMYFUNCTION("IFERROR(INDEX(FILTER('OLT DOWN Tickets'!$F:$F, REGEXMATCH('OLT DOWN Tickets'!$AB:$AB, ""(?i)""&amp;TRIM(D27)), 'OLT DOWN Tickets'!$L:$L=""OLT DOWN""), 1), """")"),"")</f>
        <v/>
      </c>
      <c r="K27" s="32" t="str">
        <f>IFERROR(__xludf.DUMMYFUNCTION("IFERROR(INDEX(FILTER('OLT DOWN Tickets'!$F:$F, REGEXMATCH('OLT DOWN Tickets'!$AB:$AB, ""(?i)""&amp;TRIM(D27)), 'OLT DOWN Tickets'!$L:$L=""OLT UPLINK LOW POWER""), 1), """")"),"")</f>
        <v/>
      </c>
      <c r="L27" s="32" t="str">
        <f>IFERROR(__xludf.DUMMYFUNCTION("IFERROR(INDEX(FILTER('OLT DOWN Tickets'!$F:$F, REGEXMATCH('OLT DOWN Tickets'!$AB:$AB, ""(?i)""&amp;TRIM(D27)), 'OLT DOWN Tickets'!$L:$L=""OLT UPLINK DOWN""), 1), """")"),"")</f>
        <v/>
      </c>
      <c r="M27" s="32" t="str">
        <f>IFERROR(__xludf.DUMMYFUNCTION("IFERROR(INDEX(FILTER('OLT DOWN Tickets'!$F:$F, REGEXMATCH('OLT DOWN Tickets'!$AB:$AB, ""(?i)""&amp;TRIM(D27)), 'OLT DOWN Tickets'!$L:$L=""OLT SERVICE DEGRADATION""), 1), """")
"),"")</f>
        <v/>
      </c>
      <c r="N27" s="6" t="b">
        <v>0</v>
      </c>
      <c r="O27" s="6" t="b">
        <v>0</v>
      </c>
      <c r="P27" s="6" t="b">
        <v>0</v>
      </c>
      <c r="Q27" s="6" t="b">
        <v>0</v>
      </c>
      <c r="R27" s="6"/>
      <c r="S27" s="6"/>
      <c r="T27" s="6"/>
      <c r="U27" s="6"/>
    </row>
    <row r="28">
      <c r="A28" s="19"/>
      <c r="B28" s="26" t="s">
        <v>104</v>
      </c>
      <c r="C28" s="26" t="s">
        <v>132</v>
      </c>
      <c r="D28" s="27" t="s">
        <v>136</v>
      </c>
      <c r="E28" s="6" t="b">
        <f t="shared" si="1"/>
        <v>1</v>
      </c>
      <c r="F28" s="6" t="b">
        <f>COUNTIFS('OLT DOWN Tickets'!$AB:$AB, "*" &amp; D28 &amp; "*", 'OLT DOWN Tickets'!$L:$L, "OLT DOWN") &gt; 0</f>
        <v>0</v>
      </c>
      <c r="G28" s="6" t="b">
        <f>COUNTIFS('OLT DOWN Tickets'!$AB:$AB, "*" &amp; D28 &amp; "*", 'OLT DOWN Tickets'!$L:$L, "OLT UPLINK LOW POWER") &gt; 0</f>
        <v>0</v>
      </c>
      <c r="H28" s="6" t="b">
        <f>COUNTIFS('OLT DOWN Tickets'!$AB:$AB, "*" &amp; D28 &amp; "*", 'OLT DOWN Tickets'!$L:$L, "OLT UPLINK DOWN") &gt; 0</f>
        <v>0</v>
      </c>
      <c r="I28" s="6" t="b">
        <f>COUNTIFS('OLT DOWN Tickets'!$AB:$AB, "*" &amp; D28 &amp; "*", 'OLT DOWN Tickets'!$L:$L, "OLT SERVICE DEGRADATION") &gt; 0</f>
        <v>0</v>
      </c>
      <c r="J28" s="32" t="str">
        <f>IFERROR(__xludf.DUMMYFUNCTION("IFERROR(INDEX(FILTER('OLT DOWN Tickets'!$F:$F, REGEXMATCH('OLT DOWN Tickets'!$AB:$AB, ""(?i)""&amp;TRIM(D28)), 'OLT DOWN Tickets'!$L:$L=""OLT DOWN""), 1), """")"),"")</f>
        <v/>
      </c>
      <c r="K28" s="32" t="str">
        <f>IFERROR(__xludf.DUMMYFUNCTION("IFERROR(INDEX(FILTER('OLT DOWN Tickets'!$F:$F, REGEXMATCH('OLT DOWN Tickets'!$AB:$AB, ""(?i)""&amp;TRIM(D28)), 'OLT DOWN Tickets'!$L:$L=""OLT UPLINK LOW POWER""), 1), """")"),"")</f>
        <v/>
      </c>
      <c r="L28" s="32" t="str">
        <f>IFERROR(__xludf.DUMMYFUNCTION("IFERROR(INDEX(FILTER('OLT DOWN Tickets'!$F:$F, REGEXMATCH('OLT DOWN Tickets'!$AB:$AB, ""(?i)""&amp;TRIM(D28)), 'OLT DOWN Tickets'!$L:$L=""OLT UPLINK DOWN""), 1), """")"),"")</f>
        <v/>
      </c>
      <c r="M28" s="32" t="str">
        <f>IFERROR(__xludf.DUMMYFUNCTION("IFERROR(INDEX(FILTER('OLT DOWN Tickets'!$F:$F, REGEXMATCH('OLT DOWN Tickets'!$AB:$AB, ""(?i)""&amp;TRIM(D28)), 'OLT DOWN Tickets'!$L:$L=""OLT SERVICE DEGRADATION""), 1), """")
"),"")</f>
        <v/>
      </c>
      <c r="N28" s="6" t="b">
        <v>0</v>
      </c>
      <c r="O28" s="6" t="b">
        <v>0</v>
      </c>
      <c r="P28" s="6" t="b">
        <v>0</v>
      </c>
      <c r="Q28" s="6" t="b">
        <v>0</v>
      </c>
      <c r="R28" s="6"/>
      <c r="S28" s="6"/>
      <c r="T28" s="6"/>
      <c r="U28" s="6"/>
    </row>
    <row r="29">
      <c r="A29" s="19"/>
      <c r="B29" s="26" t="s">
        <v>104</v>
      </c>
      <c r="C29" s="26" t="s">
        <v>132</v>
      </c>
      <c r="D29" s="27" t="s">
        <v>137</v>
      </c>
      <c r="E29" s="6" t="b">
        <f t="shared" si="1"/>
        <v>1</v>
      </c>
      <c r="F29" s="6" t="b">
        <f>COUNTIFS('OLT DOWN Tickets'!$AB:$AB, "*" &amp; D29 &amp; "*", 'OLT DOWN Tickets'!$L:$L, "OLT DOWN") &gt; 0</f>
        <v>0</v>
      </c>
      <c r="G29" s="6" t="b">
        <f>COUNTIFS('OLT DOWN Tickets'!$AB:$AB, "*" &amp; D29 &amp; "*", 'OLT DOWN Tickets'!$L:$L, "OLT UPLINK LOW POWER") &gt; 0</f>
        <v>0</v>
      </c>
      <c r="H29" s="6" t="b">
        <f>COUNTIFS('OLT DOWN Tickets'!$AB:$AB, "*" &amp; D29 &amp; "*", 'OLT DOWN Tickets'!$L:$L, "OLT UPLINK DOWN") &gt; 0</f>
        <v>0</v>
      </c>
      <c r="I29" s="6" t="b">
        <f>COUNTIFS('OLT DOWN Tickets'!$AB:$AB, "*" &amp; D29 &amp; "*", 'OLT DOWN Tickets'!$L:$L, "OLT SERVICE DEGRADATION") &gt; 0</f>
        <v>0</v>
      </c>
      <c r="J29" s="32" t="str">
        <f>IFERROR(__xludf.DUMMYFUNCTION("IFERROR(INDEX(FILTER('OLT DOWN Tickets'!$F:$F, REGEXMATCH('OLT DOWN Tickets'!$AB:$AB, ""(?i)""&amp;TRIM(D29)), 'OLT DOWN Tickets'!$L:$L=""OLT DOWN""), 1), """")"),"")</f>
        <v/>
      </c>
      <c r="K29" s="32" t="str">
        <f>IFERROR(__xludf.DUMMYFUNCTION("IFERROR(INDEX(FILTER('OLT DOWN Tickets'!$F:$F, REGEXMATCH('OLT DOWN Tickets'!$AB:$AB, ""(?i)""&amp;TRIM(D29)), 'OLT DOWN Tickets'!$L:$L=""OLT UPLINK LOW POWER""), 1), """")"),"")</f>
        <v/>
      </c>
      <c r="L29" s="32" t="str">
        <f>IFERROR(__xludf.DUMMYFUNCTION("IFERROR(INDEX(FILTER('OLT DOWN Tickets'!$F:$F, REGEXMATCH('OLT DOWN Tickets'!$AB:$AB, ""(?i)""&amp;TRIM(D29)), 'OLT DOWN Tickets'!$L:$L=""OLT UPLINK DOWN""), 1), """")"),"")</f>
        <v/>
      </c>
      <c r="M29" s="32" t="str">
        <f>IFERROR(__xludf.DUMMYFUNCTION("IFERROR(INDEX(FILTER('OLT DOWN Tickets'!$F:$F, REGEXMATCH('OLT DOWN Tickets'!$AB:$AB, ""(?i)""&amp;TRIM(D29)), 'OLT DOWN Tickets'!$L:$L=""OLT SERVICE DEGRADATION""), 1), """")
"),"")</f>
        <v/>
      </c>
      <c r="N29" s="6" t="b">
        <v>0</v>
      </c>
      <c r="O29" s="6" t="b">
        <v>0</v>
      </c>
      <c r="P29" s="6" t="b">
        <v>0</v>
      </c>
      <c r="Q29" s="6" t="b">
        <v>0</v>
      </c>
      <c r="R29" s="6"/>
      <c r="S29" s="6"/>
      <c r="T29" s="6"/>
      <c r="U29" s="6"/>
    </row>
    <row r="30">
      <c r="A30" s="19"/>
      <c r="B30" s="26" t="s">
        <v>104</v>
      </c>
      <c r="C30" s="26" t="s">
        <v>132</v>
      </c>
      <c r="D30" s="27" t="s">
        <v>138</v>
      </c>
      <c r="E30" s="6" t="b">
        <f t="shared" si="1"/>
        <v>1</v>
      </c>
      <c r="F30" s="6" t="b">
        <f>COUNTIFS('OLT DOWN Tickets'!$AB:$AB, "*" &amp; D30 &amp; "*", 'OLT DOWN Tickets'!$L:$L, "OLT DOWN") &gt; 0</f>
        <v>0</v>
      </c>
      <c r="G30" s="6" t="b">
        <f>COUNTIFS('OLT DOWN Tickets'!$AB:$AB, "*" &amp; D30 &amp; "*", 'OLT DOWN Tickets'!$L:$L, "OLT UPLINK LOW POWER") &gt; 0</f>
        <v>0</v>
      </c>
      <c r="H30" s="6" t="b">
        <f>COUNTIFS('OLT DOWN Tickets'!$AB:$AB, "*" &amp; D30 &amp; "*", 'OLT DOWN Tickets'!$L:$L, "OLT UPLINK DOWN") &gt; 0</f>
        <v>0</v>
      </c>
      <c r="I30" s="6" t="b">
        <f>COUNTIFS('OLT DOWN Tickets'!$AB:$AB, "*" &amp; D30 &amp; "*", 'OLT DOWN Tickets'!$L:$L, "OLT SERVICE DEGRADATION") &gt; 0</f>
        <v>0</v>
      </c>
      <c r="J30" s="32" t="str">
        <f>IFERROR(__xludf.DUMMYFUNCTION("IFERROR(INDEX(FILTER('OLT DOWN Tickets'!$F:$F, REGEXMATCH('OLT DOWN Tickets'!$AB:$AB, ""(?i)""&amp;TRIM(D30)), 'OLT DOWN Tickets'!$L:$L=""OLT DOWN""), 1), """")"),"")</f>
        <v/>
      </c>
      <c r="K30" s="32" t="str">
        <f>IFERROR(__xludf.DUMMYFUNCTION("IFERROR(INDEX(FILTER('OLT DOWN Tickets'!$F:$F, REGEXMATCH('OLT DOWN Tickets'!$AB:$AB, ""(?i)""&amp;TRIM(D30)), 'OLT DOWN Tickets'!$L:$L=""OLT UPLINK LOW POWER""), 1), """")"),"")</f>
        <v/>
      </c>
      <c r="L30" s="32" t="str">
        <f>IFERROR(__xludf.DUMMYFUNCTION("IFERROR(INDEX(FILTER('OLT DOWN Tickets'!$F:$F, REGEXMATCH('OLT DOWN Tickets'!$AB:$AB, ""(?i)""&amp;TRIM(D30)), 'OLT DOWN Tickets'!$L:$L=""OLT UPLINK DOWN""), 1), """")"),"")</f>
        <v/>
      </c>
      <c r="M30" s="32" t="str">
        <f>IFERROR(__xludf.DUMMYFUNCTION("IFERROR(INDEX(FILTER('OLT DOWN Tickets'!$F:$F, REGEXMATCH('OLT DOWN Tickets'!$AB:$AB, ""(?i)""&amp;TRIM(D30)), 'OLT DOWN Tickets'!$L:$L=""OLT SERVICE DEGRADATION""), 1), """")
"),"")</f>
        <v/>
      </c>
      <c r="N30" s="6" t="b">
        <v>0</v>
      </c>
      <c r="O30" s="6" t="b">
        <v>0</v>
      </c>
      <c r="P30" s="6" t="b">
        <v>0</v>
      </c>
      <c r="Q30" s="6" t="b">
        <v>0</v>
      </c>
      <c r="R30" s="6"/>
      <c r="S30" s="6"/>
      <c r="T30" s="6"/>
      <c r="U30" s="6"/>
    </row>
    <row r="31">
      <c r="A31" s="19"/>
      <c r="B31" s="26" t="s">
        <v>104</v>
      </c>
      <c r="C31" s="26" t="s">
        <v>132</v>
      </c>
      <c r="D31" s="27" t="s">
        <v>164</v>
      </c>
      <c r="E31" s="6" t="b">
        <f t="shared" si="1"/>
        <v>1</v>
      </c>
      <c r="F31" s="6" t="b">
        <f>COUNTIFS('OLT DOWN Tickets'!$AB:$AB, "*" &amp; D31 &amp; "*", 'OLT DOWN Tickets'!$L:$L, "OLT DOWN") &gt; 0</f>
        <v>0</v>
      </c>
      <c r="G31" s="6" t="b">
        <f>COUNTIFS('OLT DOWN Tickets'!$AB:$AB, "*" &amp; D31 &amp; "*", 'OLT DOWN Tickets'!$L:$L, "OLT UPLINK LOW POWER") &gt; 0</f>
        <v>0</v>
      </c>
      <c r="H31" s="6" t="b">
        <f>COUNTIFS('OLT DOWN Tickets'!$AB:$AB, "*" &amp; D31 &amp; "*", 'OLT DOWN Tickets'!$L:$L, "OLT UPLINK DOWN") &gt; 0</f>
        <v>0</v>
      </c>
      <c r="I31" s="6" t="b">
        <f>COUNTIFS('OLT DOWN Tickets'!$AB:$AB, "*" &amp; D31 &amp; "*", 'OLT DOWN Tickets'!$L:$L, "OLT SERVICE DEGRADATION") &gt; 0</f>
        <v>0</v>
      </c>
      <c r="J31" s="32" t="str">
        <f>IFERROR(__xludf.DUMMYFUNCTION("IFERROR(INDEX(FILTER('OLT DOWN Tickets'!$F:$F, REGEXMATCH('OLT DOWN Tickets'!$AB:$AB, ""(?i)""&amp;TRIM(D31)), 'OLT DOWN Tickets'!$L:$L=""OLT DOWN""), 1), """")"),"")</f>
        <v/>
      </c>
      <c r="K31" s="32" t="str">
        <f>IFERROR(__xludf.DUMMYFUNCTION("IFERROR(INDEX(FILTER('OLT DOWN Tickets'!$F:$F, REGEXMATCH('OLT DOWN Tickets'!$AB:$AB, ""(?i)""&amp;TRIM(D31)), 'OLT DOWN Tickets'!$L:$L=""OLT UPLINK LOW POWER""), 1), """")"),"")</f>
        <v/>
      </c>
      <c r="L31" s="32" t="str">
        <f>IFERROR(__xludf.DUMMYFUNCTION("IFERROR(INDEX(FILTER('OLT DOWN Tickets'!$F:$F, REGEXMATCH('OLT DOWN Tickets'!$AB:$AB, ""(?i)""&amp;TRIM(D31)), 'OLT DOWN Tickets'!$L:$L=""OLT UPLINK DOWN""), 1), """")"),"")</f>
        <v/>
      </c>
      <c r="M31" s="32" t="str">
        <f>IFERROR(__xludf.DUMMYFUNCTION("IFERROR(INDEX(FILTER('OLT DOWN Tickets'!$F:$F, REGEXMATCH('OLT DOWN Tickets'!$AB:$AB, ""(?i)""&amp;TRIM(D31)), 'OLT DOWN Tickets'!$L:$L=""OLT SERVICE DEGRADATION""), 1), """")
"),"")</f>
        <v/>
      </c>
      <c r="N31" s="6" t="b">
        <v>0</v>
      </c>
      <c r="O31" s="6" t="b">
        <v>0</v>
      </c>
      <c r="P31" s="6" t="b">
        <v>0</v>
      </c>
      <c r="Q31" s="6" t="b">
        <v>0</v>
      </c>
      <c r="R31" s="6"/>
      <c r="S31" s="6"/>
      <c r="T31" s="6"/>
      <c r="U31" s="6"/>
    </row>
    <row r="32">
      <c r="A32" s="19"/>
      <c r="B32" s="26" t="s">
        <v>104</v>
      </c>
      <c r="C32" s="26" t="s">
        <v>132</v>
      </c>
      <c r="D32" s="27" t="s">
        <v>167</v>
      </c>
      <c r="E32" s="6" t="b">
        <f t="shared" si="1"/>
        <v>1</v>
      </c>
      <c r="F32" s="6" t="b">
        <f>COUNTIFS('OLT DOWN Tickets'!$AB:$AB, "*" &amp; D32 &amp; "*", 'OLT DOWN Tickets'!$L:$L, "OLT DOWN") &gt; 0</f>
        <v>0</v>
      </c>
      <c r="G32" s="6" t="b">
        <f>COUNTIFS('OLT DOWN Tickets'!$AB:$AB, "*" &amp; D32 &amp; "*", 'OLT DOWN Tickets'!$L:$L, "OLT UPLINK LOW POWER") &gt; 0</f>
        <v>0</v>
      </c>
      <c r="H32" s="6" t="b">
        <f>COUNTIFS('OLT DOWN Tickets'!$AB:$AB, "*" &amp; D32 &amp; "*", 'OLT DOWN Tickets'!$L:$L, "OLT UPLINK DOWN") &gt; 0</f>
        <v>0</v>
      </c>
      <c r="I32" s="6" t="b">
        <f>COUNTIFS('OLT DOWN Tickets'!$AB:$AB, "*" &amp; D32 &amp; "*", 'OLT DOWN Tickets'!$L:$L, "OLT SERVICE DEGRADATION") &gt; 0</f>
        <v>0</v>
      </c>
      <c r="J32" s="32" t="str">
        <f>IFERROR(__xludf.DUMMYFUNCTION("IFERROR(INDEX(FILTER('OLT DOWN Tickets'!$F:$F, REGEXMATCH('OLT DOWN Tickets'!$AB:$AB, ""(?i)""&amp;TRIM(D32)), 'OLT DOWN Tickets'!$L:$L=""OLT DOWN""), 1), """")"),"")</f>
        <v/>
      </c>
      <c r="K32" s="32" t="str">
        <f>IFERROR(__xludf.DUMMYFUNCTION("IFERROR(INDEX(FILTER('OLT DOWN Tickets'!$F:$F, REGEXMATCH('OLT DOWN Tickets'!$AB:$AB, ""(?i)""&amp;TRIM(D32)), 'OLT DOWN Tickets'!$L:$L=""OLT UPLINK LOW POWER""), 1), """")"),"")</f>
        <v/>
      </c>
      <c r="L32" s="32" t="str">
        <f>IFERROR(__xludf.DUMMYFUNCTION("IFERROR(INDEX(FILTER('OLT DOWN Tickets'!$F:$F, REGEXMATCH('OLT DOWN Tickets'!$AB:$AB, ""(?i)""&amp;TRIM(D32)), 'OLT DOWN Tickets'!$L:$L=""OLT UPLINK DOWN""), 1), """")"),"")</f>
        <v/>
      </c>
      <c r="M32" s="32" t="str">
        <f>IFERROR(__xludf.DUMMYFUNCTION("IFERROR(INDEX(FILTER('OLT DOWN Tickets'!$F:$F, REGEXMATCH('OLT DOWN Tickets'!$AB:$AB, ""(?i)""&amp;TRIM(D32)), 'OLT DOWN Tickets'!$L:$L=""OLT SERVICE DEGRADATION""), 1), """")
"),"")</f>
        <v/>
      </c>
      <c r="N32" s="6" t="b">
        <v>0</v>
      </c>
      <c r="O32" s="6" t="b">
        <v>0</v>
      </c>
      <c r="P32" s="6" t="b">
        <v>0</v>
      </c>
      <c r="Q32" s="6" t="b">
        <v>0</v>
      </c>
      <c r="R32" s="6"/>
      <c r="S32" s="6"/>
      <c r="T32" s="6"/>
      <c r="U32" s="6"/>
    </row>
    <row r="33">
      <c r="A33" s="19"/>
      <c r="B33" s="26" t="s">
        <v>104</v>
      </c>
      <c r="C33" s="26" t="s">
        <v>132</v>
      </c>
      <c r="D33" s="27" t="s">
        <v>168</v>
      </c>
      <c r="E33" s="6" t="b">
        <f t="shared" si="1"/>
        <v>1</v>
      </c>
      <c r="F33" s="6" t="b">
        <f>COUNTIFS('OLT DOWN Tickets'!$AB:$AB, "*" &amp; D33 &amp; "*", 'OLT DOWN Tickets'!$L:$L, "OLT DOWN") &gt; 0</f>
        <v>0</v>
      </c>
      <c r="G33" s="6" t="b">
        <f>COUNTIFS('OLT DOWN Tickets'!$AB:$AB, "*" &amp; D33 &amp; "*", 'OLT DOWN Tickets'!$L:$L, "OLT UPLINK LOW POWER") &gt; 0</f>
        <v>0</v>
      </c>
      <c r="H33" s="6" t="b">
        <f>COUNTIFS('OLT DOWN Tickets'!$AB:$AB, "*" &amp; D33 &amp; "*", 'OLT DOWN Tickets'!$L:$L, "OLT UPLINK DOWN") &gt; 0</f>
        <v>0</v>
      </c>
      <c r="I33" s="6" t="b">
        <f>COUNTIFS('OLT DOWN Tickets'!$AB:$AB, "*" &amp; D33 &amp; "*", 'OLT DOWN Tickets'!$L:$L, "OLT SERVICE DEGRADATION") &gt; 0</f>
        <v>0</v>
      </c>
      <c r="J33" s="32" t="str">
        <f>IFERROR(__xludf.DUMMYFUNCTION("IFERROR(INDEX(FILTER('OLT DOWN Tickets'!$F:$F, REGEXMATCH('OLT DOWN Tickets'!$AB:$AB, ""(?i)""&amp;TRIM(D33)), 'OLT DOWN Tickets'!$L:$L=""OLT DOWN""), 1), """")"),"")</f>
        <v/>
      </c>
      <c r="K33" s="32" t="str">
        <f>IFERROR(__xludf.DUMMYFUNCTION("IFERROR(INDEX(FILTER('OLT DOWN Tickets'!$F:$F, REGEXMATCH('OLT DOWN Tickets'!$AB:$AB, ""(?i)""&amp;TRIM(D33)), 'OLT DOWN Tickets'!$L:$L=""OLT UPLINK LOW POWER""), 1), """")"),"")</f>
        <v/>
      </c>
      <c r="L33" s="32" t="str">
        <f>IFERROR(__xludf.DUMMYFUNCTION("IFERROR(INDEX(FILTER('OLT DOWN Tickets'!$F:$F, REGEXMATCH('OLT DOWN Tickets'!$AB:$AB, ""(?i)""&amp;TRIM(D33)), 'OLT DOWN Tickets'!$L:$L=""OLT UPLINK DOWN""), 1), """")"),"")</f>
        <v/>
      </c>
      <c r="M33" s="32" t="str">
        <f>IFERROR(__xludf.DUMMYFUNCTION("IFERROR(INDEX(FILTER('OLT DOWN Tickets'!$F:$F, REGEXMATCH('OLT DOWN Tickets'!$AB:$AB, ""(?i)""&amp;TRIM(D33)), 'OLT DOWN Tickets'!$L:$L=""OLT SERVICE DEGRADATION""), 1), """")
"),"")</f>
        <v/>
      </c>
      <c r="N33" s="6" t="b">
        <v>0</v>
      </c>
      <c r="O33" s="6" t="b">
        <v>0</v>
      </c>
      <c r="P33" s="6" t="b">
        <v>0</v>
      </c>
      <c r="Q33" s="6" t="b">
        <v>0</v>
      </c>
      <c r="R33" s="6"/>
      <c r="S33" s="6"/>
      <c r="T33" s="6"/>
      <c r="U33" s="6"/>
    </row>
    <row r="34">
      <c r="A34" s="19"/>
      <c r="B34" s="26" t="s">
        <v>104</v>
      </c>
      <c r="C34" s="26" t="s">
        <v>132</v>
      </c>
      <c r="D34" s="27" t="s">
        <v>169</v>
      </c>
      <c r="E34" s="6" t="b">
        <f t="shared" si="1"/>
        <v>1</v>
      </c>
      <c r="F34" s="6" t="b">
        <f>COUNTIFS('OLT DOWN Tickets'!$AB:$AB, "*" &amp; D34 &amp; "*", 'OLT DOWN Tickets'!$L:$L, "OLT DOWN") &gt; 0</f>
        <v>0</v>
      </c>
      <c r="G34" s="6" t="b">
        <f>COUNTIFS('OLT DOWN Tickets'!$AB:$AB, "*" &amp; D34 &amp; "*", 'OLT DOWN Tickets'!$L:$L, "OLT UPLINK LOW POWER") &gt; 0</f>
        <v>0</v>
      </c>
      <c r="H34" s="6" t="b">
        <f>COUNTIFS('OLT DOWN Tickets'!$AB:$AB, "*" &amp; D34 &amp; "*", 'OLT DOWN Tickets'!$L:$L, "OLT UPLINK DOWN") &gt; 0</f>
        <v>0</v>
      </c>
      <c r="I34" s="6" t="b">
        <f>COUNTIFS('OLT DOWN Tickets'!$AB:$AB, "*" &amp; D34 &amp; "*", 'OLT DOWN Tickets'!$L:$L, "OLT SERVICE DEGRADATION") &gt; 0</f>
        <v>0</v>
      </c>
      <c r="J34" s="32" t="str">
        <f>IFERROR(__xludf.DUMMYFUNCTION("IFERROR(INDEX(FILTER('OLT DOWN Tickets'!$F:$F, REGEXMATCH('OLT DOWN Tickets'!$AB:$AB, ""(?i)""&amp;TRIM(D34)), 'OLT DOWN Tickets'!$L:$L=""OLT DOWN""), 1), """")"),"")</f>
        <v/>
      </c>
      <c r="K34" s="32" t="str">
        <f>IFERROR(__xludf.DUMMYFUNCTION("IFERROR(INDEX(FILTER('OLT DOWN Tickets'!$F:$F, REGEXMATCH('OLT DOWN Tickets'!$AB:$AB, ""(?i)""&amp;TRIM(D34)), 'OLT DOWN Tickets'!$L:$L=""OLT UPLINK LOW POWER""), 1), """")"),"")</f>
        <v/>
      </c>
      <c r="L34" s="32" t="str">
        <f>IFERROR(__xludf.DUMMYFUNCTION("IFERROR(INDEX(FILTER('OLT DOWN Tickets'!$F:$F, REGEXMATCH('OLT DOWN Tickets'!$AB:$AB, ""(?i)""&amp;TRIM(D34)), 'OLT DOWN Tickets'!$L:$L=""OLT UPLINK DOWN""), 1), """")"),"")</f>
        <v/>
      </c>
      <c r="M34" s="32" t="str">
        <f>IFERROR(__xludf.DUMMYFUNCTION("IFERROR(INDEX(FILTER('OLT DOWN Tickets'!$F:$F, REGEXMATCH('OLT DOWN Tickets'!$AB:$AB, ""(?i)""&amp;TRIM(D34)), 'OLT DOWN Tickets'!$L:$L=""OLT SERVICE DEGRADATION""), 1), """")
"),"")</f>
        <v/>
      </c>
      <c r="N34" s="6" t="b">
        <v>0</v>
      </c>
      <c r="O34" s="6" t="b">
        <v>0</v>
      </c>
      <c r="P34" s="6" t="b">
        <v>0</v>
      </c>
      <c r="Q34" s="6" t="b">
        <v>0</v>
      </c>
      <c r="R34" s="6"/>
      <c r="S34" s="6"/>
      <c r="T34" s="6"/>
      <c r="U34" s="6"/>
    </row>
    <row r="35">
      <c r="A35" s="19"/>
      <c r="B35" s="26" t="s">
        <v>104</v>
      </c>
      <c r="C35" s="26" t="s">
        <v>132</v>
      </c>
      <c r="D35" s="27" t="s">
        <v>170</v>
      </c>
      <c r="E35" s="6" t="b">
        <f t="shared" si="1"/>
        <v>1</v>
      </c>
      <c r="F35" s="6" t="b">
        <f>COUNTIFS('OLT DOWN Tickets'!$AB:$AB, "*" &amp; D35 &amp; "*", 'OLT DOWN Tickets'!$L:$L, "OLT DOWN") &gt; 0</f>
        <v>0</v>
      </c>
      <c r="G35" s="6" t="b">
        <f>COUNTIFS('OLT DOWN Tickets'!$AB:$AB, "*" &amp; D35 &amp; "*", 'OLT DOWN Tickets'!$L:$L, "OLT UPLINK LOW POWER") &gt; 0</f>
        <v>0</v>
      </c>
      <c r="H35" s="6" t="b">
        <f>COUNTIFS('OLT DOWN Tickets'!$AB:$AB, "*" &amp; D35 &amp; "*", 'OLT DOWN Tickets'!$L:$L, "OLT UPLINK DOWN") &gt; 0</f>
        <v>0</v>
      </c>
      <c r="I35" s="6" t="b">
        <f>COUNTIFS('OLT DOWN Tickets'!$AB:$AB, "*" &amp; D35 &amp; "*", 'OLT DOWN Tickets'!$L:$L, "OLT SERVICE DEGRADATION") &gt; 0</f>
        <v>0</v>
      </c>
      <c r="J35" s="32" t="str">
        <f>IFERROR(__xludf.DUMMYFUNCTION("IFERROR(INDEX(FILTER('OLT DOWN Tickets'!$F:$F, REGEXMATCH('OLT DOWN Tickets'!$AB:$AB, ""(?i)""&amp;TRIM(D35)), 'OLT DOWN Tickets'!$L:$L=""OLT DOWN""), 1), """")"),"")</f>
        <v/>
      </c>
      <c r="K35" s="32" t="str">
        <f>IFERROR(__xludf.DUMMYFUNCTION("IFERROR(INDEX(FILTER('OLT DOWN Tickets'!$F:$F, REGEXMATCH('OLT DOWN Tickets'!$AB:$AB, ""(?i)""&amp;TRIM(D35)), 'OLT DOWN Tickets'!$L:$L=""OLT UPLINK LOW POWER""), 1), """")"),"")</f>
        <v/>
      </c>
      <c r="L35" s="32" t="str">
        <f>IFERROR(__xludf.DUMMYFUNCTION("IFERROR(INDEX(FILTER('OLT DOWN Tickets'!$F:$F, REGEXMATCH('OLT DOWN Tickets'!$AB:$AB, ""(?i)""&amp;TRIM(D35)), 'OLT DOWN Tickets'!$L:$L=""OLT UPLINK DOWN""), 1), """")"),"")</f>
        <v/>
      </c>
      <c r="M35" s="32" t="str">
        <f>IFERROR(__xludf.DUMMYFUNCTION("IFERROR(INDEX(FILTER('OLT DOWN Tickets'!$F:$F, REGEXMATCH('OLT DOWN Tickets'!$AB:$AB, ""(?i)""&amp;TRIM(D35)), 'OLT DOWN Tickets'!$L:$L=""OLT SERVICE DEGRADATION""), 1), """")
"),"")</f>
        <v/>
      </c>
      <c r="N35" s="6" t="b">
        <v>0</v>
      </c>
      <c r="O35" s="6" t="b">
        <v>0</v>
      </c>
      <c r="P35" s="6" t="b">
        <v>0</v>
      </c>
      <c r="Q35" s="6" t="b">
        <v>0</v>
      </c>
      <c r="R35" s="6"/>
      <c r="S35" s="6"/>
      <c r="T35" s="6"/>
      <c r="U35" s="6"/>
    </row>
    <row r="36">
      <c r="A36" s="19"/>
      <c r="B36" s="26" t="s">
        <v>104</v>
      </c>
      <c r="C36" s="26" t="s">
        <v>132</v>
      </c>
      <c r="D36" s="27" t="s">
        <v>171</v>
      </c>
      <c r="E36" s="6" t="b">
        <f t="shared" si="1"/>
        <v>1</v>
      </c>
      <c r="F36" s="6" t="b">
        <f>COUNTIFS('OLT DOWN Tickets'!$AB:$AB, "*" &amp; D36 &amp; "*", 'OLT DOWN Tickets'!$L:$L, "OLT DOWN") &gt; 0</f>
        <v>0</v>
      </c>
      <c r="G36" s="6" t="b">
        <f>COUNTIFS('OLT DOWN Tickets'!$AB:$AB, "*" &amp; D36 &amp; "*", 'OLT DOWN Tickets'!$L:$L, "OLT UPLINK LOW POWER") &gt; 0</f>
        <v>0</v>
      </c>
      <c r="H36" s="6" t="b">
        <f>COUNTIFS('OLT DOWN Tickets'!$AB:$AB, "*" &amp; D36 &amp; "*", 'OLT DOWN Tickets'!$L:$L, "OLT UPLINK DOWN") &gt; 0</f>
        <v>0</v>
      </c>
      <c r="I36" s="6" t="b">
        <f>COUNTIFS('OLT DOWN Tickets'!$AB:$AB, "*" &amp; D36 &amp; "*", 'OLT DOWN Tickets'!$L:$L, "OLT SERVICE DEGRADATION") &gt; 0</f>
        <v>0</v>
      </c>
      <c r="J36" s="32" t="str">
        <f>IFERROR(__xludf.DUMMYFUNCTION("IFERROR(INDEX(FILTER('OLT DOWN Tickets'!$F:$F, REGEXMATCH('OLT DOWN Tickets'!$AB:$AB, ""(?i)""&amp;TRIM(D36)), 'OLT DOWN Tickets'!$L:$L=""OLT DOWN""), 1), """")"),"")</f>
        <v/>
      </c>
      <c r="K36" s="32" t="str">
        <f>IFERROR(__xludf.DUMMYFUNCTION("IFERROR(INDEX(FILTER('OLT DOWN Tickets'!$F:$F, REGEXMATCH('OLT DOWN Tickets'!$AB:$AB, ""(?i)""&amp;TRIM(D36)), 'OLT DOWN Tickets'!$L:$L=""OLT UPLINK LOW POWER""), 1), """")"),"")</f>
        <v/>
      </c>
      <c r="L36" s="32" t="str">
        <f>IFERROR(__xludf.DUMMYFUNCTION("IFERROR(INDEX(FILTER('OLT DOWN Tickets'!$F:$F, REGEXMATCH('OLT DOWN Tickets'!$AB:$AB, ""(?i)""&amp;TRIM(D36)), 'OLT DOWN Tickets'!$L:$L=""OLT UPLINK DOWN""), 1), """")"),"")</f>
        <v/>
      </c>
      <c r="M36" s="32" t="str">
        <f>IFERROR(__xludf.DUMMYFUNCTION("IFERROR(INDEX(FILTER('OLT DOWN Tickets'!$F:$F, REGEXMATCH('OLT DOWN Tickets'!$AB:$AB, ""(?i)""&amp;TRIM(D36)), 'OLT DOWN Tickets'!$L:$L=""OLT SERVICE DEGRADATION""), 1), """")
"),"")</f>
        <v/>
      </c>
      <c r="N36" s="6" t="b">
        <v>0</v>
      </c>
      <c r="O36" s="6" t="b">
        <v>0</v>
      </c>
      <c r="P36" s="6" t="b">
        <v>0</v>
      </c>
      <c r="Q36" s="6" t="b">
        <v>0</v>
      </c>
      <c r="R36" s="6"/>
      <c r="S36" s="6"/>
      <c r="T36" s="6"/>
      <c r="U36" s="6"/>
    </row>
    <row r="37">
      <c r="A37" s="19"/>
      <c r="B37" s="26" t="s">
        <v>104</v>
      </c>
      <c r="C37" s="26" t="s">
        <v>132</v>
      </c>
      <c r="D37" s="27" t="s">
        <v>172</v>
      </c>
      <c r="E37" s="6" t="b">
        <f t="shared" si="1"/>
        <v>1</v>
      </c>
      <c r="F37" s="6" t="b">
        <f>COUNTIFS('OLT DOWN Tickets'!$AB:$AB, "*" &amp; D37 &amp; "*", 'OLT DOWN Tickets'!$L:$L, "OLT DOWN") &gt; 0</f>
        <v>0</v>
      </c>
      <c r="G37" s="6" t="b">
        <f>COUNTIFS('OLT DOWN Tickets'!$AB:$AB, "*" &amp; D37 &amp; "*", 'OLT DOWN Tickets'!$L:$L, "OLT UPLINK LOW POWER") &gt; 0</f>
        <v>0</v>
      </c>
      <c r="H37" s="6" t="b">
        <f>COUNTIFS('OLT DOWN Tickets'!$AB:$AB, "*" &amp; D37 &amp; "*", 'OLT DOWN Tickets'!$L:$L, "OLT UPLINK DOWN") &gt; 0</f>
        <v>0</v>
      </c>
      <c r="I37" s="6" t="b">
        <f>COUNTIFS('OLT DOWN Tickets'!$AB:$AB, "*" &amp; D37 &amp; "*", 'OLT DOWN Tickets'!$L:$L, "OLT SERVICE DEGRADATION") &gt; 0</f>
        <v>0</v>
      </c>
      <c r="J37" s="32" t="str">
        <f>IFERROR(__xludf.DUMMYFUNCTION("IFERROR(INDEX(FILTER('OLT DOWN Tickets'!$F:$F, REGEXMATCH('OLT DOWN Tickets'!$AB:$AB, ""(?i)""&amp;TRIM(D37)), 'OLT DOWN Tickets'!$L:$L=""OLT DOWN""), 1), """")"),"")</f>
        <v/>
      </c>
      <c r="K37" s="32" t="str">
        <f>IFERROR(__xludf.DUMMYFUNCTION("IFERROR(INDEX(FILTER('OLT DOWN Tickets'!$F:$F, REGEXMATCH('OLT DOWN Tickets'!$AB:$AB, ""(?i)""&amp;TRIM(D37)), 'OLT DOWN Tickets'!$L:$L=""OLT UPLINK LOW POWER""), 1), """")"),"")</f>
        <v/>
      </c>
      <c r="L37" s="32" t="str">
        <f>IFERROR(__xludf.DUMMYFUNCTION("IFERROR(INDEX(FILTER('OLT DOWN Tickets'!$F:$F, REGEXMATCH('OLT DOWN Tickets'!$AB:$AB, ""(?i)""&amp;TRIM(D37)), 'OLT DOWN Tickets'!$L:$L=""OLT UPLINK DOWN""), 1), """")"),"")</f>
        <v/>
      </c>
      <c r="M37" s="32" t="str">
        <f>IFERROR(__xludf.DUMMYFUNCTION("IFERROR(INDEX(FILTER('OLT DOWN Tickets'!$F:$F, REGEXMATCH('OLT DOWN Tickets'!$AB:$AB, ""(?i)""&amp;TRIM(D37)), 'OLT DOWN Tickets'!$L:$L=""OLT SERVICE DEGRADATION""), 1), """")
"),"")</f>
        <v/>
      </c>
      <c r="N37" s="6" t="b">
        <v>0</v>
      </c>
      <c r="O37" s="6" t="b">
        <v>0</v>
      </c>
      <c r="P37" s="6" t="b">
        <v>0</v>
      </c>
      <c r="Q37" s="6" t="b">
        <v>0</v>
      </c>
      <c r="R37" s="6"/>
      <c r="S37" s="6"/>
      <c r="T37" s="6"/>
      <c r="U37" s="6"/>
    </row>
    <row r="38">
      <c r="A38" s="19"/>
      <c r="B38" s="26" t="s">
        <v>104</v>
      </c>
      <c r="C38" s="26" t="s">
        <v>132</v>
      </c>
      <c r="D38" s="27" t="s">
        <v>173</v>
      </c>
      <c r="E38" s="6" t="b">
        <f t="shared" si="1"/>
        <v>1</v>
      </c>
      <c r="F38" s="6" t="b">
        <f>COUNTIFS('OLT DOWN Tickets'!$AB:$AB, "*" &amp; D38 &amp; "*", 'OLT DOWN Tickets'!$L:$L, "OLT DOWN") &gt; 0</f>
        <v>0</v>
      </c>
      <c r="G38" s="6" t="b">
        <f>COUNTIFS('OLT DOWN Tickets'!$AB:$AB, "*" &amp; D38 &amp; "*", 'OLT DOWN Tickets'!$L:$L, "OLT UPLINK LOW POWER") &gt; 0</f>
        <v>0</v>
      </c>
      <c r="H38" s="6" t="b">
        <f>COUNTIFS('OLT DOWN Tickets'!$AB:$AB, "*" &amp; D38 &amp; "*", 'OLT DOWN Tickets'!$L:$L, "OLT UPLINK DOWN") &gt; 0</f>
        <v>0</v>
      </c>
      <c r="I38" s="6" t="b">
        <f>COUNTIFS('OLT DOWN Tickets'!$AB:$AB, "*" &amp; D38 &amp; "*", 'OLT DOWN Tickets'!$L:$L, "OLT SERVICE DEGRADATION") &gt; 0</f>
        <v>0</v>
      </c>
      <c r="J38" s="32" t="str">
        <f>IFERROR(__xludf.DUMMYFUNCTION("IFERROR(INDEX(FILTER('OLT DOWN Tickets'!$F:$F, REGEXMATCH('OLT DOWN Tickets'!$AB:$AB, ""(?i)""&amp;TRIM(D38)), 'OLT DOWN Tickets'!$L:$L=""OLT DOWN""), 1), """")"),"")</f>
        <v/>
      </c>
      <c r="K38" s="32" t="str">
        <f>IFERROR(__xludf.DUMMYFUNCTION("IFERROR(INDEX(FILTER('OLT DOWN Tickets'!$F:$F, REGEXMATCH('OLT DOWN Tickets'!$AB:$AB, ""(?i)""&amp;TRIM(D38)), 'OLT DOWN Tickets'!$L:$L=""OLT UPLINK LOW POWER""), 1), """")"),"")</f>
        <v/>
      </c>
      <c r="L38" s="32" t="str">
        <f>IFERROR(__xludf.DUMMYFUNCTION("IFERROR(INDEX(FILTER('OLT DOWN Tickets'!$F:$F, REGEXMATCH('OLT DOWN Tickets'!$AB:$AB, ""(?i)""&amp;TRIM(D38)), 'OLT DOWN Tickets'!$L:$L=""OLT UPLINK DOWN""), 1), """")"),"")</f>
        <v/>
      </c>
      <c r="M38" s="32" t="str">
        <f>IFERROR(__xludf.DUMMYFUNCTION("IFERROR(INDEX(FILTER('OLT DOWN Tickets'!$F:$F, REGEXMATCH('OLT DOWN Tickets'!$AB:$AB, ""(?i)""&amp;TRIM(D38)), 'OLT DOWN Tickets'!$L:$L=""OLT SERVICE DEGRADATION""), 1), """")
"),"")</f>
        <v/>
      </c>
      <c r="N38" s="6" t="b">
        <v>0</v>
      </c>
      <c r="O38" s="6" t="b">
        <v>0</v>
      </c>
      <c r="P38" s="6" t="b">
        <v>0</v>
      </c>
      <c r="Q38" s="6" t="b">
        <v>0</v>
      </c>
      <c r="R38" s="6"/>
      <c r="S38" s="6"/>
      <c r="T38" s="6"/>
      <c r="U38" s="6"/>
    </row>
    <row r="39">
      <c r="A39" s="19"/>
      <c r="B39" s="26" t="s">
        <v>104</v>
      </c>
      <c r="C39" s="26" t="s">
        <v>132</v>
      </c>
      <c r="D39" s="27" t="s">
        <v>174</v>
      </c>
      <c r="E39" s="6" t="b">
        <f t="shared" si="1"/>
        <v>1</v>
      </c>
      <c r="F39" s="6" t="b">
        <f>COUNTIFS('OLT DOWN Tickets'!$AB:$AB, "*" &amp; D39 &amp; "*", 'OLT DOWN Tickets'!$L:$L, "OLT DOWN") &gt; 0</f>
        <v>0</v>
      </c>
      <c r="G39" s="6" t="b">
        <f>COUNTIFS('OLT DOWN Tickets'!$AB:$AB, "*" &amp; D39 &amp; "*", 'OLT DOWN Tickets'!$L:$L, "OLT UPLINK LOW POWER") &gt; 0</f>
        <v>0</v>
      </c>
      <c r="H39" s="6" t="b">
        <f>COUNTIFS('OLT DOWN Tickets'!$AB:$AB, "*" &amp; D39 &amp; "*", 'OLT DOWN Tickets'!$L:$L, "OLT UPLINK DOWN") &gt; 0</f>
        <v>0</v>
      </c>
      <c r="I39" s="6" t="b">
        <f>COUNTIFS('OLT DOWN Tickets'!$AB:$AB, "*" &amp; D39 &amp; "*", 'OLT DOWN Tickets'!$L:$L, "OLT SERVICE DEGRADATION") &gt; 0</f>
        <v>0</v>
      </c>
      <c r="J39" s="32" t="str">
        <f>IFERROR(__xludf.DUMMYFUNCTION("IFERROR(INDEX(FILTER('OLT DOWN Tickets'!$F:$F, REGEXMATCH('OLT DOWN Tickets'!$AB:$AB, ""(?i)""&amp;TRIM(D39)), 'OLT DOWN Tickets'!$L:$L=""OLT DOWN""), 1), """")"),"")</f>
        <v/>
      </c>
      <c r="K39" s="32" t="str">
        <f>IFERROR(__xludf.DUMMYFUNCTION("IFERROR(INDEX(FILTER('OLT DOWN Tickets'!$F:$F, REGEXMATCH('OLT DOWN Tickets'!$AB:$AB, ""(?i)""&amp;TRIM(D39)), 'OLT DOWN Tickets'!$L:$L=""OLT UPLINK LOW POWER""), 1), """")"),"")</f>
        <v/>
      </c>
      <c r="L39" s="32" t="str">
        <f>IFERROR(__xludf.DUMMYFUNCTION("IFERROR(INDEX(FILTER('OLT DOWN Tickets'!$F:$F, REGEXMATCH('OLT DOWN Tickets'!$AB:$AB, ""(?i)""&amp;TRIM(D39)), 'OLT DOWN Tickets'!$L:$L=""OLT UPLINK DOWN""), 1), """")"),"")</f>
        <v/>
      </c>
      <c r="M39" s="32" t="str">
        <f>IFERROR(__xludf.DUMMYFUNCTION("IFERROR(INDEX(FILTER('OLT DOWN Tickets'!$F:$F, REGEXMATCH('OLT DOWN Tickets'!$AB:$AB, ""(?i)""&amp;TRIM(D39)), 'OLT DOWN Tickets'!$L:$L=""OLT SERVICE DEGRADATION""), 1), """")
"),"")</f>
        <v/>
      </c>
      <c r="N39" s="6" t="b">
        <v>0</v>
      </c>
      <c r="O39" s="6" t="b">
        <v>0</v>
      </c>
      <c r="P39" s="6" t="b">
        <v>0</v>
      </c>
      <c r="Q39" s="6" t="b">
        <v>0</v>
      </c>
      <c r="R39" s="6"/>
      <c r="S39" s="6"/>
      <c r="T39" s="6"/>
      <c r="U39" s="6"/>
    </row>
    <row r="40">
      <c r="A40" s="19"/>
      <c r="B40" s="26" t="s">
        <v>104</v>
      </c>
      <c r="C40" s="26" t="s">
        <v>132</v>
      </c>
      <c r="D40" s="27" t="s">
        <v>175</v>
      </c>
      <c r="E40" s="6" t="b">
        <f t="shared" si="1"/>
        <v>1</v>
      </c>
      <c r="F40" s="6" t="b">
        <f>COUNTIFS('OLT DOWN Tickets'!$AB:$AB, "*" &amp; D40 &amp; "*", 'OLT DOWN Tickets'!$L:$L, "OLT DOWN") &gt; 0</f>
        <v>0</v>
      </c>
      <c r="G40" s="6" t="b">
        <f>COUNTIFS('OLT DOWN Tickets'!$AB:$AB, "*" &amp; D40 &amp; "*", 'OLT DOWN Tickets'!$L:$L, "OLT UPLINK LOW POWER") &gt; 0</f>
        <v>0</v>
      </c>
      <c r="H40" s="6" t="b">
        <f>COUNTIFS('OLT DOWN Tickets'!$AB:$AB, "*" &amp; D40 &amp; "*", 'OLT DOWN Tickets'!$L:$L, "OLT UPLINK DOWN") &gt; 0</f>
        <v>0</v>
      </c>
      <c r="I40" s="6" t="b">
        <f>COUNTIFS('OLT DOWN Tickets'!$AB:$AB, "*" &amp; D40 &amp; "*", 'OLT DOWN Tickets'!$L:$L, "OLT SERVICE DEGRADATION") &gt; 0</f>
        <v>0</v>
      </c>
      <c r="J40" s="32" t="str">
        <f>IFERROR(__xludf.DUMMYFUNCTION("IFERROR(INDEX(FILTER('OLT DOWN Tickets'!$F:$F, REGEXMATCH('OLT DOWN Tickets'!$AB:$AB, ""(?i)""&amp;TRIM(D40)), 'OLT DOWN Tickets'!$L:$L=""OLT DOWN""), 1), """")"),"")</f>
        <v/>
      </c>
      <c r="K40" s="32" t="str">
        <f>IFERROR(__xludf.DUMMYFUNCTION("IFERROR(INDEX(FILTER('OLT DOWN Tickets'!$F:$F, REGEXMATCH('OLT DOWN Tickets'!$AB:$AB, ""(?i)""&amp;TRIM(D40)), 'OLT DOWN Tickets'!$L:$L=""OLT UPLINK LOW POWER""), 1), """")"),"")</f>
        <v/>
      </c>
      <c r="L40" s="32" t="str">
        <f>IFERROR(__xludf.DUMMYFUNCTION("IFERROR(INDEX(FILTER('OLT DOWN Tickets'!$F:$F, REGEXMATCH('OLT DOWN Tickets'!$AB:$AB, ""(?i)""&amp;TRIM(D40)), 'OLT DOWN Tickets'!$L:$L=""OLT UPLINK DOWN""), 1), """")"),"")</f>
        <v/>
      </c>
      <c r="M40" s="32" t="str">
        <f>IFERROR(__xludf.DUMMYFUNCTION("IFERROR(INDEX(FILTER('OLT DOWN Tickets'!$F:$F, REGEXMATCH('OLT DOWN Tickets'!$AB:$AB, ""(?i)""&amp;TRIM(D40)), 'OLT DOWN Tickets'!$L:$L=""OLT SERVICE DEGRADATION""), 1), """")
"),"")</f>
        <v/>
      </c>
      <c r="N40" s="6" t="b">
        <v>0</v>
      </c>
      <c r="O40" s="6" t="b">
        <v>0</v>
      </c>
      <c r="P40" s="6" t="b">
        <v>0</v>
      </c>
      <c r="Q40" s="6" t="b">
        <v>0</v>
      </c>
      <c r="R40" s="6"/>
      <c r="S40" s="6"/>
      <c r="T40" s="6"/>
      <c r="U40" s="6"/>
    </row>
    <row r="41">
      <c r="A41" s="19"/>
      <c r="B41" s="26" t="s">
        <v>104</v>
      </c>
      <c r="C41" s="26" t="s">
        <v>132</v>
      </c>
      <c r="D41" s="27" t="s">
        <v>176</v>
      </c>
      <c r="E41" s="6" t="b">
        <f t="shared" si="1"/>
        <v>1</v>
      </c>
      <c r="F41" s="6" t="b">
        <f>COUNTIFS('OLT DOWN Tickets'!$AB:$AB, "*" &amp; D41 &amp; "*", 'OLT DOWN Tickets'!$L:$L, "OLT DOWN") &gt; 0</f>
        <v>0</v>
      </c>
      <c r="G41" s="6" t="b">
        <f>COUNTIFS('OLT DOWN Tickets'!$AB:$AB, "*" &amp; D41 &amp; "*", 'OLT DOWN Tickets'!$L:$L, "OLT UPLINK LOW POWER") &gt; 0</f>
        <v>0</v>
      </c>
      <c r="H41" s="6" t="b">
        <f>COUNTIFS('OLT DOWN Tickets'!$AB:$AB, "*" &amp; D41 &amp; "*", 'OLT DOWN Tickets'!$L:$L, "OLT UPLINK DOWN") &gt; 0</f>
        <v>0</v>
      </c>
      <c r="I41" s="6" t="b">
        <f>COUNTIFS('OLT DOWN Tickets'!$AB:$AB, "*" &amp; D41 &amp; "*", 'OLT DOWN Tickets'!$L:$L, "OLT SERVICE DEGRADATION") &gt; 0</f>
        <v>0</v>
      </c>
      <c r="J41" s="32" t="str">
        <f>IFERROR(__xludf.DUMMYFUNCTION("IFERROR(INDEX(FILTER('OLT DOWN Tickets'!$F:$F, REGEXMATCH('OLT DOWN Tickets'!$AB:$AB, ""(?i)""&amp;TRIM(D41)), 'OLT DOWN Tickets'!$L:$L=""OLT DOWN""), 1), """")"),"")</f>
        <v/>
      </c>
      <c r="K41" s="32" t="str">
        <f>IFERROR(__xludf.DUMMYFUNCTION("IFERROR(INDEX(FILTER('OLT DOWN Tickets'!$F:$F, REGEXMATCH('OLT DOWN Tickets'!$AB:$AB, ""(?i)""&amp;TRIM(D41)), 'OLT DOWN Tickets'!$L:$L=""OLT UPLINK LOW POWER""), 1), """")"),"")</f>
        <v/>
      </c>
      <c r="L41" s="32" t="str">
        <f>IFERROR(__xludf.DUMMYFUNCTION("IFERROR(INDEX(FILTER('OLT DOWN Tickets'!$F:$F, REGEXMATCH('OLT DOWN Tickets'!$AB:$AB, ""(?i)""&amp;TRIM(D41)), 'OLT DOWN Tickets'!$L:$L=""OLT UPLINK DOWN""), 1), """")"),"")</f>
        <v/>
      </c>
      <c r="M41" s="32" t="str">
        <f>IFERROR(__xludf.DUMMYFUNCTION("IFERROR(INDEX(FILTER('OLT DOWN Tickets'!$F:$F, REGEXMATCH('OLT DOWN Tickets'!$AB:$AB, ""(?i)""&amp;TRIM(D41)), 'OLT DOWN Tickets'!$L:$L=""OLT SERVICE DEGRADATION""), 1), """")
"),"")</f>
        <v/>
      </c>
      <c r="N41" s="6" t="b">
        <v>0</v>
      </c>
      <c r="O41" s="6" t="b">
        <v>0</v>
      </c>
      <c r="P41" s="6" t="b">
        <v>0</v>
      </c>
      <c r="Q41" s="6" t="b">
        <v>0</v>
      </c>
      <c r="R41" s="6"/>
      <c r="S41" s="6"/>
      <c r="T41" s="6"/>
      <c r="U41" s="6"/>
    </row>
    <row r="42">
      <c r="A42" s="19"/>
      <c r="B42" s="26" t="s">
        <v>104</v>
      </c>
      <c r="C42" s="26" t="s">
        <v>132</v>
      </c>
      <c r="D42" s="27" t="s">
        <v>177</v>
      </c>
      <c r="E42" s="6" t="b">
        <f t="shared" si="1"/>
        <v>1</v>
      </c>
      <c r="F42" s="6" t="b">
        <f>COUNTIFS('OLT DOWN Tickets'!$AB:$AB, "*" &amp; D42 &amp; "*", 'OLT DOWN Tickets'!$L:$L, "OLT DOWN") &gt; 0</f>
        <v>0</v>
      </c>
      <c r="G42" s="6" t="b">
        <f>COUNTIFS('OLT DOWN Tickets'!$AB:$AB, "*" &amp; D42 &amp; "*", 'OLT DOWN Tickets'!$L:$L, "OLT UPLINK LOW POWER") &gt; 0</f>
        <v>0</v>
      </c>
      <c r="H42" s="6" t="b">
        <f>COUNTIFS('OLT DOWN Tickets'!$AB:$AB, "*" &amp; D42 &amp; "*", 'OLT DOWN Tickets'!$L:$L, "OLT UPLINK DOWN") &gt; 0</f>
        <v>0</v>
      </c>
      <c r="I42" s="6" t="b">
        <f>COUNTIFS('OLT DOWN Tickets'!$AB:$AB, "*" &amp; D42 &amp; "*", 'OLT DOWN Tickets'!$L:$L, "OLT SERVICE DEGRADATION") &gt; 0</f>
        <v>0</v>
      </c>
      <c r="J42" s="32" t="str">
        <f>IFERROR(__xludf.DUMMYFUNCTION("IFERROR(INDEX(FILTER('OLT DOWN Tickets'!$F:$F, REGEXMATCH('OLT DOWN Tickets'!$AB:$AB, ""(?i)""&amp;TRIM(D42)), 'OLT DOWN Tickets'!$L:$L=""OLT DOWN""), 1), """")"),"")</f>
        <v/>
      </c>
      <c r="K42" s="32" t="str">
        <f>IFERROR(__xludf.DUMMYFUNCTION("IFERROR(INDEX(FILTER('OLT DOWN Tickets'!$F:$F, REGEXMATCH('OLT DOWN Tickets'!$AB:$AB, ""(?i)""&amp;TRIM(D42)), 'OLT DOWN Tickets'!$L:$L=""OLT UPLINK LOW POWER""), 1), """")"),"")</f>
        <v/>
      </c>
      <c r="L42" s="32" t="str">
        <f>IFERROR(__xludf.DUMMYFUNCTION("IFERROR(INDEX(FILTER('OLT DOWN Tickets'!$F:$F, REGEXMATCH('OLT DOWN Tickets'!$AB:$AB, ""(?i)""&amp;TRIM(D42)), 'OLT DOWN Tickets'!$L:$L=""OLT UPLINK DOWN""), 1), """")"),"")</f>
        <v/>
      </c>
      <c r="M42" s="32" t="str">
        <f>IFERROR(__xludf.DUMMYFUNCTION("IFERROR(INDEX(FILTER('OLT DOWN Tickets'!$F:$F, REGEXMATCH('OLT DOWN Tickets'!$AB:$AB, ""(?i)""&amp;TRIM(D42)), 'OLT DOWN Tickets'!$L:$L=""OLT SERVICE DEGRADATION""), 1), """")
"),"")</f>
        <v/>
      </c>
      <c r="N42" s="6" t="b">
        <v>0</v>
      </c>
      <c r="O42" s="6" t="b">
        <v>0</v>
      </c>
      <c r="P42" s="6" t="b">
        <v>0</v>
      </c>
      <c r="Q42" s="6" t="b">
        <v>0</v>
      </c>
      <c r="R42" s="6"/>
      <c r="S42" s="6"/>
      <c r="T42" s="6"/>
      <c r="U42" s="6"/>
    </row>
    <row r="43">
      <c r="A43" s="19"/>
      <c r="B43" s="26" t="s">
        <v>104</v>
      </c>
      <c r="C43" s="26" t="s">
        <v>132</v>
      </c>
      <c r="D43" s="27" t="s">
        <v>178</v>
      </c>
      <c r="E43" s="6" t="b">
        <f t="shared" si="1"/>
        <v>1</v>
      </c>
      <c r="F43" s="6" t="b">
        <f>COUNTIFS('OLT DOWN Tickets'!$AB:$AB, "*" &amp; D43 &amp; "*", 'OLT DOWN Tickets'!$L:$L, "OLT DOWN") &gt; 0</f>
        <v>0</v>
      </c>
      <c r="G43" s="6" t="b">
        <f>COUNTIFS('OLT DOWN Tickets'!$AB:$AB, "*" &amp; D43 &amp; "*", 'OLT DOWN Tickets'!$L:$L, "OLT UPLINK LOW POWER") &gt; 0</f>
        <v>0</v>
      </c>
      <c r="H43" s="6" t="b">
        <f>COUNTIFS('OLT DOWN Tickets'!$AB:$AB, "*" &amp; D43 &amp; "*", 'OLT DOWN Tickets'!$L:$L, "OLT UPLINK DOWN") &gt; 0</f>
        <v>0</v>
      </c>
      <c r="I43" s="6" t="b">
        <f>COUNTIFS('OLT DOWN Tickets'!$AB:$AB, "*" &amp; D43 &amp; "*", 'OLT DOWN Tickets'!$L:$L, "OLT SERVICE DEGRADATION") &gt; 0</f>
        <v>0</v>
      </c>
      <c r="J43" s="32" t="str">
        <f>IFERROR(__xludf.DUMMYFUNCTION("IFERROR(INDEX(FILTER('OLT DOWN Tickets'!$F:$F, REGEXMATCH('OLT DOWN Tickets'!$AB:$AB, ""(?i)""&amp;TRIM(D43)), 'OLT DOWN Tickets'!$L:$L=""OLT DOWN""), 1), """")"),"")</f>
        <v/>
      </c>
      <c r="K43" s="32" t="str">
        <f>IFERROR(__xludf.DUMMYFUNCTION("IFERROR(INDEX(FILTER('OLT DOWN Tickets'!$F:$F, REGEXMATCH('OLT DOWN Tickets'!$AB:$AB, ""(?i)""&amp;TRIM(D43)), 'OLT DOWN Tickets'!$L:$L=""OLT UPLINK LOW POWER""), 1), """")"),"")</f>
        <v/>
      </c>
      <c r="L43" s="32" t="str">
        <f>IFERROR(__xludf.DUMMYFUNCTION("IFERROR(INDEX(FILTER('OLT DOWN Tickets'!$F:$F, REGEXMATCH('OLT DOWN Tickets'!$AB:$AB, ""(?i)""&amp;TRIM(D43)), 'OLT DOWN Tickets'!$L:$L=""OLT UPLINK DOWN""), 1), """")"),"")</f>
        <v/>
      </c>
      <c r="M43" s="32" t="str">
        <f>IFERROR(__xludf.DUMMYFUNCTION("IFERROR(INDEX(FILTER('OLT DOWN Tickets'!$F:$F, REGEXMATCH('OLT DOWN Tickets'!$AB:$AB, ""(?i)""&amp;TRIM(D43)), 'OLT DOWN Tickets'!$L:$L=""OLT SERVICE DEGRADATION""), 1), """")
"),"")</f>
        <v/>
      </c>
      <c r="N43" s="6" t="b">
        <v>0</v>
      </c>
      <c r="O43" s="6" t="b">
        <v>0</v>
      </c>
      <c r="P43" s="6" t="b">
        <v>0</v>
      </c>
      <c r="Q43" s="6" t="b">
        <v>0</v>
      </c>
      <c r="R43" s="6"/>
      <c r="S43" s="6"/>
      <c r="T43" s="6"/>
      <c r="U43" s="6"/>
    </row>
    <row r="44">
      <c r="A44" s="19"/>
      <c r="B44" s="26" t="s">
        <v>104</v>
      </c>
      <c r="C44" s="26" t="s">
        <v>132</v>
      </c>
      <c r="D44" s="27" t="s">
        <v>179</v>
      </c>
      <c r="E44" s="6" t="b">
        <f t="shared" si="1"/>
        <v>1</v>
      </c>
      <c r="F44" s="6" t="b">
        <f>COUNTIFS('OLT DOWN Tickets'!$AB:$AB, "*" &amp; D44 &amp; "*", 'OLT DOWN Tickets'!$L:$L, "OLT DOWN") &gt; 0</f>
        <v>0</v>
      </c>
      <c r="G44" s="6" t="b">
        <f>COUNTIFS('OLT DOWN Tickets'!$AB:$AB, "*" &amp; D44 &amp; "*", 'OLT DOWN Tickets'!$L:$L, "OLT UPLINK LOW POWER") &gt; 0</f>
        <v>0</v>
      </c>
      <c r="H44" s="6" t="b">
        <f>COUNTIFS('OLT DOWN Tickets'!$AB:$AB, "*" &amp; D44 &amp; "*", 'OLT DOWN Tickets'!$L:$L, "OLT UPLINK DOWN") &gt; 0</f>
        <v>0</v>
      </c>
      <c r="I44" s="6" t="b">
        <f>COUNTIFS('OLT DOWN Tickets'!$AB:$AB, "*" &amp; D44 &amp; "*", 'OLT DOWN Tickets'!$L:$L, "OLT SERVICE DEGRADATION") &gt; 0</f>
        <v>0</v>
      </c>
      <c r="J44" s="32" t="str">
        <f>IFERROR(__xludf.DUMMYFUNCTION("IFERROR(INDEX(FILTER('OLT DOWN Tickets'!$F:$F, REGEXMATCH('OLT DOWN Tickets'!$AB:$AB, ""(?i)""&amp;TRIM(D44)), 'OLT DOWN Tickets'!$L:$L=""OLT DOWN""), 1), """")"),"")</f>
        <v/>
      </c>
      <c r="K44" s="32" t="str">
        <f>IFERROR(__xludf.DUMMYFUNCTION("IFERROR(INDEX(FILTER('OLT DOWN Tickets'!$F:$F, REGEXMATCH('OLT DOWN Tickets'!$AB:$AB, ""(?i)""&amp;TRIM(D44)), 'OLT DOWN Tickets'!$L:$L=""OLT UPLINK LOW POWER""), 1), """")"),"")</f>
        <v/>
      </c>
      <c r="L44" s="32" t="str">
        <f>IFERROR(__xludf.DUMMYFUNCTION("IFERROR(INDEX(FILTER('OLT DOWN Tickets'!$F:$F, REGEXMATCH('OLT DOWN Tickets'!$AB:$AB, ""(?i)""&amp;TRIM(D44)), 'OLT DOWN Tickets'!$L:$L=""OLT UPLINK DOWN""), 1), """")"),"")</f>
        <v/>
      </c>
      <c r="M44" s="32" t="str">
        <f>IFERROR(__xludf.DUMMYFUNCTION("IFERROR(INDEX(FILTER('OLT DOWN Tickets'!$F:$F, REGEXMATCH('OLT DOWN Tickets'!$AB:$AB, ""(?i)""&amp;TRIM(D44)), 'OLT DOWN Tickets'!$L:$L=""OLT SERVICE DEGRADATION""), 1), """")
"),"")</f>
        <v/>
      </c>
      <c r="N44" s="6" t="b">
        <v>0</v>
      </c>
      <c r="O44" s="6" t="b">
        <v>0</v>
      </c>
      <c r="P44" s="6" t="b">
        <v>0</v>
      </c>
      <c r="Q44" s="6" t="b">
        <v>0</v>
      </c>
      <c r="R44" s="6"/>
      <c r="S44" s="6"/>
      <c r="T44" s="6"/>
      <c r="U44" s="6"/>
    </row>
    <row r="45">
      <c r="A45" s="19"/>
      <c r="B45" s="26" t="s">
        <v>104</v>
      </c>
      <c r="C45" s="26" t="s">
        <v>132</v>
      </c>
      <c r="D45" s="27" t="s">
        <v>180</v>
      </c>
      <c r="E45" s="6" t="b">
        <f t="shared" si="1"/>
        <v>1</v>
      </c>
      <c r="F45" s="6" t="b">
        <f>COUNTIFS('OLT DOWN Tickets'!$AB:$AB, "*" &amp; D45 &amp; "*", 'OLT DOWN Tickets'!$L:$L, "OLT DOWN") &gt; 0</f>
        <v>0</v>
      </c>
      <c r="G45" s="6" t="b">
        <f>COUNTIFS('OLT DOWN Tickets'!$AB:$AB, "*" &amp; D45 &amp; "*", 'OLT DOWN Tickets'!$L:$L, "OLT UPLINK LOW POWER") &gt; 0</f>
        <v>0</v>
      </c>
      <c r="H45" s="6" t="b">
        <f>COUNTIFS('OLT DOWN Tickets'!$AB:$AB, "*" &amp; D45 &amp; "*", 'OLT DOWN Tickets'!$L:$L, "OLT UPLINK DOWN") &gt; 0</f>
        <v>0</v>
      </c>
      <c r="I45" s="6" t="b">
        <f>COUNTIFS('OLT DOWN Tickets'!$AB:$AB, "*" &amp; D45 &amp; "*", 'OLT DOWN Tickets'!$L:$L, "OLT SERVICE DEGRADATION") &gt; 0</f>
        <v>0</v>
      </c>
      <c r="J45" s="32" t="str">
        <f>IFERROR(__xludf.DUMMYFUNCTION("IFERROR(INDEX(FILTER('OLT DOWN Tickets'!$F:$F, REGEXMATCH('OLT DOWN Tickets'!$AB:$AB, ""(?i)""&amp;TRIM(D45)), 'OLT DOWN Tickets'!$L:$L=""OLT DOWN""), 1), """")"),"")</f>
        <v/>
      </c>
      <c r="K45" s="32" t="str">
        <f>IFERROR(__xludf.DUMMYFUNCTION("IFERROR(INDEX(FILTER('OLT DOWN Tickets'!$F:$F, REGEXMATCH('OLT DOWN Tickets'!$AB:$AB, ""(?i)""&amp;TRIM(D45)), 'OLT DOWN Tickets'!$L:$L=""OLT UPLINK LOW POWER""), 1), """")"),"")</f>
        <v/>
      </c>
      <c r="L45" s="32" t="str">
        <f>IFERROR(__xludf.DUMMYFUNCTION("IFERROR(INDEX(FILTER('OLT DOWN Tickets'!$F:$F, REGEXMATCH('OLT DOWN Tickets'!$AB:$AB, ""(?i)""&amp;TRIM(D45)), 'OLT DOWN Tickets'!$L:$L=""OLT UPLINK DOWN""), 1), """")"),"")</f>
        <v/>
      </c>
      <c r="M45" s="32" t="str">
        <f>IFERROR(__xludf.DUMMYFUNCTION("IFERROR(INDEX(FILTER('OLT DOWN Tickets'!$F:$F, REGEXMATCH('OLT DOWN Tickets'!$AB:$AB, ""(?i)""&amp;TRIM(D45)), 'OLT DOWN Tickets'!$L:$L=""OLT SERVICE DEGRADATION""), 1), """")
"),"")</f>
        <v/>
      </c>
      <c r="N45" s="6" t="b">
        <v>0</v>
      </c>
      <c r="O45" s="6" t="b">
        <v>0</v>
      </c>
      <c r="P45" s="6" t="b">
        <v>0</v>
      </c>
      <c r="Q45" s="6" t="b">
        <v>0</v>
      </c>
      <c r="R45" s="6"/>
      <c r="S45" s="6"/>
      <c r="T45" s="6"/>
      <c r="U45" s="6"/>
    </row>
    <row r="46">
      <c r="A46" s="19"/>
      <c r="B46" s="26" t="s">
        <v>104</v>
      </c>
      <c r="C46" s="26" t="s">
        <v>132</v>
      </c>
      <c r="D46" s="27" t="s">
        <v>181</v>
      </c>
      <c r="E46" s="6" t="b">
        <f t="shared" si="1"/>
        <v>1</v>
      </c>
      <c r="F46" s="6" t="b">
        <f>COUNTIFS('OLT DOWN Tickets'!$AB:$AB, "*" &amp; D46 &amp; "*", 'OLT DOWN Tickets'!$L:$L, "OLT DOWN") &gt; 0</f>
        <v>0</v>
      </c>
      <c r="G46" s="6" t="b">
        <f>COUNTIFS('OLT DOWN Tickets'!$AB:$AB, "*" &amp; D46 &amp; "*", 'OLT DOWN Tickets'!$L:$L, "OLT UPLINK LOW POWER") &gt; 0</f>
        <v>0</v>
      </c>
      <c r="H46" s="6" t="b">
        <f>COUNTIFS('OLT DOWN Tickets'!$AB:$AB, "*" &amp; D46 &amp; "*", 'OLT DOWN Tickets'!$L:$L, "OLT UPLINK DOWN") &gt; 0</f>
        <v>0</v>
      </c>
      <c r="I46" s="6" t="b">
        <f>COUNTIFS('OLT DOWN Tickets'!$AB:$AB, "*" &amp; D46 &amp; "*", 'OLT DOWN Tickets'!$L:$L, "OLT SERVICE DEGRADATION") &gt; 0</f>
        <v>0</v>
      </c>
      <c r="J46" s="32" t="str">
        <f>IFERROR(__xludf.DUMMYFUNCTION("IFERROR(INDEX(FILTER('OLT DOWN Tickets'!$F:$F, REGEXMATCH('OLT DOWN Tickets'!$AB:$AB, ""(?i)""&amp;TRIM(D46)), 'OLT DOWN Tickets'!$L:$L=""OLT DOWN""), 1), """")"),"")</f>
        <v/>
      </c>
      <c r="K46" s="32" t="str">
        <f>IFERROR(__xludf.DUMMYFUNCTION("IFERROR(INDEX(FILTER('OLT DOWN Tickets'!$F:$F, REGEXMATCH('OLT DOWN Tickets'!$AB:$AB, ""(?i)""&amp;TRIM(D46)), 'OLT DOWN Tickets'!$L:$L=""OLT UPLINK LOW POWER""), 1), """")"),"")</f>
        <v/>
      </c>
      <c r="L46" s="32" t="str">
        <f>IFERROR(__xludf.DUMMYFUNCTION("IFERROR(INDEX(FILTER('OLT DOWN Tickets'!$F:$F, REGEXMATCH('OLT DOWN Tickets'!$AB:$AB, ""(?i)""&amp;TRIM(D46)), 'OLT DOWN Tickets'!$L:$L=""OLT UPLINK DOWN""), 1), """")"),"")</f>
        <v/>
      </c>
      <c r="M46" s="32" t="str">
        <f>IFERROR(__xludf.DUMMYFUNCTION("IFERROR(INDEX(FILTER('OLT DOWN Tickets'!$F:$F, REGEXMATCH('OLT DOWN Tickets'!$AB:$AB, ""(?i)""&amp;TRIM(D46)), 'OLT DOWN Tickets'!$L:$L=""OLT SERVICE DEGRADATION""), 1), """")
"),"")</f>
        <v/>
      </c>
      <c r="N46" s="6" t="b">
        <v>0</v>
      </c>
      <c r="O46" s="6" t="b">
        <v>0</v>
      </c>
      <c r="P46" s="6" t="b">
        <v>0</v>
      </c>
      <c r="Q46" s="6" t="b">
        <v>0</v>
      </c>
      <c r="R46" s="6"/>
      <c r="S46" s="6"/>
      <c r="T46" s="6"/>
      <c r="U46" s="6"/>
    </row>
    <row r="47">
      <c r="A47" s="19"/>
      <c r="B47" s="26" t="s">
        <v>104</v>
      </c>
      <c r="C47" s="26" t="s">
        <v>182</v>
      </c>
      <c r="D47" s="27" t="s">
        <v>183</v>
      </c>
      <c r="E47" s="6" t="b">
        <f t="shared" si="1"/>
        <v>1</v>
      </c>
      <c r="F47" s="6" t="b">
        <f>COUNTIFS('OLT DOWN Tickets'!$AB:$AB, "*" &amp; D47 &amp; "*", 'OLT DOWN Tickets'!$L:$L, "OLT DOWN") &gt; 0</f>
        <v>0</v>
      </c>
      <c r="G47" s="6" t="b">
        <f>COUNTIFS('OLT DOWN Tickets'!$AB:$AB, "*" &amp; D47 &amp; "*", 'OLT DOWN Tickets'!$L:$L, "OLT UPLINK LOW POWER") &gt; 0</f>
        <v>0</v>
      </c>
      <c r="H47" s="6" t="b">
        <f>COUNTIFS('OLT DOWN Tickets'!$AB:$AB, "*" &amp; D47 &amp; "*", 'OLT DOWN Tickets'!$L:$L, "OLT UPLINK DOWN") &gt; 0</f>
        <v>0</v>
      </c>
      <c r="I47" s="6" t="b">
        <f>COUNTIFS('OLT DOWN Tickets'!$AB:$AB, "*" &amp; D47 &amp; "*", 'OLT DOWN Tickets'!$L:$L, "OLT SERVICE DEGRADATION") &gt; 0</f>
        <v>0</v>
      </c>
      <c r="J47" s="32" t="str">
        <f>IFERROR(__xludf.DUMMYFUNCTION("IFERROR(INDEX(FILTER('OLT DOWN Tickets'!$F:$F, REGEXMATCH('OLT DOWN Tickets'!$AB:$AB, ""(?i)""&amp;TRIM(D47)), 'OLT DOWN Tickets'!$L:$L=""OLT DOWN""), 1), """")"),"")</f>
        <v/>
      </c>
      <c r="K47" s="32" t="str">
        <f>IFERROR(__xludf.DUMMYFUNCTION("IFERROR(INDEX(FILTER('OLT DOWN Tickets'!$F:$F, REGEXMATCH('OLT DOWN Tickets'!$AB:$AB, ""(?i)""&amp;TRIM(D47)), 'OLT DOWN Tickets'!$L:$L=""OLT UPLINK LOW POWER""), 1), """")"),"")</f>
        <v/>
      </c>
      <c r="L47" s="32" t="str">
        <f>IFERROR(__xludf.DUMMYFUNCTION("IFERROR(INDEX(FILTER('OLT DOWN Tickets'!$F:$F, REGEXMATCH('OLT DOWN Tickets'!$AB:$AB, ""(?i)""&amp;TRIM(D47)), 'OLT DOWN Tickets'!$L:$L=""OLT UPLINK DOWN""), 1), """")"),"")</f>
        <v/>
      </c>
      <c r="M47" s="32" t="str">
        <f>IFERROR(__xludf.DUMMYFUNCTION("IFERROR(INDEX(FILTER('OLT DOWN Tickets'!$F:$F, REGEXMATCH('OLT DOWN Tickets'!$AB:$AB, ""(?i)""&amp;TRIM(D47)), 'OLT DOWN Tickets'!$L:$L=""OLT SERVICE DEGRADATION""), 1), """")
"),"")</f>
        <v/>
      </c>
      <c r="N47" s="6" t="b">
        <v>0</v>
      </c>
      <c r="O47" s="6" t="b">
        <v>0</v>
      </c>
      <c r="P47" s="6" t="b">
        <v>0</v>
      </c>
      <c r="Q47" s="6" t="b">
        <v>0</v>
      </c>
      <c r="R47" s="6"/>
      <c r="S47" s="6"/>
      <c r="T47" s="6"/>
      <c r="U47" s="6"/>
    </row>
    <row r="48">
      <c r="A48" s="19"/>
      <c r="B48" s="26" t="s">
        <v>104</v>
      </c>
      <c r="C48" s="26" t="s">
        <v>184</v>
      </c>
      <c r="D48" s="27" t="s">
        <v>185</v>
      </c>
      <c r="E48" s="6" t="b">
        <f t="shared" si="1"/>
        <v>1</v>
      </c>
      <c r="F48" s="6" t="b">
        <f>COUNTIFS('OLT DOWN Tickets'!$AB:$AB, "*" &amp; D48 &amp; "*", 'OLT DOWN Tickets'!$L:$L, "OLT DOWN") &gt; 0</f>
        <v>0</v>
      </c>
      <c r="G48" s="6" t="b">
        <f>COUNTIFS('OLT DOWN Tickets'!$AB:$AB, "*" &amp; D48 &amp; "*", 'OLT DOWN Tickets'!$L:$L, "OLT UPLINK LOW POWER") &gt; 0</f>
        <v>0</v>
      </c>
      <c r="H48" s="6" t="b">
        <f>COUNTIFS('OLT DOWN Tickets'!$AB:$AB, "*" &amp; D48 &amp; "*", 'OLT DOWN Tickets'!$L:$L, "OLT UPLINK DOWN") &gt; 0</f>
        <v>0</v>
      </c>
      <c r="I48" s="6" t="b">
        <f>COUNTIFS('OLT DOWN Tickets'!$AB:$AB, "*" &amp; D48 &amp; "*", 'OLT DOWN Tickets'!$L:$L, "OLT SERVICE DEGRADATION") &gt; 0</f>
        <v>0</v>
      </c>
      <c r="J48" s="32" t="str">
        <f>IFERROR(__xludf.DUMMYFUNCTION("IFERROR(INDEX(FILTER('OLT DOWN Tickets'!$F:$F, REGEXMATCH('OLT DOWN Tickets'!$AB:$AB, ""(?i)""&amp;TRIM(D48)), 'OLT DOWN Tickets'!$L:$L=""OLT DOWN""), 1), """")"),"")</f>
        <v/>
      </c>
      <c r="K48" s="32" t="str">
        <f>IFERROR(__xludf.DUMMYFUNCTION("IFERROR(INDEX(FILTER('OLT DOWN Tickets'!$F:$F, REGEXMATCH('OLT DOWN Tickets'!$AB:$AB, ""(?i)""&amp;TRIM(D48)), 'OLT DOWN Tickets'!$L:$L=""OLT UPLINK LOW POWER""), 1), """")"),"")</f>
        <v/>
      </c>
      <c r="L48" s="32" t="str">
        <f>IFERROR(__xludf.DUMMYFUNCTION("IFERROR(INDEX(FILTER('OLT DOWN Tickets'!$F:$F, REGEXMATCH('OLT DOWN Tickets'!$AB:$AB, ""(?i)""&amp;TRIM(D48)), 'OLT DOWN Tickets'!$L:$L=""OLT UPLINK DOWN""), 1), """")"),"")</f>
        <v/>
      </c>
      <c r="M48" s="32" t="str">
        <f>IFERROR(__xludf.DUMMYFUNCTION("IFERROR(INDEX(FILTER('OLT DOWN Tickets'!$F:$F, REGEXMATCH('OLT DOWN Tickets'!$AB:$AB, ""(?i)""&amp;TRIM(D48)), 'OLT DOWN Tickets'!$L:$L=""OLT SERVICE DEGRADATION""), 1), """")
"),"")</f>
        <v/>
      </c>
      <c r="N48" s="6" t="b">
        <v>0</v>
      </c>
      <c r="O48" s="6" t="b">
        <v>0</v>
      </c>
      <c r="P48" s="6" t="b">
        <v>0</v>
      </c>
      <c r="Q48" s="6" t="b">
        <v>0</v>
      </c>
      <c r="R48" s="6"/>
      <c r="S48" s="6"/>
      <c r="T48" s="6"/>
      <c r="U48" s="6"/>
    </row>
    <row r="49">
      <c r="A49" s="19"/>
      <c r="B49" s="26" t="s">
        <v>104</v>
      </c>
      <c r="C49" s="26" t="s">
        <v>148</v>
      </c>
      <c r="D49" s="27" t="s">
        <v>186</v>
      </c>
      <c r="E49" s="6" t="b">
        <f t="shared" si="1"/>
        <v>1</v>
      </c>
      <c r="F49" s="6" t="b">
        <f>COUNTIFS('OLT DOWN Tickets'!$AB:$AB, "*" &amp; D49 &amp; "*", 'OLT DOWN Tickets'!$L:$L, "OLT DOWN") &gt; 0</f>
        <v>0</v>
      </c>
      <c r="G49" s="6" t="b">
        <f>COUNTIFS('OLT DOWN Tickets'!$AB:$AB, "*" &amp; D49 &amp; "*", 'OLT DOWN Tickets'!$L:$L, "OLT UPLINK LOW POWER") &gt; 0</f>
        <v>0</v>
      </c>
      <c r="H49" s="6" t="b">
        <f>COUNTIFS('OLT DOWN Tickets'!$AB:$AB, "*" &amp; D49 &amp; "*", 'OLT DOWN Tickets'!$L:$L, "OLT UPLINK DOWN") &gt; 0</f>
        <v>0</v>
      </c>
      <c r="I49" s="6" t="b">
        <f>COUNTIFS('OLT DOWN Tickets'!$AB:$AB, "*" &amp; D49 &amp; "*", 'OLT DOWN Tickets'!$L:$L, "OLT SERVICE DEGRADATION") &gt; 0</f>
        <v>0</v>
      </c>
      <c r="J49" s="32" t="str">
        <f>IFERROR(__xludf.DUMMYFUNCTION("IFERROR(INDEX(FILTER('OLT DOWN Tickets'!$F:$F, REGEXMATCH('OLT DOWN Tickets'!$AB:$AB, ""(?i)""&amp;TRIM(D49)), 'OLT DOWN Tickets'!$L:$L=""OLT DOWN""), 1), """")"),"")</f>
        <v/>
      </c>
      <c r="K49" s="32" t="str">
        <f>IFERROR(__xludf.DUMMYFUNCTION("IFERROR(INDEX(FILTER('OLT DOWN Tickets'!$F:$F, REGEXMATCH('OLT DOWN Tickets'!$AB:$AB, ""(?i)""&amp;TRIM(D49)), 'OLT DOWN Tickets'!$L:$L=""OLT UPLINK LOW POWER""), 1), """")"),"")</f>
        <v/>
      </c>
      <c r="L49" s="32" t="str">
        <f>IFERROR(__xludf.DUMMYFUNCTION("IFERROR(INDEX(FILTER('OLT DOWN Tickets'!$F:$F, REGEXMATCH('OLT DOWN Tickets'!$AB:$AB, ""(?i)""&amp;TRIM(D49)), 'OLT DOWN Tickets'!$L:$L=""OLT UPLINK DOWN""), 1), """")"),"")</f>
        <v/>
      </c>
      <c r="M49" s="32" t="str">
        <f>IFERROR(__xludf.DUMMYFUNCTION("IFERROR(INDEX(FILTER('OLT DOWN Tickets'!$F:$F, REGEXMATCH('OLT DOWN Tickets'!$AB:$AB, ""(?i)""&amp;TRIM(D49)), 'OLT DOWN Tickets'!$L:$L=""OLT SERVICE DEGRADATION""), 1), """")
"),"")</f>
        <v/>
      </c>
      <c r="N49" s="6" t="b">
        <v>0</v>
      </c>
      <c r="O49" s="6" t="b">
        <v>0</v>
      </c>
      <c r="P49" s="6" t="b">
        <v>0</v>
      </c>
      <c r="Q49" s="6" t="b">
        <v>0</v>
      </c>
      <c r="R49" s="6"/>
      <c r="S49" s="6"/>
      <c r="T49" s="6"/>
      <c r="U49" s="6"/>
    </row>
    <row r="50">
      <c r="A50" s="19"/>
      <c r="B50" s="26" t="s">
        <v>104</v>
      </c>
      <c r="C50" s="26" t="s">
        <v>148</v>
      </c>
      <c r="D50" s="27" t="s">
        <v>187</v>
      </c>
      <c r="E50" s="6" t="b">
        <f t="shared" si="1"/>
        <v>1</v>
      </c>
      <c r="F50" s="6" t="b">
        <f>COUNTIFS('OLT DOWN Tickets'!$AB:$AB, "*" &amp; D50 &amp; "*", 'OLT DOWN Tickets'!$L:$L, "OLT DOWN") &gt; 0</f>
        <v>0</v>
      </c>
      <c r="G50" s="6" t="b">
        <f>COUNTIFS('OLT DOWN Tickets'!$AB:$AB, "*" &amp; D50 &amp; "*", 'OLT DOWN Tickets'!$L:$L, "OLT UPLINK LOW POWER") &gt; 0</f>
        <v>0</v>
      </c>
      <c r="H50" s="6" t="b">
        <f>COUNTIFS('OLT DOWN Tickets'!$AB:$AB, "*" &amp; D50 &amp; "*", 'OLT DOWN Tickets'!$L:$L, "OLT UPLINK DOWN") &gt; 0</f>
        <v>0</v>
      </c>
      <c r="I50" s="6" t="b">
        <f>COUNTIFS('OLT DOWN Tickets'!$AB:$AB, "*" &amp; D50 &amp; "*", 'OLT DOWN Tickets'!$L:$L, "OLT SERVICE DEGRADATION") &gt; 0</f>
        <v>0</v>
      </c>
      <c r="J50" s="32" t="str">
        <f>IFERROR(__xludf.DUMMYFUNCTION("IFERROR(INDEX(FILTER('OLT DOWN Tickets'!$F:$F, REGEXMATCH('OLT DOWN Tickets'!$AB:$AB, ""(?i)""&amp;TRIM(D50)), 'OLT DOWN Tickets'!$L:$L=""OLT DOWN""), 1), """")"),"")</f>
        <v/>
      </c>
      <c r="K50" s="32" t="str">
        <f>IFERROR(__xludf.DUMMYFUNCTION("IFERROR(INDEX(FILTER('OLT DOWN Tickets'!$F:$F, REGEXMATCH('OLT DOWN Tickets'!$AB:$AB, ""(?i)""&amp;TRIM(D50)), 'OLT DOWN Tickets'!$L:$L=""OLT UPLINK LOW POWER""), 1), """")"),"")</f>
        <v/>
      </c>
      <c r="L50" s="32" t="str">
        <f>IFERROR(__xludf.DUMMYFUNCTION("IFERROR(INDEX(FILTER('OLT DOWN Tickets'!$F:$F, REGEXMATCH('OLT DOWN Tickets'!$AB:$AB, ""(?i)""&amp;TRIM(D50)), 'OLT DOWN Tickets'!$L:$L=""OLT UPLINK DOWN""), 1), """")"),"")</f>
        <v/>
      </c>
      <c r="M50" s="32" t="str">
        <f>IFERROR(__xludf.DUMMYFUNCTION("IFERROR(INDEX(FILTER('OLT DOWN Tickets'!$F:$F, REGEXMATCH('OLT DOWN Tickets'!$AB:$AB, ""(?i)""&amp;TRIM(D50)), 'OLT DOWN Tickets'!$L:$L=""OLT SERVICE DEGRADATION""), 1), """")
"),"")</f>
        <v/>
      </c>
      <c r="N50" s="6" t="b">
        <v>0</v>
      </c>
      <c r="O50" s="6" t="b">
        <v>0</v>
      </c>
      <c r="P50" s="6" t="b">
        <v>0</v>
      </c>
      <c r="Q50" s="6" t="b">
        <v>0</v>
      </c>
      <c r="R50" s="6"/>
      <c r="S50" s="6"/>
      <c r="T50" s="6"/>
      <c r="U50" s="6"/>
    </row>
    <row r="51">
      <c r="A51" s="19"/>
      <c r="B51" s="26" t="s">
        <v>104</v>
      </c>
      <c r="C51" s="26" t="s">
        <v>188</v>
      </c>
      <c r="D51" s="27" t="s">
        <v>189</v>
      </c>
      <c r="E51" s="6" t="b">
        <f t="shared" si="1"/>
        <v>1</v>
      </c>
      <c r="F51" s="6" t="b">
        <f>COUNTIFS('OLT DOWN Tickets'!$AB:$AB, "*" &amp; D51 &amp; "*", 'OLT DOWN Tickets'!$L:$L, "OLT DOWN") &gt; 0</f>
        <v>0</v>
      </c>
      <c r="G51" s="6" t="b">
        <f>COUNTIFS('OLT DOWN Tickets'!$AB:$AB, "*" &amp; D51 &amp; "*", 'OLT DOWN Tickets'!$L:$L, "OLT UPLINK LOW POWER") &gt; 0</f>
        <v>0</v>
      </c>
      <c r="H51" s="6" t="b">
        <f>COUNTIFS('OLT DOWN Tickets'!$AB:$AB, "*" &amp; D51 &amp; "*", 'OLT DOWN Tickets'!$L:$L, "OLT UPLINK DOWN") &gt; 0</f>
        <v>0</v>
      </c>
      <c r="I51" s="6" t="b">
        <f>COUNTIFS('OLT DOWN Tickets'!$AB:$AB, "*" &amp; D51 &amp; "*", 'OLT DOWN Tickets'!$L:$L, "OLT SERVICE DEGRADATION") &gt; 0</f>
        <v>0</v>
      </c>
      <c r="J51" s="32" t="str">
        <f>IFERROR(__xludf.DUMMYFUNCTION("IFERROR(INDEX(FILTER('OLT DOWN Tickets'!$F:$F, REGEXMATCH('OLT DOWN Tickets'!$AB:$AB, ""(?i)""&amp;TRIM(D51)), 'OLT DOWN Tickets'!$L:$L=""OLT DOWN""), 1), """")"),"")</f>
        <v/>
      </c>
      <c r="K51" s="32" t="str">
        <f>IFERROR(__xludf.DUMMYFUNCTION("IFERROR(INDEX(FILTER('OLT DOWN Tickets'!$F:$F, REGEXMATCH('OLT DOWN Tickets'!$AB:$AB, ""(?i)""&amp;TRIM(D51)), 'OLT DOWN Tickets'!$L:$L=""OLT UPLINK LOW POWER""), 1), """")"),"")</f>
        <v/>
      </c>
      <c r="L51" s="32" t="str">
        <f>IFERROR(__xludf.DUMMYFUNCTION("IFERROR(INDEX(FILTER('OLT DOWN Tickets'!$F:$F, REGEXMATCH('OLT DOWN Tickets'!$AB:$AB, ""(?i)""&amp;TRIM(D51)), 'OLT DOWN Tickets'!$L:$L=""OLT UPLINK DOWN""), 1), """")"),"")</f>
        <v/>
      </c>
      <c r="M51" s="32" t="str">
        <f>IFERROR(__xludf.DUMMYFUNCTION("IFERROR(INDEX(FILTER('OLT DOWN Tickets'!$F:$F, REGEXMATCH('OLT DOWN Tickets'!$AB:$AB, ""(?i)""&amp;TRIM(D51)), 'OLT DOWN Tickets'!$L:$L=""OLT SERVICE DEGRADATION""), 1), """")
"),"")</f>
        <v/>
      </c>
      <c r="N51" s="6" t="b">
        <v>0</v>
      </c>
      <c r="O51" s="6" t="b">
        <v>0</v>
      </c>
      <c r="P51" s="6" t="b">
        <v>0</v>
      </c>
      <c r="Q51" s="6" t="b">
        <v>0</v>
      </c>
      <c r="R51" s="6"/>
      <c r="S51" s="6"/>
      <c r="T51" s="6"/>
      <c r="U51" s="6"/>
    </row>
    <row r="52">
      <c r="A52" s="19"/>
      <c r="B52" s="26" t="s">
        <v>104</v>
      </c>
      <c r="C52" s="26" t="s">
        <v>188</v>
      </c>
      <c r="D52" s="27" t="s">
        <v>190</v>
      </c>
      <c r="E52" s="6" t="b">
        <f t="shared" si="1"/>
        <v>1</v>
      </c>
      <c r="F52" s="6" t="b">
        <f>COUNTIFS('OLT DOWN Tickets'!$AB:$AB, "*" &amp; D52 &amp; "*", 'OLT DOWN Tickets'!$L:$L, "OLT DOWN") &gt; 0</f>
        <v>0</v>
      </c>
      <c r="G52" s="6" t="b">
        <f>COUNTIFS('OLT DOWN Tickets'!$AB:$AB, "*" &amp; D52 &amp; "*", 'OLT DOWN Tickets'!$L:$L, "OLT UPLINK LOW POWER") &gt; 0</f>
        <v>0</v>
      </c>
      <c r="H52" s="6" t="b">
        <f>COUNTIFS('OLT DOWN Tickets'!$AB:$AB, "*" &amp; D52 &amp; "*", 'OLT DOWN Tickets'!$L:$L, "OLT UPLINK DOWN") &gt; 0</f>
        <v>0</v>
      </c>
      <c r="I52" s="6" t="b">
        <f>COUNTIFS('OLT DOWN Tickets'!$AB:$AB, "*" &amp; D52 &amp; "*", 'OLT DOWN Tickets'!$L:$L, "OLT SERVICE DEGRADATION") &gt; 0</f>
        <v>0</v>
      </c>
      <c r="J52" s="32" t="str">
        <f>IFERROR(__xludf.DUMMYFUNCTION("IFERROR(INDEX(FILTER('OLT DOWN Tickets'!$F:$F, REGEXMATCH('OLT DOWN Tickets'!$AB:$AB, ""(?i)""&amp;TRIM(D52)), 'OLT DOWN Tickets'!$L:$L=""OLT DOWN""), 1), """")"),"")</f>
        <v/>
      </c>
      <c r="K52" s="32" t="str">
        <f>IFERROR(__xludf.DUMMYFUNCTION("IFERROR(INDEX(FILTER('OLT DOWN Tickets'!$F:$F, REGEXMATCH('OLT DOWN Tickets'!$AB:$AB, ""(?i)""&amp;TRIM(D52)), 'OLT DOWN Tickets'!$L:$L=""OLT UPLINK LOW POWER""), 1), """")"),"")</f>
        <v/>
      </c>
      <c r="L52" s="32" t="str">
        <f>IFERROR(__xludf.DUMMYFUNCTION("IFERROR(INDEX(FILTER('OLT DOWN Tickets'!$F:$F, REGEXMATCH('OLT DOWN Tickets'!$AB:$AB, ""(?i)""&amp;TRIM(D52)), 'OLT DOWN Tickets'!$L:$L=""OLT UPLINK DOWN""), 1), """")"),"")</f>
        <v/>
      </c>
      <c r="M52" s="32" t="str">
        <f>IFERROR(__xludf.DUMMYFUNCTION("IFERROR(INDEX(FILTER('OLT DOWN Tickets'!$F:$F, REGEXMATCH('OLT DOWN Tickets'!$AB:$AB, ""(?i)""&amp;TRIM(D52)), 'OLT DOWN Tickets'!$L:$L=""OLT SERVICE DEGRADATION""), 1), """")
"),"")</f>
        <v/>
      </c>
      <c r="N52" s="6" t="b">
        <v>0</v>
      </c>
      <c r="O52" s="6" t="b">
        <v>0</v>
      </c>
      <c r="P52" s="6" t="b">
        <v>0</v>
      </c>
      <c r="Q52" s="6" t="b">
        <v>0</v>
      </c>
      <c r="R52" s="6"/>
      <c r="S52" s="6"/>
      <c r="T52" s="6"/>
      <c r="U52" s="6"/>
    </row>
    <row r="53">
      <c r="A53" s="19"/>
      <c r="B53" s="26" t="s">
        <v>104</v>
      </c>
      <c r="C53" s="26" t="s">
        <v>188</v>
      </c>
      <c r="D53" s="27" t="s">
        <v>191</v>
      </c>
      <c r="E53" s="6" t="b">
        <f t="shared" si="1"/>
        <v>1</v>
      </c>
      <c r="F53" s="6" t="b">
        <f>COUNTIFS('OLT DOWN Tickets'!$AB:$AB, "*" &amp; D53 &amp; "*", 'OLT DOWN Tickets'!$L:$L, "OLT DOWN") &gt; 0</f>
        <v>0</v>
      </c>
      <c r="G53" s="6" t="b">
        <f>COUNTIFS('OLT DOWN Tickets'!$AB:$AB, "*" &amp; D53 &amp; "*", 'OLT DOWN Tickets'!$L:$L, "OLT UPLINK LOW POWER") &gt; 0</f>
        <v>0</v>
      </c>
      <c r="H53" s="6" t="b">
        <f>COUNTIFS('OLT DOWN Tickets'!$AB:$AB, "*" &amp; D53 &amp; "*", 'OLT DOWN Tickets'!$L:$L, "OLT UPLINK DOWN") &gt; 0</f>
        <v>0</v>
      </c>
      <c r="I53" s="6" t="b">
        <f>COUNTIFS('OLT DOWN Tickets'!$AB:$AB, "*" &amp; D53 &amp; "*", 'OLT DOWN Tickets'!$L:$L, "OLT SERVICE DEGRADATION") &gt; 0</f>
        <v>0</v>
      </c>
      <c r="J53" s="32" t="str">
        <f>IFERROR(__xludf.DUMMYFUNCTION("IFERROR(INDEX(FILTER('OLT DOWN Tickets'!$F:$F, REGEXMATCH('OLT DOWN Tickets'!$AB:$AB, ""(?i)""&amp;TRIM(D53)), 'OLT DOWN Tickets'!$L:$L=""OLT DOWN""), 1), """")"),"")</f>
        <v/>
      </c>
      <c r="K53" s="32" t="str">
        <f>IFERROR(__xludf.DUMMYFUNCTION("IFERROR(INDEX(FILTER('OLT DOWN Tickets'!$F:$F, REGEXMATCH('OLT DOWN Tickets'!$AB:$AB, ""(?i)""&amp;TRIM(D53)), 'OLT DOWN Tickets'!$L:$L=""OLT UPLINK LOW POWER""), 1), """")"),"")</f>
        <v/>
      </c>
      <c r="L53" s="32" t="str">
        <f>IFERROR(__xludf.DUMMYFUNCTION("IFERROR(INDEX(FILTER('OLT DOWN Tickets'!$F:$F, REGEXMATCH('OLT DOWN Tickets'!$AB:$AB, ""(?i)""&amp;TRIM(D53)), 'OLT DOWN Tickets'!$L:$L=""OLT UPLINK DOWN""), 1), """")"),"")</f>
        <v/>
      </c>
      <c r="M53" s="32" t="str">
        <f>IFERROR(__xludf.DUMMYFUNCTION("IFERROR(INDEX(FILTER('OLT DOWN Tickets'!$F:$F, REGEXMATCH('OLT DOWN Tickets'!$AB:$AB, ""(?i)""&amp;TRIM(D53)), 'OLT DOWN Tickets'!$L:$L=""OLT SERVICE DEGRADATION""), 1), """")
"),"")</f>
        <v/>
      </c>
      <c r="N53" s="6" t="b">
        <v>0</v>
      </c>
      <c r="O53" s="6" t="b">
        <v>0</v>
      </c>
      <c r="P53" s="6" t="b">
        <v>0</v>
      </c>
      <c r="Q53" s="6" t="b">
        <v>0</v>
      </c>
      <c r="R53" s="6"/>
      <c r="S53" s="6"/>
      <c r="T53" s="6"/>
      <c r="U53" s="6"/>
    </row>
    <row r="54">
      <c r="A54" s="19"/>
      <c r="B54" s="26" t="s">
        <v>104</v>
      </c>
      <c r="C54" s="26" t="s">
        <v>188</v>
      </c>
      <c r="D54" s="27" t="s">
        <v>192</v>
      </c>
      <c r="E54" s="6" t="b">
        <f t="shared" si="1"/>
        <v>1</v>
      </c>
      <c r="F54" s="6" t="b">
        <f>COUNTIFS('OLT DOWN Tickets'!$AB:$AB, "*" &amp; D54 &amp; "*", 'OLT DOWN Tickets'!$L:$L, "OLT DOWN") &gt; 0</f>
        <v>0</v>
      </c>
      <c r="G54" s="6" t="b">
        <f>COUNTIFS('OLT DOWN Tickets'!$AB:$AB, "*" &amp; D54 &amp; "*", 'OLT DOWN Tickets'!$L:$L, "OLT UPLINK LOW POWER") &gt; 0</f>
        <v>0</v>
      </c>
      <c r="H54" s="6" t="b">
        <f>COUNTIFS('OLT DOWN Tickets'!$AB:$AB, "*" &amp; D54 &amp; "*", 'OLT DOWN Tickets'!$L:$L, "OLT UPLINK DOWN") &gt; 0</f>
        <v>0</v>
      </c>
      <c r="I54" s="6" t="b">
        <f>COUNTIFS('OLT DOWN Tickets'!$AB:$AB, "*" &amp; D54 &amp; "*", 'OLT DOWN Tickets'!$L:$L, "OLT SERVICE DEGRADATION") &gt; 0</f>
        <v>0</v>
      </c>
      <c r="J54" s="32" t="str">
        <f>IFERROR(__xludf.DUMMYFUNCTION("IFERROR(INDEX(FILTER('OLT DOWN Tickets'!$F:$F, REGEXMATCH('OLT DOWN Tickets'!$AB:$AB, ""(?i)""&amp;TRIM(D54)), 'OLT DOWN Tickets'!$L:$L=""OLT DOWN""), 1), """")"),"")</f>
        <v/>
      </c>
      <c r="K54" s="32" t="str">
        <f>IFERROR(__xludf.DUMMYFUNCTION("IFERROR(INDEX(FILTER('OLT DOWN Tickets'!$F:$F, REGEXMATCH('OLT DOWN Tickets'!$AB:$AB, ""(?i)""&amp;TRIM(D54)), 'OLT DOWN Tickets'!$L:$L=""OLT UPLINK LOW POWER""), 1), """")"),"")</f>
        <v/>
      </c>
      <c r="L54" s="32" t="str">
        <f>IFERROR(__xludf.DUMMYFUNCTION("IFERROR(INDEX(FILTER('OLT DOWN Tickets'!$F:$F, REGEXMATCH('OLT DOWN Tickets'!$AB:$AB, ""(?i)""&amp;TRIM(D54)), 'OLT DOWN Tickets'!$L:$L=""OLT UPLINK DOWN""), 1), """")"),"")</f>
        <v/>
      </c>
      <c r="M54" s="32" t="str">
        <f>IFERROR(__xludf.DUMMYFUNCTION("IFERROR(INDEX(FILTER('OLT DOWN Tickets'!$F:$F, REGEXMATCH('OLT DOWN Tickets'!$AB:$AB, ""(?i)""&amp;TRIM(D54)), 'OLT DOWN Tickets'!$L:$L=""OLT SERVICE DEGRADATION""), 1), """")
"),"")</f>
        <v/>
      </c>
      <c r="N54" s="6" t="b">
        <v>0</v>
      </c>
      <c r="O54" s="6" t="b">
        <v>0</v>
      </c>
      <c r="P54" s="6" t="b">
        <v>0</v>
      </c>
      <c r="Q54" s="6" t="b">
        <v>0</v>
      </c>
      <c r="R54" s="6"/>
      <c r="S54" s="6"/>
      <c r="T54" s="6"/>
      <c r="U54" s="6"/>
    </row>
    <row r="55">
      <c r="A55" s="19"/>
      <c r="B55" s="26" t="s">
        <v>104</v>
      </c>
      <c r="C55" s="26" t="s">
        <v>193</v>
      </c>
      <c r="D55" s="27" t="s">
        <v>194</v>
      </c>
      <c r="E55" s="6" t="b">
        <f t="shared" si="1"/>
        <v>0</v>
      </c>
      <c r="F55" s="6" t="b">
        <f>COUNTIFS('OLT DOWN Tickets'!$AB:$AB, "*" &amp; D55 &amp; "*", 'OLT DOWN Tickets'!$L:$L, "OLT DOWN") &gt; 0</f>
        <v>1</v>
      </c>
      <c r="G55" s="6" t="b">
        <f>COUNTIFS('OLT DOWN Tickets'!$AB:$AB, "*" &amp; D55 &amp; "*", 'OLT DOWN Tickets'!$L:$L, "OLT UPLINK LOW POWER") &gt; 0</f>
        <v>0</v>
      </c>
      <c r="H55" s="6" t="b">
        <f>COUNTIFS('OLT DOWN Tickets'!$AB:$AB, "*" &amp; D55 &amp; "*", 'OLT DOWN Tickets'!$L:$L, "OLT UPLINK DOWN") &gt; 0</f>
        <v>0</v>
      </c>
      <c r="I55" s="6" t="b">
        <f>COUNTIFS('OLT DOWN Tickets'!$AB:$AB, "*" &amp; D55 &amp; "*", 'OLT DOWN Tickets'!$L:$L, "OLT SERVICE DEGRADATION") &gt; 0</f>
        <v>0</v>
      </c>
      <c r="J55" s="32" t="str">
        <f>IFERROR(__xludf.DUMMYFUNCTION("IFERROR(INDEX(FILTER('OLT DOWN Tickets'!$F:$F, REGEXMATCH('OLT DOWN Tickets'!$AB:$AB, ""(?i)""&amp;TRIM(D55)), 'OLT DOWN Tickets'!$L:$L=""OLT DOWN""), 1), """")"),"TT-20260806-00000620")</f>
        <v>TT-20260806-00000620</v>
      </c>
      <c r="K55" s="32" t="str">
        <f>IFERROR(__xludf.DUMMYFUNCTION("IFERROR(INDEX(FILTER('OLT DOWN Tickets'!$F:$F, REGEXMATCH('OLT DOWN Tickets'!$AB:$AB, ""(?i)""&amp;TRIM(D55)), 'OLT DOWN Tickets'!$L:$L=""OLT UPLINK LOW POWER""), 1), """")"),"")</f>
        <v/>
      </c>
      <c r="L55" s="32" t="str">
        <f>IFERROR(__xludf.DUMMYFUNCTION("IFERROR(INDEX(FILTER('OLT DOWN Tickets'!$F:$F, REGEXMATCH('OLT DOWN Tickets'!$AB:$AB, ""(?i)""&amp;TRIM(D55)), 'OLT DOWN Tickets'!$L:$L=""OLT UPLINK DOWN""), 1), """")"),"")</f>
        <v/>
      </c>
      <c r="M55" s="32" t="str">
        <f>IFERROR(__xludf.DUMMYFUNCTION("IFERROR(INDEX(FILTER('OLT DOWN Tickets'!$F:$F, REGEXMATCH('OLT DOWN Tickets'!$AB:$AB, ""(?i)""&amp;TRIM(D55)), 'OLT DOWN Tickets'!$L:$L=""OLT SERVICE DEGRADATION""), 1), """")
"),"")</f>
        <v/>
      </c>
      <c r="N55" s="6" t="b">
        <v>0</v>
      </c>
      <c r="O55" s="6" t="b">
        <v>0</v>
      </c>
      <c r="P55" s="6" t="b">
        <v>0</v>
      </c>
      <c r="Q55" s="6" t="b">
        <v>0</v>
      </c>
      <c r="R55" s="6"/>
      <c r="S55" s="6"/>
      <c r="T55" s="6"/>
      <c r="U55" s="6"/>
    </row>
    <row r="56">
      <c r="A56" s="19"/>
      <c r="B56" s="26" t="s">
        <v>104</v>
      </c>
      <c r="C56" s="26" t="s">
        <v>195</v>
      </c>
      <c r="D56" s="27" t="s">
        <v>196</v>
      </c>
      <c r="E56" s="6" t="b">
        <f t="shared" si="1"/>
        <v>1</v>
      </c>
      <c r="F56" s="6" t="b">
        <f>COUNTIFS('OLT DOWN Tickets'!$AB:$AB, "*" &amp; D56 &amp; "*", 'OLT DOWN Tickets'!$L:$L, "OLT DOWN") &gt; 0</f>
        <v>0</v>
      </c>
      <c r="G56" s="6" t="b">
        <f>COUNTIFS('OLT DOWN Tickets'!$AB:$AB, "*" &amp; D56 &amp; "*", 'OLT DOWN Tickets'!$L:$L, "OLT UPLINK LOW POWER") &gt; 0</f>
        <v>0</v>
      </c>
      <c r="H56" s="6" t="b">
        <f>COUNTIFS('OLT DOWN Tickets'!$AB:$AB, "*" &amp; D56 &amp; "*", 'OLT DOWN Tickets'!$L:$L, "OLT UPLINK DOWN") &gt; 0</f>
        <v>0</v>
      </c>
      <c r="I56" s="6" t="b">
        <f>COUNTIFS('OLT DOWN Tickets'!$AB:$AB, "*" &amp; D56 &amp; "*", 'OLT DOWN Tickets'!$L:$L, "OLT SERVICE DEGRADATION") &gt; 0</f>
        <v>0</v>
      </c>
      <c r="J56" s="32" t="str">
        <f>IFERROR(__xludf.DUMMYFUNCTION("IFERROR(INDEX(FILTER('OLT DOWN Tickets'!$F:$F, REGEXMATCH('OLT DOWN Tickets'!$AB:$AB, ""(?i)""&amp;TRIM(D56)), 'OLT DOWN Tickets'!$L:$L=""OLT DOWN""), 1), """")"),"")</f>
        <v/>
      </c>
      <c r="K56" s="32" t="str">
        <f>IFERROR(__xludf.DUMMYFUNCTION("IFERROR(INDEX(FILTER('OLT DOWN Tickets'!$F:$F, REGEXMATCH('OLT DOWN Tickets'!$AB:$AB, ""(?i)""&amp;TRIM(D56)), 'OLT DOWN Tickets'!$L:$L=""OLT UPLINK LOW POWER""), 1), """")"),"")</f>
        <v/>
      </c>
      <c r="L56" s="32" t="str">
        <f>IFERROR(__xludf.DUMMYFUNCTION("IFERROR(INDEX(FILTER('OLT DOWN Tickets'!$F:$F, REGEXMATCH('OLT DOWN Tickets'!$AB:$AB, ""(?i)""&amp;TRIM(D56)), 'OLT DOWN Tickets'!$L:$L=""OLT UPLINK DOWN""), 1), """")"),"")</f>
        <v/>
      </c>
      <c r="M56" s="32" t="str">
        <f>IFERROR(__xludf.DUMMYFUNCTION("IFERROR(INDEX(FILTER('OLT DOWN Tickets'!$F:$F, REGEXMATCH('OLT DOWN Tickets'!$AB:$AB, ""(?i)""&amp;TRIM(D56)), 'OLT DOWN Tickets'!$L:$L=""OLT SERVICE DEGRADATION""), 1), """")
"),"")</f>
        <v/>
      </c>
      <c r="N56" s="6" t="b">
        <v>0</v>
      </c>
      <c r="O56" s="6" t="b">
        <v>0</v>
      </c>
      <c r="P56" s="6" t="b">
        <v>0</v>
      </c>
      <c r="Q56" s="6" t="b">
        <v>0</v>
      </c>
      <c r="R56" s="6"/>
      <c r="S56" s="6"/>
      <c r="T56" s="6"/>
      <c r="U56" s="6"/>
    </row>
    <row r="57">
      <c r="A57" s="19"/>
      <c r="B57" s="26" t="s">
        <v>104</v>
      </c>
      <c r="C57" s="26" t="s">
        <v>195</v>
      </c>
      <c r="D57" s="27" t="s">
        <v>197</v>
      </c>
      <c r="E57" s="6" t="b">
        <f t="shared" si="1"/>
        <v>0</v>
      </c>
      <c r="F57" s="6" t="b">
        <f>COUNTIFS('OLT DOWN Tickets'!$AB:$AB, "*" &amp; D57 &amp; "*", 'OLT DOWN Tickets'!$L:$L, "OLT DOWN") &gt; 0</f>
        <v>0</v>
      </c>
      <c r="G57" s="6" t="b">
        <f>COUNTIFS('OLT DOWN Tickets'!$AB:$AB, "*" &amp; D57 &amp; "*", 'OLT DOWN Tickets'!$L:$L, "OLT UPLINK LOW POWER") &gt; 0</f>
        <v>1</v>
      </c>
      <c r="H57" s="6" t="b">
        <f>COUNTIFS('OLT DOWN Tickets'!$AB:$AB, "*" &amp; D57 &amp; "*", 'OLT DOWN Tickets'!$L:$L, "OLT UPLINK DOWN") &gt; 0</f>
        <v>0</v>
      </c>
      <c r="I57" s="6" t="b">
        <f>COUNTIFS('OLT DOWN Tickets'!$AB:$AB, "*" &amp; D57 &amp; "*", 'OLT DOWN Tickets'!$L:$L, "OLT SERVICE DEGRADATION") &gt; 0</f>
        <v>0</v>
      </c>
      <c r="J57" s="32" t="str">
        <f>IFERROR(__xludf.DUMMYFUNCTION("IFERROR(INDEX(FILTER('OLT DOWN Tickets'!$F:$F, REGEXMATCH('OLT DOWN Tickets'!$AB:$AB, ""(?i)""&amp;TRIM(D57)), 'OLT DOWN Tickets'!$L:$L=""OLT DOWN""), 1), """")"),"")</f>
        <v/>
      </c>
      <c r="K57" s="32" t="str">
        <f>IFERROR(__xludf.DUMMYFUNCTION("IFERROR(INDEX(FILTER('OLT DOWN Tickets'!$F:$F, REGEXMATCH('OLT DOWN Tickets'!$AB:$AB, ""(?i)""&amp;TRIM(D57)), 'OLT DOWN Tickets'!$L:$L=""OLT UPLINK LOW POWER""), 1), """")"),"TT-20260814-00000434")</f>
        <v>TT-20260814-00000434</v>
      </c>
      <c r="L57" s="32" t="str">
        <f>IFERROR(__xludf.DUMMYFUNCTION("IFERROR(INDEX(FILTER('OLT DOWN Tickets'!$F:$F, REGEXMATCH('OLT DOWN Tickets'!$AB:$AB, ""(?i)""&amp;TRIM(D57)), 'OLT DOWN Tickets'!$L:$L=""OLT UPLINK DOWN""), 1), """")"),"")</f>
        <v/>
      </c>
      <c r="M57" s="32" t="str">
        <f>IFERROR(__xludf.DUMMYFUNCTION("IFERROR(INDEX(FILTER('OLT DOWN Tickets'!$F:$F, REGEXMATCH('OLT DOWN Tickets'!$AB:$AB, ""(?i)""&amp;TRIM(D57)), 'OLT DOWN Tickets'!$L:$L=""OLT SERVICE DEGRADATION""), 1), """")
"),"")</f>
        <v/>
      </c>
      <c r="N57" s="6" t="b">
        <v>0</v>
      </c>
      <c r="O57" s="6" t="b">
        <v>0</v>
      </c>
      <c r="P57" s="6" t="b">
        <v>0</v>
      </c>
      <c r="Q57" s="6" t="b">
        <v>0</v>
      </c>
      <c r="R57" s="6"/>
      <c r="S57" s="6"/>
      <c r="T57" s="6"/>
      <c r="U57" s="6"/>
    </row>
    <row r="58">
      <c r="A58" s="19"/>
      <c r="B58" s="26" t="s">
        <v>104</v>
      </c>
      <c r="C58" s="26" t="s">
        <v>198</v>
      </c>
      <c r="D58" s="27" t="s">
        <v>199</v>
      </c>
      <c r="E58" s="6" t="b">
        <f t="shared" si="1"/>
        <v>1</v>
      </c>
      <c r="F58" s="6" t="b">
        <f>COUNTIFS('OLT DOWN Tickets'!$AB:$AB, "*" &amp; D58 &amp; "*", 'OLT DOWN Tickets'!$L:$L, "OLT DOWN") &gt; 0</f>
        <v>0</v>
      </c>
      <c r="G58" s="6" t="b">
        <f>COUNTIFS('OLT DOWN Tickets'!$AB:$AB, "*" &amp; D58 &amp; "*", 'OLT DOWN Tickets'!$L:$L, "OLT UPLINK LOW POWER") &gt; 0</f>
        <v>0</v>
      </c>
      <c r="H58" s="6" t="b">
        <f>COUNTIFS('OLT DOWN Tickets'!$AB:$AB, "*" &amp; D58 &amp; "*", 'OLT DOWN Tickets'!$L:$L, "OLT UPLINK DOWN") &gt; 0</f>
        <v>0</v>
      </c>
      <c r="I58" s="6" t="b">
        <f>COUNTIFS('OLT DOWN Tickets'!$AB:$AB, "*" &amp; D58 &amp; "*", 'OLT DOWN Tickets'!$L:$L, "OLT SERVICE DEGRADATION") &gt; 0</f>
        <v>0</v>
      </c>
      <c r="J58" s="32" t="str">
        <f>IFERROR(__xludf.DUMMYFUNCTION("IFERROR(INDEX(FILTER('OLT DOWN Tickets'!$F:$F, REGEXMATCH('OLT DOWN Tickets'!$AB:$AB, ""(?i)""&amp;TRIM(D58)), 'OLT DOWN Tickets'!$L:$L=""OLT DOWN""), 1), """")"),"")</f>
        <v/>
      </c>
      <c r="K58" s="32" t="str">
        <f>IFERROR(__xludf.DUMMYFUNCTION("IFERROR(INDEX(FILTER('OLT DOWN Tickets'!$F:$F, REGEXMATCH('OLT DOWN Tickets'!$AB:$AB, ""(?i)""&amp;TRIM(D58)), 'OLT DOWN Tickets'!$L:$L=""OLT UPLINK LOW POWER""), 1), """")"),"")</f>
        <v/>
      </c>
      <c r="L58" s="32" t="str">
        <f>IFERROR(__xludf.DUMMYFUNCTION("IFERROR(INDEX(FILTER('OLT DOWN Tickets'!$F:$F, REGEXMATCH('OLT DOWN Tickets'!$AB:$AB, ""(?i)""&amp;TRIM(D58)), 'OLT DOWN Tickets'!$L:$L=""OLT UPLINK DOWN""), 1), """")"),"")</f>
        <v/>
      </c>
      <c r="M58" s="32" t="str">
        <f>IFERROR(__xludf.DUMMYFUNCTION("IFERROR(INDEX(FILTER('OLT DOWN Tickets'!$F:$F, REGEXMATCH('OLT DOWN Tickets'!$AB:$AB, ""(?i)""&amp;TRIM(D58)), 'OLT DOWN Tickets'!$L:$L=""OLT SERVICE DEGRADATION""), 1), """")
"),"")</f>
        <v/>
      </c>
      <c r="N58" s="6" t="b">
        <v>0</v>
      </c>
      <c r="O58" s="6" t="b">
        <v>0</v>
      </c>
      <c r="P58" s="6" t="b">
        <v>0</v>
      </c>
      <c r="Q58" s="6" t="b">
        <v>0</v>
      </c>
      <c r="R58" s="6"/>
      <c r="S58" s="6"/>
      <c r="T58" s="6"/>
      <c r="U58" s="6"/>
    </row>
    <row r="59">
      <c r="A59" s="19"/>
      <c r="B59" s="26" t="s">
        <v>104</v>
      </c>
      <c r="C59" s="26" t="s">
        <v>198</v>
      </c>
      <c r="D59" s="27" t="s">
        <v>200</v>
      </c>
      <c r="E59" s="6" t="b">
        <f t="shared" si="1"/>
        <v>1</v>
      </c>
      <c r="F59" s="6" t="b">
        <f>COUNTIFS('OLT DOWN Tickets'!$AB:$AB, "*" &amp; D59 &amp; "*", 'OLT DOWN Tickets'!$L:$L, "OLT DOWN") &gt; 0</f>
        <v>0</v>
      </c>
      <c r="G59" s="6" t="b">
        <f>COUNTIFS('OLT DOWN Tickets'!$AB:$AB, "*" &amp; D59 &amp; "*", 'OLT DOWN Tickets'!$L:$L, "OLT UPLINK LOW POWER") &gt; 0</f>
        <v>0</v>
      </c>
      <c r="H59" s="6" t="b">
        <f>COUNTIFS('OLT DOWN Tickets'!$AB:$AB, "*" &amp; D59 &amp; "*", 'OLT DOWN Tickets'!$L:$L, "OLT UPLINK DOWN") &gt; 0</f>
        <v>0</v>
      </c>
      <c r="I59" s="6" t="b">
        <f>COUNTIFS('OLT DOWN Tickets'!$AB:$AB, "*" &amp; D59 &amp; "*", 'OLT DOWN Tickets'!$L:$L, "OLT SERVICE DEGRADATION") &gt; 0</f>
        <v>0</v>
      </c>
      <c r="J59" s="32" t="str">
        <f>IFERROR(__xludf.DUMMYFUNCTION("IFERROR(INDEX(FILTER('OLT DOWN Tickets'!$F:$F, REGEXMATCH('OLT DOWN Tickets'!$AB:$AB, ""(?i)""&amp;TRIM(D59)), 'OLT DOWN Tickets'!$L:$L=""OLT DOWN""), 1), """")"),"")</f>
        <v/>
      </c>
      <c r="K59" s="32" t="str">
        <f>IFERROR(__xludf.DUMMYFUNCTION("IFERROR(INDEX(FILTER('OLT DOWN Tickets'!$F:$F, REGEXMATCH('OLT DOWN Tickets'!$AB:$AB, ""(?i)""&amp;TRIM(D59)), 'OLT DOWN Tickets'!$L:$L=""OLT UPLINK LOW POWER""), 1), """")"),"")</f>
        <v/>
      </c>
      <c r="L59" s="32" t="str">
        <f>IFERROR(__xludf.DUMMYFUNCTION("IFERROR(INDEX(FILTER('OLT DOWN Tickets'!$F:$F, REGEXMATCH('OLT DOWN Tickets'!$AB:$AB, ""(?i)""&amp;TRIM(D59)), 'OLT DOWN Tickets'!$L:$L=""OLT UPLINK DOWN""), 1), """")"),"")</f>
        <v/>
      </c>
      <c r="M59" s="32" t="str">
        <f>IFERROR(__xludf.DUMMYFUNCTION("IFERROR(INDEX(FILTER('OLT DOWN Tickets'!$F:$F, REGEXMATCH('OLT DOWN Tickets'!$AB:$AB, ""(?i)""&amp;TRIM(D59)), 'OLT DOWN Tickets'!$L:$L=""OLT SERVICE DEGRADATION""), 1), """")
"),"")</f>
        <v/>
      </c>
      <c r="N59" s="6" t="b">
        <v>0</v>
      </c>
      <c r="O59" s="6" t="b">
        <v>0</v>
      </c>
      <c r="P59" s="6" t="b">
        <v>0</v>
      </c>
      <c r="Q59" s="6" t="b">
        <v>0</v>
      </c>
      <c r="R59" s="6"/>
      <c r="S59" s="6"/>
      <c r="T59" s="6"/>
      <c r="U59" s="6"/>
    </row>
    <row r="60">
      <c r="A60" s="19"/>
      <c r="B60" s="26" t="s">
        <v>104</v>
      </c>
      <c r="C60" s="26" t="s">
        <v>198</v>
      </c>
      <c r="D60" s="27" t="s">
        <v>201</v>
      </c>
      <c r="E60" s="6" t="b">
        <f t="shared" si="1"/>
        <v>1</v>
      </c>
      <c r="F60" s="6" t="b">
        <f>COUNTIFS('OLT DOWN Tickets'!$AB:$AB, "*" &amp; D60 &amp; "*", 'OLT DOWN Tickets'!$L:$L, "OLT DOWN") &gt; 0</f>
        <v>0</v>
      </c>
      <c r="G60" s="6" t="b">
        <f>COUNTIFS('OLT DOWN Tickets'!$AB:$AB, "*" &amp; D60 &amp; "*", 'OLT DOWN Tickets'!$L:$L, "OLT UPLINK LOW POWER") &gt; 0</f>
        <v>0</v>
      </c>
      <c r="H60" s="6" t="b">
        <f>COUNTIFS('OLT DOWN Tickets'!$AB:$AB, "*" &amp; D60 &amp; "*", 'OLT DOWN Tickets'!$L:$L, "OLT UPLINK DOWN") &gt; 0</f>
        <v>0</v>
      </c>
      <c r="I60" s="6" t="b">
        <f>COUNTIFS('OLT DOWN Tickets'!$AB:$AB, "*" &amp; D60 &amp; "*", 'OLT DOWN Tickets'!$L:$L, "OLT SERVICE DEGRADATION") &gt; 0</f>
        <v>0</v>
      </c>
      <c r="J60" s="32" t="str">
        <f>IFERROR(__xludf.DUMMYFUNCTION("IFERROR(INDEX(FILTER('OLT DOWN Tickets'!$F:$F, REGEXMATCH('OLT DOWN Tickets'!$AB:$AB, ""(?i)""&amp;TRIM(D60)), 'OLT DOWN Tickets'!$L:$L=""OLT DOWN""), 1), """")"),"")</f>
        <v/>
      </c>
      <c r="K60" s="32" t="str">
        <f>IFERROR(__xludf.DUMMYFUNCTION("IFERROR(INDEX(FILTER('OLT DOWN Tickets'!$F:$F, REGEXMATCH('OLT DOWN Tickets'!$AB:$AB, ""(?i)""&amp;TRIM(D60)), 'OLT DOWN Tickets'!$L:$L=""OLT UPLINK LOW POWER""), 1), """")"),"")</f>
        <v/>
      </c>
      <c r="L60" s="32" t="str">
        <f>IFERROR(__xludf.DUMMYFUNCTION("IFERROR(INDEX(FILTER('OLT DOWN Tickets'!$F:$F, REGEXMATCH('OLT DOWN Tickets'!$AB:$AB, ""(?i)""&amp;TRIM(D60)), 'OLT DOWN Tickets'!$L:$L=""OLT UPLINK DOWN""), 1), """")"),"")</f>
        <v/>
      </c>
      <c r="M60" s="32" t="str">
        <f>IFERROR(__xludf.DUMMYFUNCTION("IFERROR(INDEX(FILTER('OLT DOWN Tickets'!$F:$F, REGEXMATCH('OLT DOWN Tickets'!$AB:$AB, ""(?i)""&amp;TRIM(D60)), 'OLT DOWN Tickets'!$L:$L=""OLT SERVICE DEGRADATION""), 1), """")
"),"")</f>
        <v/>
      </c>
      <c r="N60" s="6" t="b">
        <v>0</v>
      </c>
      <c r="O60" s="6" t="b">
        <v>0</v>
      </c>
      <c r="P60" s="6" t="b">
        <v>0</v>
      </c>
      <c r="Q60" s="6" t="b">
        <v>0</v>
      </c>
      <c r="R60" s="6"/>
      <c r="S60" s="6"/>
      <c r="T60" s="6"/>
      <c r="U60" s="6"/>
    </row>
    <row r="61">
      <c r="A61" s="19"/>
      <c r="B61" s="26" t="s">
        <v>104</v>
      </c>
      <c r="C61" s="26" t="s">
        <v>198</v>
      </c>
      <c r="D61" s="27" t="s">
        <v>202</v>
      </c>
      <c r="E61" s="6" t="b">
        <f t="shared" si="1"/>
        <v>1</v>
      </c>
      <c r="F61" s="6" t="b">
        <f>COUNTIFS('OLT DOWN Tickets'!$AB:$AB, "*" &amp; D61 &amp; "*", 'OLT DOWN Tickets'!$L:$L, "OLT DOWN") &gt; 0</f>
        <v>0</v>
      </c>
      <c r="G61" s="6" t="b">
        <f>COUNTIFS('OLT DOWN Tickets'!$AB:$AB, "*" &amp; D61 &amp; "*", 'OLT DOWN Tickets'!$L:$L, "OLT UPLINK LOW POWER") &gt; 0</f>
        <v>0</v>
      </c>
      <c r="H61" s="6" t="b">
        <f>COUNTIFS('OLT DOWN Tickets'!$AB:$AB, "*" &amp; D61 &amp; "*", 'OLT DOWN Tickets'!$L:$L, "OLT UPLINK DOWN") &gt; 0</f>
        <v>0</v>
      </c>
      <c r="I61" s="6" t="b">
        <f>COUNTIFS('OLT DOWN Tickets'!$AB:$AB, "*" &amp; D61 &amp; "*", 'OLT DOWN Tickets'!$L:$L, "OLT SERVICE DEGRADATION") &gt; 0</f>
        <v>0</v>
      </c>
      <c r="J61" s="32" t="str">
        <f>IFERROR(__xludf.DUMMYFUNCTION("IFERROR(INDEX(FILTER('OLT DOWN Tickets'!$F:$F, REGEXMATCH('OLT DOWN Tickets'!$AB:$AB, ""(?i)""&amp;TRIM(D61)), 'OLT DOWN Tickets'!$L:$L=""OLT DOWN""), 1), """")"),"")</f>
        <v/>
      </c>
      <c r="K61" s="32" t="str">
        <f>IFERROR(__xludf.DUMMYFUNCTION("IFERROR(INDEX(FILTER('OLT DOWN Tickets'!$F:$F, REGEXMATCH('OLT DOWN Tickets'!$AB:$AB, ""(?i)""&amp;TRIM(D61)), 'OLT DOWN Tickets'!$L:$L=""OLT UPLINK LOW POWER""), 1), """")"),"")</f>
        <v/>
      </c>
      <c r="L61" s="32" t="str">
        <f>IFERROR(__xludf.DUMMYFUNCTION("IFERROR(INDEX(FILTER('OLT DOWN Tickets'!$F:$F, REGEXMATCH('OLT DOWN Tickets'!$AB:$AB, ""(?i)""&amp;TRIM(D61)), 'OLT DOWN Tickets'!$L:$L=""OLT UPLINK DOWN""), 1), """")"),"")</f>
        <v/>
      </c>
      <c r="M61" s="32" t="str">
        <f>IFERROR(__xludf.DUMMYFUNCTION("IFERROR(INDEX(FILTER('OLT DOWN Tickets'!$F:$F, REGEXMATCH('OLT DOWN Tickets'!$AB:$AB, ""(?i)""&amp;TRIM(D61)), 'OLT DOWN Tickets'!$L:$L=""OLT SERVICE DEGRADATION""), 1), """")
"),"")</f>
        <v/>
      </c>
      <c r="N61" s="6" t="b">
        <v>0</v>
      </c>
      <c r="O61" s="6" t="b">
        <v>0</v>
      </c>
      <c r="P61" s="6" t="b">
        <v>0</v>
      </c>
      <c r="Q61" s="6" t="b">
        <v>0</v>
      </c>
      <c r="R61" s="6"/>
      <c r="S61" s="6"/>
      <c r="T61" s="6"/>
      <c r="U61" s="6"/>
    </row>
    <row r="62">
      <c r="A62" s="19"/>
      <c r="B62" s="26" t="s">
        <v>104</v>
      </c>
      <c r="C62" s="26" t="s">
        <v>198</v>
      </c>
      <c r="D62" s="27" t="s">
        <v>203</v>
      </c>
      <c r="E62" s="6" t="b">
        <f t="shared" si="1"/>
        <v>1</v>
      </c>
      <c r="F62" s="6" t="b">
        <f>COUNTIFS('OLT DOWN Tickets'!$AB:$AB, "*" &amp; D62 &amp; "*", 'OLT DOWN Tickets'!$L:$L, "OLT DOWN") &gt; 0</f>
        <v>0</v>
      </c>
      <c r="G62" s="6" t="b">
        <f>COUNTIFS('OLT DOWN Tickets'!$AB:$AB, "*" &amp; D62 &amp; "*", 'OLT DOWN Tickets'!$L:$L, "OLT UPLINK LOW POWER") &gt; 0</f>
        <v>0</v>
      </c>
      <c r="H62" s="6" t="b">
        <f>COUNTIFS('OLT DOWN Tickets'!$AB:$AB, "*" &amp; D62 &amp; "*", 'OLT DOWN Tickets'!$L:$L, "OLT UPLINK DOWN") &gt; 0</f>
        <v>0</v>
      </c>
      <c r="I62" s="6" t="b">
        <f>COUNTIFS('OLT DOWN Tickets'!$AB:$AB, "*" &amp; D62 &amp; "*", 'OLT DOWN Tickets'!$L:$L, "OLT SERVICE DEGRADATION") &gt; 0</f>
        <v>0</v>
      </c>
      <c r="J62" s="32" t="str">
        <f>IFERROR(__xludf.DUMMYFUNCTION("IFERROR(INDEX(FILTER('OLT DOWN Tickets'!$F:$F, REGEXMATCH('OLT DOWN Tickets'!$AB:$AB, ""(?i)""&amp;TRIM(D62)), 'OLT DOWN Tickets'!$L:$L=""OLT DOWN""), 1), """")"),"")</f>
        <v/>
      </c>
      <c r="K62" s="32" t="str">
        <f>IFERROR(__xludf.DUMMYFUNCTION("IFERROR(INDEX(FILTER('OLT DOWN Tickets'!$F:$F, REGEXMATCH('OLT DOWN Tickets'!$AB:$AB, ""(?i)""&amp;TRIM(D62)), 'OLT DOWN Tickets'!$L:$L=""OLT UPLINK LOW POWER""), 1), """")"),"")</f>
        <v/>
      </c>
      <c r="L62" s="32" t="str">
        <f>IFERROR(__xludf.DUMMYFUNCTION("IFERROR(INDEX(FILTER('OLT DOWN Tickets'!$F:$F, REGEXMATCH('OLT DOWN Tickets'!$AB:$AB, ""(?i)""&amp;TRIM(D62)), 'OLT DOWN Tickets'!$L:$L=""OLT UPLINK DOWN""), 1), """")"),"")</f>
        <v/>
      </c>
      <c r="M62" s="32" t="str">
        <f>IFERROR(__xludf.DUMMYFUNCTION("IFERROR(INDEX(FILTER('OLT DOWN Tickets'!$F:$F, REGEXMATCH('OLT DOWN Tickets'!$AB:$AB, ""(?i)""&amp;TRIM(D62)), 'OLT DOWN Tickets'!$L:$L=""OLT SERVICE DEGRADATION""), 1), """")
"),"")</f>
        <v/>
      </c>
      <c r="N62" s="6" t="b">
        <v>0</v>
      </c>
      <c r="O62" s="6" t="b">
        <v>0</v>
      </c>
      <c r="P62" s="6" t="b">
        <v>0</v>
      </c>
      <c r="Q62" s="6" t="b">
        <v>0</v>
      </c>
      <c r="R62" s="6"/>
      <c r="S62" s="6"/>
      <c r="T62" s="6"/>
      <c r="U62" s="6"/>
    </row>
    <row r="63">
      <c r="A63" s="19"/>
      <c r="B63" s="26" t="s">
        <v>104</v>
      </c>
      <c r="C63" s="26" t="s">
        <v>204</v>
      </c>
      <c r="D63" s="27" t="s">
        <v>205</v>
      </c>
      <c r="E63" s="6" t="b">
        <f t="shared" si="1"/>
        <v>1</v>
      </c>
      <c r="F63" s="6" t="b">
        <f>COUNTIFS('OLT DOWN Tickets'!$AB:$AB, "*" &amp; D63 &amp; "*", 'OLT DOWN Tickets'!$L:$L, "OLT DOWN") &gt; 0</f>
        <v>0</v>
      </c>
      <c r="G63" s="6" t="b">
        <f>COUNTIFS('OLT DOWN Tickets'!$AB:$AB, "*" &amp; D63 &amp; "*", 'OLT DOWN Tickets'!$L:$L, "OLT UPLINK LOW POWER") &gt; 0</f>
        <v>0</v>
      </c>
      <c r="H63" s="6" t="b">
        <f>COUNTIFS('OLT DOWN Tickets'!$AB:$AB, "*" &amp; D63 &amp; "*", 'OLT DOWN Tickets'!$L:$L, "OLT UPLINK DOWN") &gt; 0</f>
        <v>0</v>
      </c>
      <c r="I63" s="6" t="b">
        <f>COUNTIFS('OLT DOWN Tickets'!$AB:$AB, "*" &amp; D63 &amp; "*", 'OLT DOWN Tickets'!$L:$L, "OLT SERVICE DEGRADATION") &gt; 0</f>
        <v>0</v>
      </c>
      <c r="J63" s="32" t="str">
        <f>IFERROR(__xludf.DUMMYFUNCTION("IFERROR(INDEX(FILTER('OLT DOWN Tickets'!$F:$F, REGEXMATCH('OLT DOWN Tickets'!$AB:$AB, ""(?i)""&amp;TRIM(D63)), 'OLT DOWN Tickets'!$L:$L=""OLT DOWN""), 1), """")"),"")</f>
        <v/>
      </c>
      <c r="K63" s="32" t="str">
        <f>IFERROR(__xludf.DUMMYFUNCTION("IFERROR(INDEX(FILTER('OLT DOWN Tickets'!$F:$F, REGEXMATCH('OLT DOWN Tickets'!$AB:$AB, ""(?i)""&amp;TRIM(D63)), 'OLT DOWN Tickets'!$L:$L=""OLT UPLINK LOW POWER""), 1), """")"),"")</f>
        <v/>
      </c>
      <c r="L63" s="32" t="str">
        <f>IFERROR(__xludf.DUMMYFUNCTION("IFERROR(INDEX(FILTER('OLT DOWN Tickets'!$F:$F, REGEXMATCH('OLT DOWN Tickets'!$AB:$AB, ""(?i)""&amp;TRIM(D63)), 'OLT DOWN Tickets'!$L:$L=""OLT UPLINK DOWN""), 1), """")"),"")</f>
        <v/>
      </c>
      <c r="M63" s="32" t="str">
        <f>IFERROR(__xludf.DUMMYFUNCTION("IFERROR(INDEX(FILTER('OLT DOWN Tickets'!$F:$F, REGEXMATCH('OLT DOWN Tickets'!$AB:$AB, ""(?i)""&amp;TRIM(D63)), 'OLT DOWN Tickets'!$L:$L=""OLT SERVICE DEGRADATION""), 1), """")
"),"")</f>
        <v/>
      </c>
      <c r="N63" s="6" t="b">
        <v>0</v>
      </c>
      <c r="O63" s="6" t="b">
        <v>0</v>
      </c>
      <c r="P63" s="6" t="b">
        <v>0</v>
      </c>
      <c r="Q63" s="6" t="b">
        <v>0</v>
      </c>
      <c r="R63" s="6"/>
      <c r="S63" s="6"/>
      <c r="T63" s="6"/>
      <c r="U63" s="6"/>
    </row>
    <row r="64">
      <c r="A64" s="19"/>
      <c r="B64" s="26" t="s">
        <v>104</v>
      </c>
      <c r="C64" s="26" t="s">
        <v>206</v>
      </c>
      <c r="D64" s="27" t="s">
        <v>207</v>
      </c>
      <c r="E64" s="6" t="b">
        <f t="shared" si="1"/>
        <v>1</v>
      </c>
      <c r="F64" s="6" t="b">
        <f>COUNTIFS('OLT DOWN Tickets'!$AB:$AB, "*" &amp; D64 &amp; "*", 'OLT DOWN Tickets'!$L:$L, "OLT DOWN") &gt; 0</f>
        <v>0</v>
      </c>
      <c r="G64" s="6" t="b">
        <f>COUNTIFS('OLT DOWN Tickets'!$AB:$AB, "*" &amp; D64 &amp; "*", 'OLT DOWN Tickets'!$L:$L, "OLT UPLINK LOW POWER") &gt; 0</f>
        <v>0</v>
      </c>
      <c r="H64" s="6" t="b">
        <f>COUNTIFS('OLT DOWN Tickets'!$AB:$AB, "*" &amp; D64 &amp; "*", 'OLT DOWN Tickets'!$L:$L, "OLT UPLINK DOWN") &gt; 0</f>
        <v>0</v>
      </c>
      <c r="I64" s="6" t="b">
        <f>COUNTIFS('OLT DOWN Tickets'!$AB:$AB, "*" &amp; D64 &amp; "*", 'OLT DOWN Tickets'!$L:$L, "OLT SERVICE DEGRADATION") &gt; 0</f>
        <v>0</v>
      </c>
      <c r="J64" s="32" t="str">
        <f>IFERROR(__xludf.DUMMYFUNCTION("IFERROR(INDEX(FILTER('OLT DOWN Tickets'!$F:$F, REGEXMATCH('OLT DOWN Tickets'!$AB:$AB, ""(?i)""&amp;TRIM(D64)), 'OLT DOWN Tickets'!$L:$L=""OLT DOWN""), 1), """")"),"")</f>
        <v/>
      </c>
      <c r="K64" s="32" t="str">
        <f>IFERROR(__xludf.DUMMYFUNCTION("IFERROR(INDEX(FILTER('OLT DOWN Tickets'!$F:$F, REGEXMATCH('OLT DOWN Tickets'!$AB:$AB, ""(?i)""&amp;TRIM(D64)), 'OLT DOWN Tickets'!$L:$L=""OLT UPLINK LOW POWER""), 1), """")"),"")</f>
        <v/>
      </c>
      <c r="L64" s="32" t="str">
        <f>IFERROR(__xludf.DUMMYFUNCTION("IFERROR(INDEX(FILTER('OLT DOWN Tickets'!$F:$F, REGEXMATCH('OLT DOWN Tickets'!$AB:$AB, ""(?i)""&amp;TRIM(D64)), 'OLT DOWN Tickets'!$L:$L=""OLT UPLINK DOWN""), 1), """")"),"")</f>
        <v/>
      </c>
      <c r="M64" s="32" t="str">
        <f>IFERROR(__xludf.DUMMYFUNCTION("IFERROR(INDEX(FILTER('OLT DOWN Tickets'!$F:$F, REGEXMATCH('OLT DOWN Tickets'!$AB:$AB, ""(?i)""&amp;TRIM(D64)), 'OLT DOWN Tickets'!$L:$L=""OLT SERVICE DEGRADATION""), 1), """")
"),"")</f>
        <v/>
      </c>
      <c r="N64" s="6" t="b">
        <v>0</v>
      </c>
      <c r="O64" s="6" t="b">
        <v>0</v>
      </c>
      <c r="P64" s="6" t="b">
        <v>0</v>
      </c>
      <c r="Q64" s="6" t="b">
        <v>0</v>
      </c>
      <c r="R64" s="6"/>
      <c r="S64" s="6"/>
      <c r="T64" s="6"/>
      <c r="U64" s="6"/>
    </row>
    <row r="65">
      <c r="A65" s="19"/>
      <c r="B65" s="26" t="s">
        <v>104</v>
      </c>
      <c r="C65" s="26" t="s">
        <v>124</v>
      </c>
      <c r="D65" s="27" t="s">
        <v>208</v>
      </c>
      <c r="E65" s="6" t="b">
        <f t="shared" si="1"/>
        <v>1</v>
      </c>
      <c r="F65" s="6" t="b">
        <f>COUNTIFS('OLT DOWN Tickets'!$AB:$AB, "*" &amp; D65 &amp; "*", 'OLT DOWN Tickets'!$L:$L, "OLT DOWN") &gt; 0</f>
        <v>0</v>
      </c>
      <c r="G65" s="6" t="b">
        <f>COUNTIFS('OLT DOWN Tickets'!$AB:$AB, "*" &amp; D65 &amp; "*", 'OLT DOWN Tickets'!$L:$L, "OLT UPLINK LOW POWER") &gt; 0</f>
        <v>0</v>
      </c>
      <c r="H65" s="6" t="b">
        <f>COUNTIFS('OLT DOWN Tickets'!$AB:$AB, "*" &amp; D65 &amp; "*", 'OLT DOWN Tickets'!$L:$L, "OLT UPLINK DOWN") &gt; 0</f>
        <v>0</v>
      </c>
      <c r="I65" s="6" t="b">
        <f>COUNTIFS('OLT DOWN Tickets'!$AB:$AB, "*" &amp; D65 &amp; "*", 'OLT DOWN Tickets'!$L:$L, "OLT SERVICE DEGRADATION") &gt; 0</f>
        <v>0</v>
      </c>
      <c r="J65" s="32" t="str">
        <f>IFERROR(__xludf.DUMMYFUNCTION("IFERROR(INDEX(FILTER('OLT DOWN Tickets'!$F:$F, REGEXMATCH('OLT DOWN Tickets'!$AB:$AB, ""(?i)""&amp;TRIM(D65)), 'OLT DOWN Tickets'!$L:$L=""OLT DOWN""), 1), """")"),"")</f>
        <v/>
      </c>
      <c r="K65" s="32" t="str">
        <f>IFERROR(__xludf.DUMMYFUNCTION("IFERROR(INDEX(FILTER('OLT DOWN Tickets'!$F:$F, REGEXMATCH('OLT DOWN Tickets'!$AB:$AB, ""(?i)""&amp;TRIM(D65)), 'OLT DOWN Tickets'!$L:$L=""OLT UPLINK LOW POWER""), 1), """")"),"")</f>
        <v/>
      </c>
      <c r="L65" s="32" t="str">
        <f>IFERROR(__xludf.DUMMYFUNCTION("IFERROR(INDEX(FILTER('OLT DOWN Tickets'!$F:$F, REGEXMATCH('OLT DOWN Tickets'!$AB:$AB, ""(?i)""&amp;TRIM(D65)), 'OLT DOWN Tickets'!$L:$L=""OLT UPLINK DOWN""), 1), """")"),"")</f>
        <v/>
      </c>
      <c r="M65" s="32" t="str">
        <f>IFERROR(__xludf.DUMMYFUNCTION("IFERROR(INDEX(FILTER('OLT DOWN Tickets'!$F:$F, REGEXMATCH('OLT DOWN Tickets'!$AB:$AB, ""(?i)""&amp;TRIM(D65)), 'OLT DOWN Tickets'!$L:$L=""OLT SERVICE DEGRADATION""), 1), """")
"),"")</f>
        <v/>
      </c>
      <c r="N65" s="6" t="b">
        <v>0</v>
      </c>
      <c r="O65" s="6" t="b">
        <v>0</v>
      </c>
      <c r="P65" s="6" t="b">
        <v>0</v>
      </c>
      <c r="Q65" s="6" t="b">
        <v>0</v>
      </c>
      <c r="R65" s="6"/>
      <c r="S65" s="6"/>
      <c r="T65" s="6"/>
      <c r="U65" s="6"/>
    </row>
    <row r="66">
      <c r="A66" s="6"/>
      <c r="B66" s="73" t="s">
        <v>104</v>
      </c>
      <c r="C66" s="73" t="s">
        <v>124</v>
      </c>
      <c r="D66" s="74" t="s">
        <v>209</v>
      </c>
      <c r="E66" s="6" t="b">
        <f t="shared" si="1"/>
        <v>1</v>
      </c>
      <c r="F66" s="6" t="b">
        <f>COUNTIFS('OLT DOWN Tickets'!$AB:$AB, "*" &amp; D66 &amp; "*", 'OLT DOWN Tickets'!$L:$L, "OLT DOWN") &gt; 0</f>
        <v>0</v>
      </c>
      <c r="G66" s="6" t="b">
        <f>COUNTIFS('OLT DOWN Tickets'!$AB:$AB, "*" &amp; D66 &amp; "*", 'OLT DOWN Tickets'!$L:$L, "OLT UPLINK LOW POWER") &gt; 0</f>
        <v>0</v>
      </c>
      <c r="H66" s="6" t="b">
        <f>COUNTIFS('OLT DOWN Tickets'!$AB:$AB, "*" &amp; D66 &amp; "*", 'OLT DOWN Tickets'!$L:$L, "OLT UPLINK DOWN") &gt; 0</f>
        <v>0</v>
      </c>
      <c r="I66" s="6" t="b">
        <f>COUNTIFS('OLT DOWN Tickets'!$AB:$AB, "*" &amp; D66 &amp; "*", 'OLT DOWN Tickets'!$L:$L, "OLT SERVICE DEGRADATION") &gt; 0</f>
        <v>0</v>
      </c>
      <c r="J66" s="32" t="str">
        <f>IFERROR(__xludf.DUMMYFUNCTION("IFERROR(INDEX(FILTER('OLT DOWN Tickets'!$F:$F, REGEXMATCH('OLT DOWN Tickets'!$AB:$AB, ""(?i)""&amp;TRIM(D66)), 'OLT DOWN Tickets'!$L:$L=""OLT DOWN""), 1), """")"),"")</f>
        <v/>
      </c>
      <c r="K66" s="32" t="str">
        <f>IFERROR(__xludf.DUMMYFUNCTION("IFERROR(INDEX(FILTER('OLT DOWN Tickets'!$F:$F, REGEXMATCH('OLT DOWN Tickets'!$AB:$AB, ""(?i)""&amp;TRIM(D66)), 'OLT DOWN Tickets'!$L:$L=""OLT UPLINK LOW POWER""), 1), """")"),"")</f>
        <v/>
      </c>
      <c r="L66" s="32" t="str">
        <f>IFERROR(__xludf.DUMMYFUNCTION("IFERROR(INDEX(FILTER('OLT DOWN Tickets'!$F:$F, REGEXMATCH('OLT DOWN Tickets'!$AB:$AB, ""(?i)""&amp;TRIM(D66)), 'OLT DOWN Tickets'!$L:$L=""OLT UPLINK DOWN""), 1), """")"),"")</f>
        <v/>
      </c>
      <c r="M66" s="32" t="str">
        <f>IFERROR(__xludf.DUMMYFUNCTION("IFERROR(INDEX(FILTER('OLT DOWN Tickets'!$F:$F, REGEXMATCH('OLT DOWN Tickets'!$AB:$AB, ""(?i)""&amp;TRIM(D66)), 'OLT DOWN Tickets'!$L:$L=""OLT SERVICE DEGRADATION""), 1), """")
"),"")</f>
        <v/>
      </c>
      <c r="N66" s="6" t="b">
        <v>0</v>
      </c>
      <c r="O66" s="6" t="b">
        <v>0</v>
      </c>
      <c r="P66" s="6" t="b">
        <v>0</v>
      </c>
      <c r="Q66" s="6" t="b">
        <v>0</v>
      </c>
      <c r="R66" s="6"/>
      <c r="S66" s="6"/>
      <c r="T66" s="6"/>
      <c r="U66" s="6"/>
    </row>
    <row r="67">
      <c r="A67" s="19"/>
      <c r="B67" s="26" t="s">
        <v>104</v>
      </c>
      <c r="C67" s="26" t="s">
        <v>124</v>
      </c>
      <c r="D67" s="27" t="s">
        <v>210</v>
      </c>
      <c r="E67" s="6" t="b">
        <f t="shared" si="1"/>
        <v>1</v>
      </c>
      <c r="F67" s="6" t="b">
        <f>COUNTIFS('OLT DOWN Tickets'!$AB:$AB, "*" &amp; D67 &amp; "*", 'OLT DOWN Tickets'!$L:$L, "OLT DOWN") &gt; 0</f>
        <v>0</v>
      </c>
      <c r="G67" s="6" t="b">
        <f>COUNTIFS('OLT DOWN Tickets'!$AB:$AB, "*" &amp; D67 &amp; "*", 'OLT DOWN Tickets'!$L:$L, "OLT UPLINK LOW POWER") &gt; 0</f>
        <v>0</v>
      </c>
      <c r="H67" s="6" t="b">
        <f>COUNTIFS('OLT DOWN Tickets'!$AB:$AB, "*" &amp; D67 &amp; "*", 'OLT DOWN Tickets'!$L:$L, "OLT UPLINK DOWN") &gt; 0</f>
        <v>0</v>
      </c>
      <c r="I67" s="6" t="b">
        <f>COUNTIFS('OLT DOWN Tickets'!$AB:$AB, "*" &amp; D67 &amp; "*", 'OLT DOWN Tickets'!$L:$L, "OLT SERVICE DEGRADATION") &gt; 0</f>
        <v>0</v>
      </c>
      <c r="J67" s="32" t="str">
        <f>IFERROR(__xludf.DUMMYFUNCTION("IFERROR(INDEX(FILTER('OLT DOWN Tickets'!$F:$F, REGEXMATCH('OLT DOWN Tickets'!$AB:$AB, ""(?i)""&amp;TRIM(D67)), 'OLT DOWN Tickets'!$L:$L=""OLT DOWN""), 1), """")"),"")</f>
        <v/>
      </c>
      <c r="K67" s="32" t="str">
        <f>IFERROR(__xludf.DUMMYFUNCTION("IFERROR(INDEX(FILTER('OLT DOWN Tickets'!$F:$F, REGEXMATCH('OLT DOWN Tickets'!$AB:$AB, ""(?i)""&amp;TRIM(D67)), 'OLT DOWN Tickets'!$L:$L=""OLT UPLINK LOW POWER""), 1), """")"),"")</f>
        <v/>
      </c>
      <c r="L67" s="32" t="str">
        <f>IFERROR(__xludf.DUMMYFUNCTION("IFERROR(INDEX(FILTER('OLT DOWN Tickets'!$F:$F, REGEXMATCH('OLT DOWN Tickets'!$AB:$AB, ""(?i)""&amp;TRIM(D67)), 'OLT DOWN Tickets'!$L:$L=""OLT UPLINK DOWN""), 1), """")"),"")</f>
        <v/>
      </c>
      <c r="M67" s="32" t="str">
        <f>IFERROR(__xludf.DUMMYFUNCTION("IFERROR(INDEX(FILTER('OLT DOWN Tickets'!$F:$F, REGEXMATCH('OLT DOWN Tickets'!$AB:$AB, ""(?i)""&amp;TRIM(D67)), 'OLT DOWN Tickets'!$L:$L=""OLT SERVICE DEGRADATION""), 1), """")
"),"")</f>
        <v/>
      </c>
      <c r="N67" s="6" t="b">
        <v>0</v>
      </c>
      <c r="O67" s="6" t="b">
        <v>0</v>
      </c>
      <c r="P67" s="6" t="b">
        <v>0</v>
      </c>
      <c r="Q67" s="6" t="b">
        <v>0</v>
      </c>
      <c r="R67" s="6"/>
      <c r="S67" s="6"/>
      <c r="T67" s="6"/>
      <c r="U67" s="6"/>
    </row>
    <row r="68">
      <c r="A68" s="19"/>
      <c r="B68" s="26" t="s">
        <v>104</v>
      </c>
      <c r="C68" s="26" t="s">
        <v>124</v>
      </c>
      <c r="D68" s="27" t="s">
        <v>211</v>
      </c>
      <c r="E68" s="6" t="b">
        <f t="shared" si="1"/>
        <v>1</v>
      </c>
      <c r="F68" s="6" t="b">
        <f>COUNTIFS('OLT DOWN Tickets'!$AB:$AB, "*" &amp; D68 &amp; "*", 'OLT DOWN Tickets'!$L:$L, "OLT DOWN") &gt; 0</f>
        <v>0</v>
      </c>
      <c r="G68" s="6" t="b">
        <f>COUNTIFS('OLT DOWN Tickets'!$AB:$AB, "*" &amp; D68 &amp; "*", 'OLT DOWN Tickets'!$L:$L, "OLT UPLINK LOW POWER") &gt; 0</f>
        <v>0</v>
      </c>
      <c r="H68" s="6" t="b">
        <f>COUNTIFS('OLT DOWN Tickets'!$AB:$AB, "*" &amp; D68 &amp; "*", 'OLT DOWN Tickets'!$L:$L, "OLT UPLINK DOWN") &gt; 0</f>
        <v>0</v>
      </c>
      <c r="I68" s="6" t="b">
        <f>COUNTIFS('OLT DOWN Tickets'!$AB:$AB, "*" &amp; D68 &amp; "*", 'OLT DOWN Tickets'!$L:$L, "OLT SERVICE DEGRADATION") &gt; 0</f>
        <v>0</v>
      </c>
      <c r="J68" s="32" t="str">
        <f>IFERROR(__xludf.DUMMYFUNCTION("IFERROR(INDEX(FILTER('OLT DOWN Tickets'!$F:$F, REGEXMATCH('OLT DOWN Tickets'!$AB:$AB, ""(?i)""&amp;TRIM(D68)), 'OLT DOWN Tickets'!$L:$L=""OLT DOWN""), 1), """")"),"")</f>
        <v/>
      </c>
      <c r="K68" s="32" t="str">
        <f>IFERROR(__xludf.DUMMYFUNCTION("IFERROR(INDEX(FILTER('OLT DOWN Tickets'!$F:$F, REGEXMATCH('OLT DOWN Tickets'!$AB:$AB, ""(?i)""&amp;TRIM(D68)), 'OLT DOWN Tickets'!$L:$L=""OLT UPLINK LOW POWER""), 1), """")"),"")</f>
        <v/>
      </c>
      <c r="L68" s="32" t="str">
        <f>IFERROR(__xludf.DUMMYFUNCTION("IFERROR(INDEX(FILTER('OLT DOWN Tickets'!$F:$F, REGEXMATCH('OLT DOWN Tickets'!$AB:$AB, ""(?i)""&amp;TRIM(D68)), 'OLT DOWN Tickets'!$L:$L=""OLT UPLINK DOWN""), 1), """")"),"")</f>
        <v/>
      </c>
      <c r="M68" s="32" t="str">
        <f>IFERROR(__xludf.DUMMYFUNCTION("IFERROR(INDEX(FILTER('OLT DOWN Tickets'!$F:$F, REGEXMATCH('OLT DOWN Tickets'!$AB:$AB, ""(?i)""&amp;TRIM(D68)), 'OLT DOWN Tickets'!$L:$L=""OLT SERVICE DEGRADATION""), 1), """")
"),"")</f>
        <v/>
      </c>
      <c r="N68" s="6" t="b">
        <v>0</v>
      </c>
      <c r="O68" s="6" t="b">
        <v>0</v>
      </c>
      <c r="P68" s="6" t="b">
        <v>0</v>
      </c>
      <c r="Q68" s="6" t="b">
        <v>0</v>
      </c>
      <c r="R68" s="6"/>
      <c r="S68" s="6"/>
      <c r="T68" s="6"/>
      <c r="U68" s="6"/>
    </row>
    <row r="69">
      <c r="A69" s="19"/>
      <c r="B69" s="26" t="s">
        <v>104</v>
      </c>
      <c r="C69" s="26" t="s">
        <v>124</v>
      </c>
      <c r="D69" s="27" t="s">
        <v>212</v>
      </c>
      <c r="E69" s="6" t="b">
        <f t="shared" si="1"/>
        <v>1</v>
      </c>
      <c r="F69" s="6" t="b">
        <f>COUNTIFS('OLT DOWN Tickets'!$AB:$AB, "*" &amp; D69 &amp; "*", 'OLT DOWN Tickets'!$L:$L, "OLT DOWN") &gt; 0</f>
        <v>0</v>
      </c>
      <c r="G69" s="6" t="b">
        <f>COUNTIFS('OLT DOWN Tickets'!$AB:$AB, "*" &amp; D69 &amp; "*", 'OLT DOWN Tickets'!$L:$L, "OLT UPLINK LOW POWER") &gt; 0</f>
        <v>0</v>
      </c>
      <c r="H69" s="6" t="b">
        <f>COUNTIFS('OLT DOWN Tickets'!$AB:$AB, "*" &amp; D69 &amp; "*", 'OLT DOWN Tickets'!$L:$L, "OLT UPLINK DOWN") &gt; 0</f>
        <v>0</v>
      </c>
      <c r="I69" s="6" t="b">
        <f>COUNTIFS('OLT DOWN Tickets'!$AB:$AB, "*" &amp; D69 &amp; "*", 'OLT DOWN Tickets'!$L:$L, "OLT SERVICE DEGRADATION") &gt; 0</f>
        <v>0</v>
      </c>
      <c r="J69" s="32" t="str">
        <f>IFERROR(__xludf.DUMMYFUNCTION("IFERROR(INDEX(FILTER('OLT DOWN Tickets'!$F:$F, REGEXMATCH('OLT DOWN Tickets'!$AB:$AB, ""(?i)""&amp;TRIM(D69)), 'OLT DOWN Tickets'!$L:$L=""OLT DOWN""), 1), """")"),"")</f>
        <v/>
      </c>
      <c r="K69" s="32" t="str">
        <f>IFERROR(__xludf.DUMMYFUNCTION("IFERROR(INDEX(FILTER('OLT DOWN Tickets'!$F:$F, REGEXMATCH('OLT DOWN Tickets'!$AB:$AB, ""(?i)""&amp;TRIM(D69)), 'OLT DOWN Tickets'!$L:$L=""OLT UPLINK LOW POWER""), 1), """")"),"")</f>
        <v/>
      </c>
      <c r="L69" s="32" t="str">
        <f>IFERROR(__xludf.DUMMYFUNCTION("IFERROR(INDEX(FILTER('OLT DOWN Tickets'!$F:$F, REGEXMATCH('OLT DOWN Tickets'!$AB:$AB, ""(?i)""&amp;TRIM(D69)), 'OLT DOWN Tickets'!$L:$L=""OLT UPLINK DOWN""), 1), """")"),"")</f>
        <v/>
      </c>
      <c r="M69" s="32" t="str">
        <f>IFERROR(__xludf.DUMMYFUNCTION("IFERROR(INDEX(FILTER('OLT DOWN Tickets'!$F:$F, REGEXMATCH('OLT DOWN Tickets'!$AB:$AB, ""(?i)""&amp;TRIM(D69)), 'OLT DOWN Tickets'!$L:$L=""OLT SERVICE DEGRADATION""), 1), """")
"),"")</f>
        <v/>
      </c>
      <c r="N69" s="6" t="b">
        <v>0</v>
      </c>
      <c r="O69" s="6" t="b">
        <v>0</v>
      </c>
      <c r="P69" s="6" t="b">
        <v>0</v>
      </c>
      <c r="Q69" s="6" t="b">
        <v>0</v>
      </c>
      <c r="R69" s="6"/>
      <c r="S69" s="6"/>
      <c r="T69" s="6"/>
      <c r="U69" s="6"/>
    </row>
    <row r="70">
      <c r="A70" s="19"/>
      <c r="B70" s="26" t="s">
        <v>104</v>
      </c>
      <c r="C70" s="26" t="s">
        <v>124</v>
      </c>
      <c r="D70" s="27" t="s">
        <v>213</v>
      </c>
      <c r="E70" s="6" t="b">
        <f t="shared" si="1"/>
        <v>1</v>
      </c>
      <c r="F70" s="6" t="b">
        <f>COUNTIFS('OLT DOWN Tickets'!$AB:$AB, "*" &amp; D70 &amp; "*", 'OLT DOWN Tickets'!$L:$L, "OLT DOWN") &gt; 0</f>
        <v>0</v>
      </c>
      <c r="G70" s="6" t="b">
        <f>COUNTIFS('OLT DOWN Tickets'!$AB:$AB, "*" &amp; D70 &amp; "*", 'OLT DOWN Tickets'!$L:$L, "OLT UPLINK LOW POWER") &gt; 0</f>
        <v>0</v>
      </c>
      <c r="H70" s="6" t="b">
        <f>COUNTIFS('OLT DOWN Tickets'!$AB:$AB, "*" &amp; D70 &amp; "*", 'OLT DOWN Tickets'!$L:$L, "OLT UPLINK DOWN") &gt; 0</f>
        <v>0</v>
      </c>
      <c r="I70" s="6" t="b">
        <f>COUNTIFS('OLT DOWN Tickets'!$AB:$AB, "*" &amp; D70 &amp; "*", 'OLT DOWN Tickets'!$L:$L, "OLT SERVICE DEGRADATION") &gt; 0</f>
        <v>0</v>
      </c>
      <c r="J70" s="32" t="str">
        <f>IFERROR(__xludf.DUMMYFUNCTION("IFERROR(INDEX(FILTER('OLT DOWN Tickets'!$F:$F, REGEXMATCH('OLT DOWN Tickets'!$AB:$AB, ""(?i)""&amp;TRIM(D70)), 'OLT DOWN Tickets'!$L:$L=""OLT DOWN""), 1), """")"),"")</f>
        <v/>
      </c>
      <c r="K70" s="32" t="str">
        <f>IFERROR(__xludf.DUMMYFUNCTION("IFERROR(INDEX(FILTER('OLT DOWN Tickets'!$F:$F, REGEXMATCH('OLT DOWN Tickets'!$AB:$AB, ""(?i)""&amp;TRIM(D70)), 'OLT DOWN Tickets'!$L:$L=""OLT UPLINK LOW POWER""), 1), """")"),"")</f>
        <v/>
      </c>
      <c r="L70" s="32" t="str">
        <f>IFERROR(__xludf.DUMMYFUNCTION("IFERROR(INDEX(FILTER('OLT DOWN Tickets'!$F:$F, REGEXMATCH('OLT DOWN Tickets'!$AB:$AB, ""(?i)""&amp;TRIM(D70)), 'OLT DOWN Tickets'!$L:$L=""OLT UPLINK DOWN""), 1), """")"),"")</f>
        <v/>
      </c>
      <c r="M70" s="32" t="str">
        <f>IFERROR(__xludf.DUMMYFUNCTION("IFERROR(INDEX(FILTER('OLT DOWN Tickets'!$F:$F, REGEXMATCH('OLT DOWN Tickets'!$AB:$AB, ""(?i)""&amp;TRIM(D70)), 'OLT DOWN Tickets'!$L:$L=""OLT SERVICE DEGRADATION""), 1), """")
"),"")</f>
        <v/>
      </c>
      <c r="N70" s="6" t="b">
        <v>0</v>
      </c>
      <c r="O70" s="6" t="b">
        <v>0</v>
      </c>
      <c r="P70" s="6" t="b">
        <v>0</v>
      </c>
      <c r="Q70" s="6" t="b">
        <v>0</v>
      </c>
      <c r="R70" s="6"/>
      <c r="S70" s="6"/>
      <c r="T70" s="6"/>
      <c r="U70" s="6"/>
    </row>
    <row r="71">
      <c r="A71" s="19"/>
      <c r="B71" s="26" t="s">
        <v>104</v>
      </c>
      <c r="C71" s="26" t="s">
        <v>214</v>
      </c>
      <c r="D71" s="27" t="s">
        <v>215</v>
      </c>
      <c r="E71" s="6" t="b">
        <f t="shared" si="1"/>
        <v>1</v>
      </c>
      <c r="F71" s="6" t="b">
        <f>COUNTIFS('OLT DOWN Tickets'!$AB:$AB, "*" &amp; D71 &amp; "*", 'OLT DOWN Tickets'!$L:$L, "OLT DOWN") &gt; 0</f>
        <v>0</v>
      </c>
      <c r="G71" s="6" t="b">
        <f>COUNTIFS('OLT DOWN Tickets'!$AB:$AB, "*" &amp; D71 &amp; "*", 'OLT DOWN Tickets'!$L:$L, "OLT UPLINK LOW POWER") &gt; 0</f>
        <v>0</v>
      </c>
      <c r="H71" s="6" t="b">
        <f>COUNTIFS('OLT DOWN Tickets'!$AB:$AB, "*" &amp; D71 &amp; "*", 'OLT DOWN Tickets'!$L:$L, "OLT UPLINK DOWN") &gt; 0</f>
        <v>0</v>
      </c>
      <c r="I71" s="6" t="b">
        <f>COUNTIFS('OLT DOWN Tickets'!$AB:$AB, "*" &amp; D71 &amp; "*", 'OLT DOWN Tickets'!$L:$L, "OLT SERVICE DEGRADATION") &gt; 0</f>
        <v>0</v>
      </c>
      <c r="J71" s="32" t="str">
        <f>IFERROR(__xludf.DUMMYFUNCTION("IFERROR(INDEX(FILTER('OLT DOWN Tickets'!$F:$F, REGEXMATCH('OLT DOWN Tickets'!$AB:$AB, ""(?i)""&amp;TRIM(D71)), 'OLT DOWN Tickets'!$L:$L=""OLT DOWN""), 1), """")"),"")</f>
        <v/>
      </c>
      <c r="K71" s="32" t="str">
        <f>IFERROR(__xludf.DUMMYFUNCTION("IFERROR(INDEX(FILTER('OLT DOWN Tickets'!$F:$F, REGEXMATCH('OLT DOWN Tickets'!$AB:$AB, ""(?i)""&amp;TRIM(D71)), 'OLT DOWN Tickets'!$L:$L=""OLT UPLINK LOW POWER""), 1), """")"),"")</f>
        <v/>
      </c>
      <c r="L71" s="32" t="str">
        <f>IFERROR(__xludf.DUMMYFUNCTION("IFERROR(INDEX(FILTER('OLT DOWN Tickets'!$F:$F, REGEXMATCH('OLT DOWN Tickets'!$AB:$AB, ""(?i)""&amp;TRIM(D71)), 'OLT DOWN Tickets'!$L:$L=""OLT UPLINK DOWN""), 1), """")"),"")</f>
        <v/>
      </c>
      <c r="M71" s="32" t="str">
        <f>IFERROR(__xludf.DUMMYFUNCTION("IFERROR(INDEX(FILTER('OLT DOWN Tickets'!$F:$F, REGEXMATCH('OLT DOWN Tickets'!$AB:$AB, ""(?i)""&amp;TRIM(D71)), 'OLT DOWN Tickets'!$L:$L=""OLT SERVICE DEGRADATION""), 1), """")
"),"")</f>
        <v/>
      </c>
      <c r="N71" s="6" t="b">
        <v>0</v>
      </c>
      <c r="O71" s="6" t="b">
        <v>0</v>
      </c>
      <c r="P71" s="6" t="b">
        <v>0</v>
      </c>
      <c r="Q71" s="6" t="b">
        <v>0</v>
      </c>
      <c r="R71" s="6"/>
      <c r="S71" s="6"/>
      <c r="T71" s="6"/>
      <c r="U71" s="6"/>
    </row>
    <row r="72">
      <c r="A72" s="19"/>
      <c r="B72" s="53" t="s">
        <v>104</v>
      </c>
      <c r="C72" s="26" t="s">
        <v>216</v>
      </c>
      <c r="D72" s="27" t="s">
        <v>217</v>
      </c>
      <c r="E72" s="6" t="b">
        <f t="shared" si="1"/>
        <v>1</v>
      </c>
      <c r="F72" s="6" t="b">
        <f>COUNTIFS('OLT DOWN Tickets'!$AB:$AB, "*" &amp; D72 &amp; "*", 'OLT DOWN Tickets'!$L:$L, "OLT DOWN") &gt; 0</f>
        <v>0</v>
      </c>
      <c r="G72" s="6" t="b">
        <f>COUNTIFS('OLT DOWN Tickets'!$AB:$AB, "*" &amp; D72 &amp; "*", 'OLT DOWN Tickets'!$L:$L, "OLT UPLINK LOW POWER") &gt; 0</f>
        <v>0</v>
      </c>
      <c r="H72" s="6" t="b">
        <f>COUNTIFS('OLT DOWN Tickets'!$AB:$AB, "*" &amp; D72 &amp; "*", 'OLT DOWN Tickets'!$L:$L, "OLT UPLINK DOWN") &gt; 0</f>
        <v>0</v>
      </c>
      <c r="I72" s="6" t="b">
        <f>COUNTIFS('OLT DOWN Tickets'!$AB:$AB, "*" &amp; D72 &amp; "*", 'OLT DOWN Tickets'!$L:$L, "OLT SERVICE DEGRADATION") &gt; 0</f>
        <v>0</v>
      </c>
      <c r="J72" s="32" t="str">
        <f>IFERROR(__xludf.DUMMYFUNCTION("IFERROR(INDEX(FILTER('OLT DOWN Tickets'!$F:$F, REGEXMATCH('OLT DOWN Tickets'!$AB:$AB, ""(?i)""&amp;TRIM(D72)), 'OLT DOWN Tickets'!$L:$L=""OLT DOWN""), 1), """")"),"")</f>
        <v/>
      </c>
      <c r="K72" s="32" t="str">
        <f>IFERROR(__xludf.DUMMYFUNCTION("IFERROR(INDEX(FILTER('OLT DOWN Tickets'!$F:$F, REGEXMATCH('OLT DOWN Tickets'!$AB:$AB, ""(?i)""&amp;TRIM(D72)), 'OLT DOWN Tickets'!$L:$L=""OLT UPLINK LOW POWER""), 1), """")"),"")</f>
        <v/>
      </c>
      <c r="L72" s="32" t="str">
        <f>IFERROR(__xludf.DUMMYFUNCTION("IFERROR(INDEX(FILTER('OLT DOWN Tickets'!$F:$F, REGEXMATCH('OLT DOWN Tickets'!$AB:$AB, ""(?i)""&amp;TRIM(D72)), 'OLT DOWN Tickets'!$L:$L=""OLT UPLINK DOWN""), 1), """")"),"")</f>
        <v/>
      </c>
      <c r="M72" s="32" t="str">
        <f>IFERROR(__xludf.DUMMYFUNCTION("IFERROR(INDEX(FILTER('OLT DOWN Tickets'!$F:$F, REGEXMATCH('OLT DOWN Tickets'!$AB:$AB, ""(?i)""&amp;TRIM(D72)), 'OLT DOWN Tickets'!$L:$L=""OLT SERVICE DEGRADATION""), 1), """")
"),"")</f>
        <v/>
      </c>
      <c r="N72" s="6" t="b">
        <v>0</v>
      </c>
      <c r="O72" s="6" t="b">
        <v>0</v>
      </c>
      <c r="P72" s="6" t="b">
        <v>0</v>
      </c>
      <c r="Q72" s="6" t="b">
        <v>0</v>
      </c>
      <c r="R72" s="6"/>
      <c r="S72" s="6"/>
      <c r="T72" s="6"/>
      <c r="U72" s="6"/>
    </row>
    <row r="73">
      <c r="A73" s="19"/>
      <c r="B73" s="53" t="s">
        <v>104</v>
      </c>
      <c r="C73" s="26" t="s">
        <v>216</v>
      </c>
      <c r="D73" s="27" t="s">
        <v>218</v>
      </c>
      <c r="E73" s="6" t="b">
        <f t="shared" si="1"/>
        <v>1</v>
      </c>
      <c r="F73" s="6" t="b">
        <f>COUNTIFS('OLT DOWN Tickets'!$AB:$AB, "*" &amp; D73 &amp; "*", 'OLT DOWN Tickets'!$L:$L, "OLT DOWN") &gt; 0</f>
        <v>0</v>
      </c>
      <c r="G73" s="6" t="b">
        <f>COUNTIFS('OLT DOWN Tickets'!$AB:$AB, "*" &amp; D73 &amp; "*", 'OLT DOWN Tickets'!$L:$L, "OLT UPLINK LOW POWER") &gt; 0</f>
        <v>0</v>
      </c>
      <c r="H73" s="6" t="b">
        <f>COUNTIFS('OLT DOWN Tickets'!$AB:$AB, "*" &amp; D73 &amp; "*", 'OLT DOWN Tickets'!$L:$L, "OLT UPLINK DOWN") &gt; 0</f>
        <v>0</v>
      </c>
      <c r="I73" s="6" t="b">
        <f>COUNTIFS('OLT DOWN Tickets'!$AB:$AB, "*" &amp; D73 &amp; "*", 'OLT DOWN Tickets'!$L:$L, "OLT SERVICE DEGRADATION") &gt; 0</f>
        <v>0</v>
      </c>
      <c r="J73" s="32" t="str">
        <f>IFERROR(__xludf.DUMMYFUNCTION("IFERROR(INDEX(FILTER('OLT DOWN Tickets'!$F:$F, REGEXMATCH('OLT DOWN Tickets'!$AB:$AB, ""(?i)""&amp;TRIM(D73)), 'OLT DOWN Tickets'!$L:$L=""OLT DOWN""), 1), """")"),"")</f>
        <v/>
      </c>
      <c r="K73" s="32" t="str">
        <f>IFERROR(__xludf.DUMMYFUNCTION("IFERROR(INDEX(FILTER('OLT DOWN Tickets'!$F:$F, REGEXMATCH('OLT DOWN Tickets'!$AB:$AB, ""(?i)""&amp;TRIM(D73)), 'OLT DOWN Tickets'!$L:$L=""OLT UPLINK LOW POWER""), 1), """")"),"")</f>
        <v/>
      </c>
      <c r="L73" s="32" t="str">
        <f>IFERROR(__xludf.DUMMYFUNCTION("IFERROR(INDEX(FILTER('OLT DOWN Tickets'!$F:$F, REGEXMATCH('OLT DOWN Tickets'!$AB:$AB, ""(?i)""&amp;TRIM(D73)), 'OLT DOWN Tickets'!$L:$L=""OLT UPLINK DOWN""), 1), """")"),"")</f>
        <v/>
      </c>
      <c r="M73" s="32" t="str">
        <f>IFERROR(__xludf.DUMMYFUNCTION("IFERROR(INDEX(FILTER('OLT DOWN Tickets'!$F:$F, REGEXMATCH('OLT DOWN Tickets'!$AB:$AB, ""(?i)""&amp;TRIM(D73)), 'OLT DOWN Tickets'!$L:$L=""OLT SERVICE DEGRADATION""), 1), """")
"),"")</f>
        <v/>
      </c>
      <c r="N73" s="6" t="b">
        <v>0</v>
      </c>
      <c r="O73" s="6" t="b">
        <v>0</v>
      </c>
      <c r="P73" s="6" t="b">
        <v>0</v>
      </c>
      <c r="Q73" s="6" t="b">
        <v>0</v>
      </c>
      <c r="R73" s="6"/>
      <c r="S73" s="6"/>
      <c r="T73" s="6"/>
      <c r="U73" s="6"/>
    </row>
    <row r="74">
      <c r="A74" s="19"/>
      <c r="B74" s="26" t="s">
        <v>161</v>
      </c>
      <c r="C74" s="26" t="s">
        <v>219</v>
      </c>
      <c r="D74" s="27" t="s">
        <v>220</v>
      </c>
      <c r="E74" s="6" t="b">
        <f t="shared" si="1"/>
        <v>1</v>
      </c>
      <c r="F74" s="6" t="b">
        <f>COUNTIFS('OLT DOWN Tickets'!$AB:$AB, "*" &amp; D74 &amp; "*", 'OLT DOWN Tickets'!$L:$L, "OLT DOWN") &gt; 0</f>
        <v>0</v>
      </c>
      <c r="G74" s="6" t="b">
        <f>COUNTIFS('OLT DOWN Tickets'!$AB:$AB, "*" &amp; D74 &amp; "*", 'OLT DOWN Tickets'!$L:$L, "OLT UPLINK LOW POWER") &gt; 0</f>
        <v>0</v>
      </c>
      <c r="H74" s="6" t="b">
        <f>COUNTIFS('OLT DOWN Tickets'!$AB:$AB, "*" &amp; D74 &amp; "*", 'OLT DOWN Tickets'!$L:$L, "OLT UPLINK DOWN") &gt; 0</f>
        <v>0</v>
      </c>
      <c r="I74" s="6" t="b">
        <f>COUNTIFS('OLT DOWN Tickets'!$AB:$AB, "*" &amp; D74 &amp; "*", 'OLT DOWN Tickets'!$L:$L, "OLT SERVICE DEGRADATION") &gt; 0</f>
        <v>0</v>
      </c>
      <c r="J74" s="32" t="str">
        <f>IFERROR(__xludf.DUMMYFUNCTION("IFERROR(INDEX(FILTER('OLT DOWN Tickets'!$F:$F, REGEXMATCH('OLT DOWN Tickets'!$AB:$AB, ""(?i)""&amp;TRIM(D74)), 'OLT DOWN Tickets'!$L:$L=""OLT DOWN""), 1), """")"),"")</f>
        <v/>
      </c>
      <c r="K74" s="32" t="str">
        <f>IFERROR(__xludf.DUMMYFUNCTION("IFERROR(INDEX(FILTER('OLT DOWN Tickets'!$F:$F, REGEXMATCH('OLT DOWN Tickets'!$AB:$AB, ""(?i)""&amp;TRIM(D74)), 'OLT DOWN Tickets'!$L:$L=""OLT UPLINK LOW POWER""), 1), """")"),"")</f>
        <v/>
      </c>
      <c r="L74" s="32" t="str">
        <f>IFERROR(__xludf.DUMMYFUNCTION("IFERROR(INDEX(FILTER('OLT DOWN Tickets'!$F:$F, REGEXMATCH('OLT DOWN Tickets'!$AB:$AB, ""(?i)""&amp;TRIM(D74)), 'OLT DOWN Tickets'!$L:$L=""OLT UPLINK DOWN""), 1), """")"),"")</f>
        <v/>
      </c>
      <c r="M74" s="32" t="str">
        <f>IFERROR(__xludf.DUMMYFUNCTION("IFERROR(INDEX(FILTER('OLT DOWN Tickets'!$F:$F, REGEXMATCH('OLT DOWN Tickets'!$AB:$AB, ""(?i)""&amp;TRIM(D74)), 'OLT DOWN Tickets'!$L:$L=""OLT SERVICE DEGRADATION""), 1), """")
"),"")</f>
        <v/>
      </c>
      <c r="N74" s="6" t="b">
        <v>0</v>
      </c>
      <c r="O74" s="6" t="b">
        <v>0</v>
      </c>
      <c r="P74" s="6" t="b">
        <v>0</v>
      </c>
      <c r="Q74" s="6" t="b">
        <v>0</v>
      </c>
      <c r="R74" s="6"/>
      <c r="S74" s="6"/>
      <c r="T74" s="6"/>
      <c r="U74" s="6"/>
    </row>
    <row r="75">
      <c r="A75" s="19"/>
      <c r="B75" s="26" t="s">
        <v>161</v>
      </c>
      <c r="C75" s="26" t="s">
        <v>219</v>
      </c>
      <c r="D75" s="27" t="s">
        <v>221</v>
      </c>
      <c r="E75" s="6" t="b">
        <f t="shared" si="1"/>
        <v>1</v>
      </c>
      <c r="F75" s="6" t="b">
        <f>COUNTIFS('OLT DOWN Tickets'!$AB:$AB, "*" &amp; D75 &amp; "*", 'OLT DOWN Tickets'!$L:$L, "OLT DOWN") &gt; 0</f>
        <v>0</v>
      </c>
      <c r="G75" s="6" t="b">
        <f>COUNTIFS('OLT DOWN Tickets'!$AB:$AB, "*" &amp; D75 &amp; "*", 'OLT DOWN Tickets'!$L:$L, "OLT UPLINK LOW POWER") &gt; 0</f>
        <v>0</v>
      </c>
      <c r="H75" s="6" t="b">
        <f>COUNTIFS('OLT DOWN Tickets'!$AB:$AB, "*" &amp; D75 &amp; "*", 'OLT DOWN Tickets'!$L:$L, "OLT UPLINK DOWN") &gt; 0</f>
        <v>0</v>
      </c>
      <c r="I75" s="6" t="b">
        <f>COUNTIFS('OLT DOWN Tickets'!$AB:$AB, "*" &amp; D75 &amp; "*", 'OLT DOWN Tickets'!$L:$L, "OLT SERVICE DEGRADATION") &gt; 0</f>
        <v>0</v>
      </c>
      <c r="J75" s="32" t="str">
        <f>IFERROR(__xludf.DUMMYFUNCTION("IFERROR(INDEX(FILTER('OLT DOWN Tickets'!$F:$F, REGEXMATCH('OLT DOWN Tickets'!$AB:$AB, ""(?i)""&amp;TRIM(D75)), 'OLT DOWN Tickets'!$L:$L=""OLT DOWN""), 1), """")"),"")</f>
        <v/>
      </c>
      <c r="K75" s="32" t="str">
        <f>IFERROR(__xludf.DUMMYFUNCTION("IFERROR(INDEX(FILTER('OLT DOWN Tickets'!$F:$F, REGEXMATCH('OLT DOWN Tickets'!$AB:$AB, ""(?i)""&amp;TRIM(D75)), 'OLT DOWN Tickets'!$L:$L=""OLT UPLINK LOW POWER""), 1), """")"),"")</f>
        <v/>
      </c>
      <c r="L75" s="32" t="str">
        <f>IFERROR(__xludf.DUMMYFUNCTION("IFERROR(INDEX(FILTER('OLT DOWN Tickets'!$F:$F, REGEXMATCH('OLT DOWN Tickets'!$AB:$AB, ""(?i)""&amp;TRIM(D75)), 'OLT DOWN Tickets'!$L:$L=""OLT UPLINK DOWN""), 1), """")"),"")</f>
        <v/>
      </c>
      <c r="M75" s="32" t="str">
        <f>IFERROR(__xludf.DUMMYFUNCTION("IFERROR(INDEX(FILTER('OLT DOWN Tickets'!$F:$F, REGEXMATCH('OLT DOWN Tickets'!$AB:$AB, ""(?i)""&amp;TRIM(D75)), 'OLT DOWN Tickets'!$L:$L=""OLT SERVICE DEGRADATION""), 1), """")
"),"")</f>
        <v/>
      </c>
      <c r="N75" s="6" t="b">
        <v>0</v>
      </c>
      <c r="O75" s="6" t="b">
        <v>0</v>
      </c>
      <c r="P75" s="6" t="b">
        <v>0</v>
      </c>
      <c r="Q75" s="6" t="b">
        <v>0</v>
      </c>
      <c r="R75" s="6"/>
      <c r="S75" s="6"/>
      <c r="T75" s="6"/>
      <c r="U75" s="6"/>
    </row>
    <row r="76">
      <c r="A76" s="19"/>
      <c r="B76" s="26" t="s">
        <v>161</v>
      </c>
      <c r="C76" s="26" t="s">
        <v>222</v>
      </c>
      <c r="D76" s="27" t="s">
        <v>223</v>
      </c>
      <c r="E76" s="6" t="b">
        <f t="shared" si="1"/>
        <v>1</v>
      </c>
      <c r="F76" s="6" t="b">
        <f>COUNTIFS('OLT DOWN Tickets'!$AB:$AB, "*" &amp; D76 &amp; "*", 'OLT DOWN Tickets'!$L:$L, "OLT DOWN") &gt; 0</f>
        <v>0</v>
      </c>
      <c r="G76" s="6" t="b">
        <f>COUNTIFS('OLT DOWN Tickets'!$AB:$AB, "*" &amp; D76 &amp; "*", 'OLT DOWN Tickets'!$L:$L, "OLT UPLINK LOW POWER") &gt; 0</f>
        <v>0</v>
      </c>
      <c r="H76" s="6" t="b">
        <f>COUNTIFS('OLT DOWN Tickets'!$AB:$AB, "*" &amp; D76 &amp; "*", 'OLT DOWN Tickets'!$L:$L, "OLT UPLINK DOWN") &gt; 0</f>
        <v>0</v>
      </c>
      <c r="I76" s="6" t="b">
        <f>COUNTIFS('OLT DOWN Tickets'!$AB:$AB, "*" &amp; D76 &amp; "*", 'OLT DOWN Tickets'!$L:$L, "OLT SERVICE DEGRADATION") &gt; 0</f>
        <v>0</v>
      </c>
      <c r="J76" s="32" t="str">
        <f>IFERROR(__xludf.DUMMYFUNCTION("IFERROR(INDEX(FILTER('OLT DOWN Tickets'!$F:$F, REGEXMATCH('OLT DOWN Tickets'!$AB:$AB, ""(?i)""&amp;TRIM(D76)), 'OLT DOWN Tickets'!$L:$L=""OLT DOWN""), 1), """")"),"")</f>
        <v/>
      </c>
      <c r="K76" s="32" t="str">
        <f>IFERROR(__xludf.DUMMYFUNCTION("IFERROR(INDEX(FILTER('OLT DOWN Tickets'!$F:$F, REGEXMATCH('OLT DOWN Tickets'!$AB:$AB, ""(?i)""&amp;TRIM(D76)), 'OLT DOWN Tickets'!$L:$L=""OLT UPLINK LOW POWER""), 1), """")"),"")</f>
        <v/>
      </c>
      <c r="L76" s="32" t="str">
        <f>IFERROR(__xludf.DUMMYFUNCTION("IFERROR(INDEX(FILTER('OLT DOWN Tickets'!$F:$F, REGEXMATCH('OLT DOWN Tickets'!$AB:$AB, ""(?i)""&amp;TRIM(D76)), 'OLT DOWN Tickets'!$L:$L=""OLT UPLINK DOWN""), 1), """")"),"")</f>
        <v/>
      </c>
      <c r="M76" s="32" t="str">
        <f>IFERROR(__xludf.DUMMYFUNCTION("IFERROR(INDEX(FILTER('OLT DOWN Tickets'!$F:$F, REGEXMATCH('OLT DOWN Tickets'!$AB:$AB, ""(?i)""&amp;TRIM(D76)), 'OLT DOWN Tickets'!$L:$L=""OLT SERVICE DEGRADATION""), 1), """")
"),"")</f>
        <v/>
      </c>
      <c r="N76" s="6" t="b">
        <v>0</v>
      </c>
      <c r="O76" s="6" t="b">
        <v>0</v>
      </c>
      <c r="P76" s="6" t="b">
        <v>0</v>
      </c>
      <c r="Q76" s="6" t="b">
        <v>0</v>
      </c>
      <c r="R76" s="6"/>
      <c r="S76" s="6"/>
      <c r="T76" s="6"/>
      <c r="U76" s="6"/>
    </row>
    <row r="77">
      <c r="A77" s="19"/>
      <c r="B77" s="26" t="s">
        <v>161</v>
      </c>
      <c r="C77" s="26" t="s">
        <v>222</v>
      </c>
      <c r="D77" s="27" t="s">
        <v>224</v>
      </c>
      <c r="E77" s="6" t="b">
        <f t="shared" si="1"/>
        <v>1</v>
      </c>
      <c r="F77" s="6" t="b">
        <f>COUNTIFS('OLT DOWN Tickets'!$AB:$AB, "*" &amp; D77 &amp; "*", 'OLT DOWN Tickets'!$L:$L, "OLT DOWN") &gt; 0</f>
        <v>0</v>
      </c>
      <c r="G77" s="6" t="b">
        <f>COUNTIFS('OLT DOWN Tickets'!$AB:$AB, "*" &amp; D77 &amp; "*", 'OLT DOWN Tickets'!$L:$L, "OLT UPLINK LOW POWER") &gt; 0</f>
        <v>0</v>
      </c>
      <c r="H77" s="6" t="b">
        <f>COUNTIFS('OLT DOWN Tickets'!$AB:$AB, "*" &amp; D77 &amp; "*", 'OLT DOWN Tickets'!$L:$L, "OLT UPLINK DOWN") &gt; 0</f>
        <v>0</v>
      </c>
      <c r="I77" s="6" t="b">
        <f>COUNTIFS('OLT DOWN Tickets'!$AB:$AB, "*" &amp; D77 &amp; "*", 'OLT DOWN Tickets'!$L:$L, "OLT SERVICE DEGRADATION") &gt; 0</f>
        <v>0</v>
      </c>
      <c r="J77" s="32" t="str">
        <f>IFERROR(__xludf.DUMMYFUNCTION("IFERROR(INDEX(FILTER('OLT DOWN Tickets'!$F:$F, REGEXMATCH('OLT DOWN Tickets'!$AB:$AB, ""(?i)""&amp;TRIM(D77)), 'OLT DOWN Tickets'!$L:$L=""OLT DOWN""), 1), """")"),"")</f>
        <v/>
      </c>
      <c r="K77" s="32" t="str">
        <f>IFERROR(__xludf.DUMMYFUNCTION("IFERROR(INDEX(FILTER('OLT DOWN Tickets'!$F:$F, REGEXMATCH('OLT DOWN Tickets'!$AB:$AB, ""(?i)""&amp;TRIM(D77)), 'OLT DOWN Tickets'!$L:$L=""OLT UPLINK LOW POWER""), 1), """")"),"")</f>
        <v/>
      </c>
      <c r="L77" s="32" t="str">
        <f>IFERROR(__xludf.DUMMYFUNCTION("IFERROR(INDEX(FILTER('OLT DOWN Tickets'!$F:$F, REGEXMATCH('OLT DOWN Tickets'!$AB:$AB, ""(?i)""&amp;TRIM(D77)), 'OLT DOWN Tickets'!$L:$L=""OLT UPLINK DOWN""), 1), """")"),"")</f>
        <v/>
      </c>
      <c r="M77" s="32" t="str">
        <f>IFERROR(__xludf.DUMMYFUNCTION("IFERROR(INDEX(FILTER('OLT DOWN Tickets'!$F:$F, REGEXMATCH('OLT DOWN Tickets'!$AB:$AB, ""(?i)""&amp;TRIM(D77)), 'OLT DOWN Tickets'!$L:$L=""OLT SERVICE DEGRADATION""), 1), """")
"),"")</f>
        <v/>
      </c>
      <c r="N77" s="6" t="b">
        <v>0</v>
      </c>
      <c r="O77" s="6" t="b">
        <v>0</v>
      </c>
      <c r="P77" s="6" t="b">
        <v>0</v>
      </c>
      <c r="Q77" s="6" t="b">
        <v>0</v>
      </c>
      <c r="R77" s="6"/>
      <c r="S77" s="6"/>
      <c r="T77" s="6"/>
      <c r="U77" s="6"/>
    </row>
    <row r="78">
      <c r="A78" s="19"/>
      <c r="B78" s="26" t="s">
        <v>161</v>
      </c>
      <c r="C78" s="26" t="s">
        <v>225</v>
      </c>
      <c r="D78" s="27" t="s">
        <v>226</v>
      </c>
      <c r="E78" s="6" t="b">
        <f t="shared" si="1"/>
        <v>1</v>
      </c>
      <c r="F78" s="6" t="b">
        <f>COUNTIFS('OLT DOWN Tickets'!$AB:$AB, "*" &amp; D78 &amp; "*", 'OLT DOWN Tickets'!$L:$L, "OLT DOWN") &gt; 0</f>
        <v>0</v>
      </c>
      <c r="G78" s="6" t="b">
        <f>COUNTIFS('OLT DOWN Tickets'!$AB:$AB, "*" &amp; D78 &amp; "*", 'OLT DOWN Tickets'!$L:$L, "OLT UPLINK LOW POWER") &gt; 0</f>
        <v>0</v>
      </c>
      <c r="H78" s="6" t="b">
        <f>COUNTIFS('OLT DOWN Tickets'!$AB:$AB, "*" &amp; D78 &amp; "*", 'OLT DOWN Tickets'!$L:$L, "OLT UPLINK DOWN") &gt; 0</f>
        <v>0</v>
      </c>
      <c r="I78" s="6" t="b">
        <f>COUNTIFS('OLT DOWN Tickets'!$AB:$AB, "*" &amp; D78 &amp; "*", 'OLT DOWN Tickets'!$L:$L, "OLT SERVICE DEGRADATION") &gt; 0</f>
        <v>0</v>
      </c>
      <c r="J78" s="32" t="str">
        <f>IFERROR(__xludf.DUMMYFUNCTION("IFERROR(INDEX(FILTER('OLT DOWN Tickets'!$F:$F, REGEXMATCH('OLT DOWN Tickets'!$AB:$AB, ""(?i)""&amp;TRIM(D78)), 'OLT DOWN Tickets'!$L:$L=""OLT DOWN""), 1), """")"),"")</f>
        <v/>
      </c>
      <c r="K78" s="32" t="str">
        <f>IFERROR(__xludf.DUMMYFUNCTION("IFERROR(INDEX(FILTER('OLT DOWN Tickets'!$F:$F, REGEXMATCH('OLT DOWN Tickets'!$AB:$AB, ""(?i)""&amp;TRIM(D78)), 'OLT DOWN Tickets'!$L:$L=""OLT UPLINK LOW POWER""), 1), """")"),"")</f>
        <v/>
      </c>
      <c r="L78" s="32" t="str">
        <f>IFERROR(__xludf.DUMMYFUNCTION("IFERROR(INDEX(FILTER('OLT DOWN Tickets'!$F:$F, REGEXMATCH('OLT DOWN Tickets'!$AB:$AB, ""(?i)""&amp;TRIM(D78)), 'OLT DOWN Tickets'!$L:$L=""OLT UPLINK DOWN""), 1), """")"),"")</f>
        <v/>
      </c>
      <c r="M78" s="32" t="str">
        <f>IFERROR(__xludf.DUMMYFUNCTION("IFERROR(INDEX(FILTER('OLT DOWN Tickets'!$F:$F, REGEXMATCH('OLT DOWN Tickets'!$AB:$AB, ""(?i)""&amp;TRIM(D78)), 'OLT DOWN Tickets'!$L:$L=""OLT SERVICE DEGRADATION""), 1), """")
"),"")</f>
        <v/>
      </c>
      <c r="N78" s="6" t="b">
        <v>0</v>
      </c>
      <c r="O78" s="6" t="b">
        <v>0</v>
      </c>
      <c r="P78" s="6" t="b">
        <v>0</v>
      </c>
      <c r="Q78" s="6" t="b">
        <v>0</v>
      </c>
      <c r="R78" s="6"/>
      <c r="S78" s="6"/>
      <c r="T78" s="6"/>
      <c r="U78" s="6"/>
    </row>
    <row r="79">
      <c r="A79" s="19"/>
      <c r="B79" s="26" t="s">
        <v>161</v>
      </c>
      <c r="C79" s="26" t="s">
        <v>225</v>
      </c>
      <c r="D79" s="27" t="s">
        <v>227</v>
      </c>
      <c r="E79" s="6" t="b">
        <f t="shared" si="1"/>
        <v>1</v>
      </c>
      <c r="F79" s="6" t="b">
        <f>COUNTIFS('OLT DOWN Tickets'!$AB:$AB, "*" &amp; D79 &amp; "*", 'OLT DOWN Tickets'!$L:$L, "OLT DOWN") &gt; 0</f>
        <v>0</v>
      </c>
      <c r="G79" s="6" t="b">
        <f>COUNTIFS('OLT DOWN Tickets'!$AB:$AB, "*" &amp; D79 &amp; "*", 'OLT DOWN Tickets'!$L:$L, "OLT UPLINK LOW POWER") &gt; 0</f>
        <v>0</v>
      </c>
      <c r="H79" s="6" t="b">
        <f>COUNTIFS('OLT DOWN Tickets'!$AB:$AB, "*" &amp; D79 &amp; "*", 'OLT DOWN Tickets'!$L:$L, "OLT UPLINK DOWN") &gt; 0</f>
        <v>0</v>
      </c>
      <c r="I79" s="6" t="b">
        <f>COUNTIFS('OLT DOWN Tickets'!$AB:$AB, "*" &amp; D79 &amp; "*", 'OLT DOWN Tickets'!$L:$L, "OLT SERVICE DEGRADATION") &gt; 0</f>
        <v>0</v>
      </c>
      <c r="J79" s="32" t="str">
        <f>IFERROR(__xludf.DUMMYFUNCTION("IFERROR(INDEX(FILTER('OLT DOWN Tickets'!$F:$F, REGEXMATCH('OLT DOWN Tickets'!$AB:$AB, ""(?i)""&amp;TRIM(D79)), 'OLT DOWN Tickets'!$L:$L=""OLT DOWN""), 1), """")"),"")</f>
        <v/>
      </c>
      <c r="K79" s="32" t="str">
        <f>IFERROR(__xludf.DUMMYFUNCTION("IFERROR(INDEX(FILTER('OLT DOWN Tickets'!$F:$F, REGEXMATCH('OLT DOWN Tickets'!$AB:$AB, ""(?i)""&amp;TRIM(D79)), 'OLT DOWN Tickets'!$L:$L=""OLT UPLINK LOW POWER""), 1), """")"),"")</f>
        <v/>
      </c>
      <c r="L79" s="32" t="str">
        <f>IFERROR(__xludf.DUMMYFUNCTION("IFERROR(INDEX(FILTER('OLT DOWN Tickets'!$F:$F, REGEXMATCH('OLT DOWN Tickets'!$AB:$AB, ""(?i)""&amp;TRIM(D79)), 'OLT DOWN Tickets'!$L:$L=""OLT UPLINK DOWN""), 1), """")"),"")</f>
        <v/>
      </c>
      <c r="M79" s="32" t="str">
        <f>IFERROR(__xludf.DUMMYFUNCTION("IFERROR(INDEX(FILTER('OLT DOWN Tickets'!$F:$F, REGEXMATCH('OLT DOWN Tickets'!$AB:$AB, ""(?i)""&amp;TRIM(D79)), 'OLT DOWN Tickets'!$L:$L=""OLT SERVICE DEGRADATION""), 1), """")
"),"")</f>
        <v/>
      </c>
      <c r="N79" s="6" t="b">
        <v>0</v>
      </c>
      <c r="O79" s="6" t="b">
        <v>0</v>
      </c>
      <c r="P79" s="6" t="b">
        <v>0</v>
      </c>
      <c r="Q79" s="6" t="b">
        <v>0</v>
      </c>
      <c r="R79" s="6"/>
      <c r="S79" s="6"/>
      <c r="T79" s="6"/>
      <c r="U79" s="6"/>
    </row>
    <row r="80">
      <c r="A80" s="19"/>
      <c r="B80" s="26" t="s">
        <v>161</v>
      </c>
      <c r="C80" s="26" t="s">
        <v>228</v>
      </c>
      <c r="D80" s="27" t="s">
        <v>229</v>
      </c>
      <c r="E80" s="6" t="b">
        <f t="shared" si="1"/>
        <v>1</v>
      </c>
      <c r="F80" s="6" t="b">
        <f>COUNTIFS('OLT DOWN Tickets'!$AB:$AB, "*" &amp; D80 &amp; "*", 'OLT DOWN Tickets'!$L:$L, "OLT DOWN") &gt; 0</f>
        <v>0</v>
      </c>
      <c r="G80" s="6" t="b">
        <f>COUNTIFS('OLT DOWN Tickets'!$AB:$AB, "*" &amp; D80 &amp; "*", 'OLT DOWN Tickets'!$L:$L, "OLT UPLINK LOW POWER") &gt; 0</f>
        <v>0</v>
      </c>
      <c r="H80" s="6" t="b">
        <f>COUNTIFS('OLT DOWN Tickets'!$AB:$AB, "*" &amp; D80 &amp; "*", 'OLT DOWN Tickets'!$L:$L, "OLT UPLINK DOWN") &gt; 0</f>
        <v>0</v>
      </c>
      <c r="I80" s="6" t="b">
        <f>COUNTIFS('OLT DOWN Tickets'!$AB:$AB, "*" &amp; D80 &amp; "*", 'OLT DOWN Tickets'!$L:$L, "OLT SERVICE DEGRADATION") &gt; 0</f>
        <v>0</v>
      </c>
      <c r="J80" s="32" t="str">
        <f>IFERROR(__xludf.DUMMYFUNCTION("IFERROR(INDEX(FILTER('OLT DOWN Tickets'!$F:$F, REGEXMATCH('OLT DOWN Tickets'!$AB:$AB, ""(?i)""&amp;TRIM(D80)), 'OLT DOWN Tickets'!$L:$L=""OLT DOWN""), 1), """")"),"")</f>
        <v/>
      </c>
      <c r="K80" s="32" t="str">
        <f>IFERROR(__xludf.DUMMYFUNCTION("IFERROR(INDEX(FILTER('OLT DOWN Tickets'!$F:$F, REGEXMATCH('OLT DOWN Tickets'!$AB:$AB, ""(?i)""&amp;TRIM(D80)), 'OLT DOWN Tickets'!$L:$L=""OLT UPLINK LOW POWER""), 1), """")"),"")</f>
        <v/>
      </c>
      <c r="L80" s="32" t="str">
        <f>IFERROR(__xludf.DUMMYFUNCTION("IFERROR(INDEX(FILTER('OLT DOWN Tickets'!$F:$F, REGEXMATCH('OLT DOWN Tickets'!$AB:$AB, ""(?i)""&amp;TRIM(D80)), 'OLT DOWN Tickets'!$L:$L=""OLT UPLINK DOWN""), 1), """")"),"")</f>
        <v/>
      </c>
      <c r="M80" s="32" t="str">
        <f>IFERROR(__xludf.DUMMYFUNCTION("IFERROR(INDEX(FILTER('OLT DOWN Tickets'!$F:$F, REGEXMATCH('OLT DOWN Tickets'!$AB:$AB, ""(?i)""&amp;TRIM(D80)), 'OLT DOWN Tickets'!$L:$L=""OLT SERVICE DEGRADATION""), 1), """")
"),"")</f>
        <v/>
      </c>
      <c r="N80" s="6" t="b">
        <v>0</v>
      </c>
      <c r="O80" s="6" t="b">
        <v>0</v>
      </c>
      <c r="P80" s="6" t="b">
        <v>0</v>
      </c>
      <c r="Q80" s="6" t="b">
        <v>0</v>
      </c>
      <c r="R80" s="6"/>
      <c r="S80" s="6"/>
      <c r="T80" s="6"/>
      <c r="U80" s="6"/>
    </row>
    <row r="81">
      <c r="A81" s="19"/>
      <c r="B81" s="26" t="s">
        <v>161</v>
      </c>
      <c r="C81" s="26" t="s">
        <v>228</v>
      </c>
      <c r="D81" s="27" t="s">
        <v>230</v>
      </c>
      <c r="E81" s="6" t="b">
        <f t="shared" si="1"/>
        <v>1</v>
      </c>
      <c r="F81" s="6" t="b">
        <f>COUNTIFS('OLT DOWN Tickets'!$AB:$AB, "*" &amp; D81 &amp; "*", 'OLT DOWN Tickets'!$L:$L, "OLT DOWN") &gt; 0</f>
        <v>0</v>
      </c>
      <c r="G81" s="6" t="b">
        <f>COUNTIFS('OLT DOWN Tickets'!$AB:$AB, "*" &amp; D81 &amp; "*", 'OLT DOWN Tickets'!$L:$L, "OLT UPLINK LOW POWER") &gt; 0</f>
        <v>0</v>
      </c>
      <c r="H81" s="6" t="b">
        <f>COUNTIFS('OLT DOWN Tickets'!$AB:$AB, "*" &amp; D81 &amp; "*", 'OLT DOWN Tickets'!$L:$L, "OLT UPLINK DOWN") &gt; 0</f>
        <v>0</v>
      </c>
      <c r="I81" s="6" t="b">
        <f>COUNTIFS('OLT DOWN Tickets'!$AB:$AB, "*" &amp; D81 &amp; "*", 'OLT DOWN Tickets'!$L:$L, "OLT SERVICE DEGRADATION") &gt; 0</f>
        <v>0</v>
      </c>
      <c r="J81" s="32" t="str">
        <f>IFERROR(__xludf.DUMMYFUNCTION("IFERROR(INDEX(FILTER('OLT DOWN Tickets'!$F:$F, REGEXMATCH('OLT DOWN Tickets'!$AB:$AB, ""(?i)""&amp;TRIM(D81)), 'OLT DOWN Tickets'!$L:$L=""OLT DOWN""), 1), """")"),"")</f>
        <v/>
      </c>
      <c r="K81" s="32" t="str">
        <f>IFERROR(__xludf.DUMMYFUNCTION("IFERROR(INDEX(FILTER('OLT DOWN Tickets'!$F:$F, REGEXMATCH('OLT DOWN Tickets'!$AB:$AB, ""(?i)""&amp;TRIM(D81)), 'OLT DOWN Tickets'!$L:$L=""OLT UPLINK LOW POWER""), 1), """")"),"")</f>
        <v/>
      </c>
      <c r="L81" s="32" t="str">
        <f>IFERROR(__xludf.DUMMYFUNCTION("IFERROR(INDEX(FILTER('OLT DOWN Tickets'!$F:$F, REGEXMATCH('OLT DOWN Tickets'!$AB:$AB, ""(?i)""&amp;TRIM(D81)), 'OLT DOWN Tickets'!$L:$L=""OLT UPLINK DOWN""), 1), """")"),"")</f>
        <v/>
      </c>
      <c r="M81" s="32" t="str">
        <f>IFERROR(__xludf.DUMMYFUNCTION("IFERROR(INDEX(FILTER('OLT DOWN Tickets'!$F:$F, REGEXMATCH('OLT DOWN Tickets'!$AB:$AB, ""(?i)""&amp;TRIM(D81)), 'OLT DOWN Tickets'!$L:$L=""OLT SERVICE DEGRADATION""), 1), """")
"),"")</f>
        <v/>
      </c>
      <c r="N81" s="6" t="b">
        <v>0</v>
      </c>
      <c r="O81" s="6" t="b">
        <v>0</v>
      </c>
      <c r="P81" s="6" t="b">
        <v>0</v>
      </c>
      <c r="Q81" s="6" t="b">
        <v>0</v>
      </c>
      <c r="R81" s="6"/>
      <c r="S81" s="6"/>
      <c r="T81" s="6"/>
      <c r="U81" s="6"/>
    </row>
    <row r="82">
      <c r="A82" s="19"/>
      <c r="B82" s="26" t="s">
        <v>161</v>
      </c>
      <c r="C82" s="26" t="s">
        <v>228</v>
      </c>
      <c r="D82" s="27" t="s">
        <v>231</v>
      </c>
      <c r="E82" s="6" t="b">
        <f t="shared" si="1"/>
        <v>1</v>
      </c>
      <c r="F82" s="6" t="b">
        <f>COUNTIFS('OLT DOWN Tickets'!$AB:$AB, "*" &amp; D82 &amp; "*", 'OLT DOWN Tickets'!$L:$L, "OLT DOWN") &gt; 0</f>
        <v>0</v>
      </c>
      <c r="G82" s="6" t="b">
        <f>COUNTIFS('OLT DOWN Tickets'!$AB:$AB, "*" &amp; D82 &amp; "*", 'OLT DOWN Tickets'!$L:$L, "OLT UPLINK LOW POWER") &gt; 0</f>
        <v>0</v>
      </c>
      <c r="H82" s="6" t="b">
        <f>COUNTIFS('OLT DOWN Tickets'!$AB:$AB, "*" &amp; D82 &amp; "*", 'OLT DOWN Tickets'!$L:$L, "OLT UPLINK DOWN") &gt; 0</f>
        <v>0</v>
      </c>
      <c r="I82" s="6" t="b">
        <f>COUNTIFS('OLT DOWN Tickets'!$AB:$AB, "*" &amp; D82 &amp; "*", 'OLT DOWN Tickets'!$L:$L, "OLT SERVICE DEGRADATION") &gt; 0</f>
        <v>0</v>
      </c>
      <c r="J82" s="32" t="str">
        <f>IFERROR(__xludf.DUMMYFUNCTION("IFERROR(INDEX(FILTER('OLT DOWN Tickets'!$F:$F, REGEXMATCH('OLT DOWN Tickets'!$AB:$AB, ""(?i)""&amp;TRIM(D82)), 'OLT DOWN Tickets'!$L:$L=""OLT DOWN""), 1), """")"),"")</f>
        <v/>
      </c>
      <c r="K82" s="32" t="str">
        <f>IFERROR(__xludf.DUMMYFUNCTION("IFERROR(INDEX(FILTER('OLT DOWN Tickets'!$F:$F, REGEXMATCH('OLT DOWN Tickets'!$AB:$AB, ""(?i)""&amp;TRIM(D82)), 'OLT DOWN Tickets'!$L:$L=""OLT UPLINK LOW POWER""), 1), """")"),"")</f>
        <v/>
      </c>
      <c r="L82" s="32" t="str">
        <f>IFERROR(__xludf.DUMMYFUNCTION("IFERROR(INDEX(FILTER('OLT DOWN Tickets'!$F:$F, REGEXMATCH('OLT DOWN Tickets'!$AB:$AB, ""(?i)""&amp;TRIM(D82)), 'OLT DOWN Tickets'!$L:$L=""OLT UPLINK DOWN""), 1), """")"),"")</f>
        <v/>
      </c>
      <c r="M82" s="32" t="str">
        <f>IFERROR(__xludf.DUMMYFUNCTION("IFERROR(INDEX(FILTER('OLT DOWN Tickets'!$F:$F, REGEXMATCH('OLT DOWN Tickets'!$AB:$AB, ""(?i)""&amp;TRIM(D82)), 'OLT DOWN Tickets'!$L:$L=""OLT SERVICE DEGRADATION""), 1), """")
"),"")</f>
        <v/>
      </c>
      <c r="N82" s="6" t="b">
        <v>0</v>
      </c>
      <c r="O82" s="6" t="b">
        <v>0</v>
      </c>
      <c r="P82" s="6" t="b">
        <v>0</v>
      </c>
      <c r="Q82" s="6" t="b">
        <v>0</v>
      </c>
      <c r="R82" s="6"/>
      <c r="S82" s="6"/>
      <c r="T82" s="6"/>
      <c r="U82" s="6"/>
    </row>
    <row r="83">
      <c r="A83" s="19"/>
      <c r="B83" s="26" t="s">
        <v>161</v>
      </c>
      <c r="C83" s="26" t="s">
        <v>228</v>
      </c>
      <c r="D83" s="27" t="s">
        <v>232</v>
      </c>
      <c r="E83" s="6" t="b">
        <f t="shared" si="1"/>
        <v>1</v>
      </c>
      <c r="F83" s="6" t="b">
        <f>COUNTIFS('OLT DOWN Tickets'!$AB:$AB, "*" &amp; D83 &amp; "*", 'OLT DOWN Tickets'!$L:$L, "OLT DOWN") &gt; 0</f>
        <v>0</v>
      </c>
      <c r="G83" s="6" t="b">
        <f>COUNTIFS('OLT DOWN Tickets'!$AB:$AB, "*" &amp; D83 &amp; "*", 'OLT DOWN Tickets'!$L:$L, "OLT UPLINK LOW POWER") &gt; 0</f>
        <v>0</v>
      </c>
      <c r="H83" s="6" t="b">
        <f>COUNTIFS('OLT DOWN Tickets'!$AB:$AB, "*" &amp; D83 &amp; "*", 'OLT DOWN Tickets'!$L:$L, "OLT UPLINK DOWN") &gt; 0</f>
        <v>0</v>
      </c>
      <c r="I83" s="6" t="b">
        <f>COUNTIFS('OLT DOWN Tickets'!$AB:$AB, "*" &amp; D83 &amp; "*", 'OLT DOWN Tickets'!$L:$L, "OLT SERVICE DEGRADATION") &gt; 0</f>
        <v>0</v>
      </c>
      <c r="J83" s="32" t="str">
        <f>IFERROR(__xludf.DUMMYFUNCTION("IFERROR(INDEX(FILTER('OLT DOWN Tickets'!$F:$F, REGEXMATCH('OLT DOWN Tickets'!$AB:$AB, ""(?i)""&amp;TRIM(D83)), 'OLT DOWN Tickets'!$L:$L=""OLT DOWN""), 1), """")"),"")</f>
        <v/>
      </c>
      <c r="K83" s="32" t="str">
        <f>IFERROR(__xludf.DUMMYFUNCTION("IFERROR(INDEX(FILTER('OLT DOWN Tickets'!$F:$F, REGEXMATCH('OLT DOWN Tickets'!$AB:$AB, ""(?i)""&amp;TRIM(D83)), 'OLT DOWN Tickets'!$L:$L=""OLT UPLINK LOW POWER""), 1), """")"),"")</f>
        <v/>
      </c>
      <c r="L83" s="32" t="str">
        <f>IFERROR(__xludf.DUMMYFUNCTION("IFERROR(INDEX(FILTER('OLT DOWN Tickets'!$F:$F, REGEXMATCH('OLT DOWN Tickets'!$AB:$AB, ""(?i)""&amp;TRIM(D83)), 'OLT DOWN Tickets'!$L:$L=""OLT UPLINK DOWN""), 1), """")"),"")</f>
        <v/>
      </c>
      <c r="M83" s="32" t="str">
        <f>IFERROR(__xludf.DUMMYFUNCTION("IFERROR(INDEX(FILTER('OLT DOWN Tickets'!$F:$F, REGEXMATCH('OLT DOWN Tickets'!$AB:$AB, ""(?i)""&amp;TRIM(D83)), 'OLT DOWN Tickets'!$L:$L=""OLT SERVICE DEGRADATION""), 1), """")
"),"")</f>
        <v/>
      </c>
      <c r="N83" s="6" t="b">
        <v>0</v>
      </c>
      <c r="O83" s="6" t="b">
        <v>0</v>
      </c>
      <c r="P83" s="6" t="b">
        <v>0</v>
      </c>
      <c r="Q83" s="6" t="b">
        <v>0</v>
      </c>
      <c r="R83" s="6"/>
      <c r="S83" s="6"/>
      <c r="T83" s="6"/>
      <c r="U83" s="6"/>
    </row>
    <row r="84">
      <c r="A84" s="19"/>
      <c r="B84" s="26" t="s">
        <v>161</v>
      </c>
      <c r="C84" s="26" t="s">
        <v>233</v>
      </c>
      <c r="D84" s="27" t="s">
        <v>234</v>
      </c>
      <c r="E84" s="6" t="b">
        <f t="shared" si="1"/>
        <v>1</v>
      </c>
      <c r="F84" s="6" t="b">
        <f>COUNTIFS('OLT DOWN Tickets'!$AB:$AB, "*" &amp; D84 &amp; "*", 'OLT DOWN Tickets'!$L:$L, "OLT DOWN") &gt; 0</f>
        <v>0</v>
      </c>
      <c r="G84" s="6" t="b">
        <f>COUNTIFS('OLT DOWN Tickets'!$AB:$AB, "*" &amp; D84 &amp; "*", 'OLT DOWN Tickets'!$L:$L, "OLT UPLINK LOW POWER") &gt; 0</f>
        <v>0</v>
      </c>
      <c r="H84" s="6" t="b">
        <f>COUNTIFS('OLT DOWN Tickets'!$AB:$AB, "*" &amp; D84 &amp; "*", 'OLT DOWN Tickets'!$L:$L, "OLT UPLINK DOWN") &gt; 0</f>
        <v>0</v>
      </c>
      <c r="I84" s="6" t="b">
        <f>COUNTIFS('OLT DOWN Tickets'!$AB:$AB, "*" &amp; D84 &amp; "*", 'OLT DOWN Tickets'!$L:$L, "OLT SERVICE DEGRADATION") &gt; 0</f>
        <v>0</v>
      </c>
      <c r="J84" s="32" t="str">
        <f>IFERROR(__xludf.DUMMYFUNCTION("IFERROR(INDEX(FILTER('OLT DOWN Tickets'!$F:$F, REGEXMATCH('OLT DOWN Tickets'!$AB:$AB, ""(?i)""&amp;TRIM(D84)), 'OLT DOWN Tickets'!$L:$L=""OLT DOWN""), 1), """")"),"")</f>
        <v/>
      </c>
      <c r="K84" s="32" t="str">
        <f>IFERROR(__xludf.DUMMYFUNCTION("IFERROR(INDEX(FILTER('OLT DOWN Tickets'!$F:$F, REGEXMATCH('OLT DOWN Tickets'!$AB:$AB, ""(?i)""&amp;TRIM(D84)), 'OLT DOWN Tickets'!$L:$L=""OLT UPLINK LOW POWER""), 1), """")"),"")</f>
        <v/>
      </c>
      <c r="L84" s="32" t="str">
        <f>IFERROR(__xludf.DUMMYFUNCTION("IFERROR(INDEX(FILTER('OLT DOWN Tickets'!$F:$F, REGEXMATCH('OLT DOWN Tickets'!$AB:$AB, ""(?i)""&amp;TRIM(D84)), 'OLT DOWN Tickets'!$L:$L=""OLT UPLINK DOWN""), 1), """")"),"")</f>
        <v/>
      </c>
      <c r="M84" s="32" t="str">
        <f>IFERROR(__xludf.DUMMYFUNCTION("IFERROR(INDEX(FILTER('OLT DOWN Tickets'!$F:$F, REGEXMATCH('OLT DOWN Tickets'!$AB:$AB, ""(?i)""&amp;TRIM(D84)), 'OLT DOWN Tickets'!$L:$L=""OLT SERVICE DEGRADATION""), 1), """")
"),"")</f>
        <v/>
      </c>
      <c r="N84" s="6" t="b">
        <v>0</v>
      </c>
      <c r="O84" s="6" t="b">
        <v>0</v>
      </c>
      <c r="P84" s="6" t="b">
        <v>0</v>
      </c>
      <c r="Q84" s="6" t="b">
        <v>0</v>
      </c>
      <c r="R84" s="6"/>
      <c r="S84" s="6"/>
      <c r="T84" s="6"/>
      <c r="U84" s="6"/>
    </row>
    <row r="85">
      <c r="A85" s="19"/>
      <c r="B85" s="26" t="s">
        <v>161</v>
      </c>
      <c r="C85" s="26" t="s">
        <v>233</v>
      </c>
      <c r="D85" s="27" t="s">
        <v>235</v>
      </c>
      <c r="E85" s="6" t="b">
        <f t="shared" si="1"/>
        <v>1</v>
      </c>
      <c r="F85" s="6" t="b">
        <f>COUNTIFS('OLT DOWN Tickets'!$AB:$AB, "*" &amp; D85 &amp; "*", 'OLT DOWN Tickets'!$L:$L, "OLT DOWN") &gt; 0</f>
        <v>0</v>
      </c>
      <c r="G85" s="6" t="b">
        <f>COUNTIFS('OLT DOWN Tickets'!$AB:$AB, "*" &amp; D85 &amp; "*", 'OLT DOWN Tickets'!$L:$L, "OLT UPLINK LOW POWER") &gt; 0</f>
        <v>0</v>
      </c>
      <c r="H85" s="6" t="b">
        <f>COUNTIFS('OLT DOWN Tickets'!$AB:$AB, "*" &amp; D85 &amp; "*", 'OLT DOWN Tickets'!$L:$L, "OLT UPLINK DOWN") &gt; 0</f>
        <v>0</v>
      </c>
      <c r="I85" s="6" t="b">
        <f>COUNTIFS('OLT DOWN Tickets'!$AB:$AB, "*" &amp; D85 &amp; "*", 'OLT DOWN Tickets'!$L:$L, "OLT SERVICE DEGRADATION") &gt; 0</f>
        <v>0</v>
      </c>
      <c r="J85" s="32" t="str">
        <f>IFERROR(__xludf.DUMMYFUNCTION("IFERROR(INDEX(FILTER('OLT DOWN Tickets'!$F:$F, REGEXMATCH('OLT DOWN Tickets'!$AB:$AB, ""(?i)""&amp;TRIM(D85)), 'OLT DOWN Tickets'!$L:$L=""OLT DOWN""), 1), """")"),"")</f>
        <v/>
      </c>
      <c r="K85" s="32" t="str">
        <f>IFERROR(__xludf.DUMMYFUNCTION("IFERROR(INDEX(FILTER('OLT DOWN Tickets'!$F:$F, REGEXMATCH('OLT DOWN Tickets'!$AB:$AB, ""(?i)""&amp;TRIM(D85)), 'OLT DOWN Tickets'!$L:$L=""OLT UPLINK LOW POWER""), 1), """")"),"")</f>
        <v/>
      </c>
      <c r="L85" s="32" t="str">
        <f>IFERROR(__xludf.DUMMYFUNCTION("IFERROR(INDEX(FILTER('OLT DOWN Tickets'!$F:$F, REGEXMATCH('OLT DOWN Tickets'!$AB:$AB, ""(?i)""&amp;TRIM(D85)), 'OLT DOWN Tickets'!$L:$L=""OLT UPLINK DOWN""), 1), """")"),"")</f>
        <v/>
      </c>
      <c r="M85" s="32" t="str">
        <f>IFERROR(__xludf.DUMMYFUNCTION("IFERROR(INDEX(FILTER('OLT DOWN Tickets'!$F:$F, REGEXMATCH('OLT DOWN Tickets'!$AB:$AB, ""(?i)""&amp;TRIM(D85)), 'OLT DOWN Tickets'!$L:$L=""OLT SERVICE DEGRADATION""), 1), """")
"),"")</f>
        <v/>
      </c>
      <c r="N85" s="6" t="b">
        <v>0</v>
      </c>
      <c r="O85" s="6" t="b">
        <v>0</v>
      </c>
      <c r="P85" s="6" t="b">
        <v>0</v>
      </c>
      <c r="Q85" s="6" t="b">
        <v>0</v>
      </c>
      <c r="R85" s="6"/>
      <c r="S85" s="6"/>
      <c r="T85" s="6"/>
      <c r="U85" s="6"/>
    </row>
    <row r="86">
      <c r="A86" s="19"/>
      <c r="B86" s="26" t="s">
        <v>161</v>
      </c>
      <c r="C86" s="26" t="s">
        <v>236</v>
      </c>
      <c r="D86" s="27" t="s">
        <v>237</v>
      </c>
      <c r="E86" s="6" t="b">
        <f t="shared" si="1"/>
        <v>1</v>
      </c>
      <c r="F86" s="6" t="b">
        <f>COUNTIFS('OLT DOWN Tickets'!$AB:$AB, "*" &amp; D86 &amp; "*", 'OLT DOWN Tickets'!$L:$L, "OLT DOWN") &gt; 0</f>
        <v>0</v>
      </c>
      <c r="G86" s="6" t="b">
        <f>COUNTIFS('OLT DOWN Tickets'!$AB:$AB, "*" &amp; D86 &amp; "*", 'OLT DOWN Tickets'!$L:$L, "OLT UPLINK LOW POWER") &gt; 0</f>
        <v>0</v>
      </c>
      <c r="H86" s="6" t="b">
        <f>COUNTIFS('OLT DOWN Tickets'!$AB:$AB, "*" &amp; D86 &amp; "*", 'OLT DOWN Tickets'!$L:$L, "OLT UPLINK DOWN") &gt; 0</f>
        <v>0</v>
      </c>
      <c r="I86" s="6" t="b">
        <f>COUNTIFS('OLT DOWN Tickets'!$AB:$AB, "*" &amp; D86 &amp; "*", 'OLT DOWN Tickets'!$L:$L, "OLT SERVICE DEGRADATION") &gt; 0</f>
        <v>0</v>
      </c>
      <c r="J86" s="32" t="str">
        <f>IFERROR(__xludf.DUMMYFUNCTION("IFERROR(INDEX(FILTER('OLT DOWN Tickets'!$F:$F, REGEXMATCH('OLT DOWN Tickets'!$AB:$AB, ""(?i)""&amp;TRIM(D86)), 'OLT DOWN Tickets'!$L:$L=""OLT DOWN""), 1), """")"),"")</f>
        <v/>
      </c>
      <c r="K86" s="32" t="str">
        <f>IFERROR(__xludf.DUMMYFUNCTION("IFERROR(INDEX(FILTER('OLT DOWN Tickets'!$F:$F, REGEXMATCH('OLT DOWN Tickets'!$AB:$AB, ""(?i)""&amp;TRIM(D86)), 'OLT DOWN Tickets'!$L:$L=""OLT UPLINK LOW POWER""), 1), """")"),"")</f>
        <v/>
      </c>
      <c r="L86" s="32" t="str">
        <f>IFERROR(__xludf.DUMMYFUNCTION("IFERROR(INDEX(FILTER('OLT DOWN Tickets'!$F:$F, REGEXMATCH('OLT DOWN Tickets'!$AB:$AB, ""(?i)""&amp;TRIM(D86)), 'OLT DOWN Tickets'!$L:$L=""OLT UPLINK DOWN""), 1), """")"),"")</f>
        <v/>
      </c>
      <c r="M86" s="32" t="str">
        <f>IFERROR(__xludf.DUMMYFUNCTION("IFERROR(INDEX(FILTER('OLT DOWN Tickets'!$F:$F, REGEXMATCH('OLT DOWN Tickets'!$AB:$AB, ""(?i)""&amp;TRIM(D86)), 'OLT DOWN Tickets'!$L:$L=""OLT SERVICE DEGRADATION""), 1), """")
"),"")</f>
        <v/>
      </c>
      <c r="N86" s="6" t="b">
        <v>0</v>
      </c>
      <c r="O86" s="6" t="b">
        <v>0</v>
      </c>
      <c r="P86" s="6" t="b">
        <v>0</v>
      </c>
      <c r="Q86" s="6" t="b">
        <v>0</v>
      </c>
      <c r="R86" s="6"/>
      <c r="S86" s="6"/>
      <c r="T86" s="6"/>
      <c r="U86" s="6"/>
    </row>
    <row r="87">
      <c r="A87" s="19"/>
      <c r="B87" s="26" t="s">
        <v>161</v>
      </c>
      <c r="C87" s="26" t="s">
        <v>236</v>
      </c>
      <c r="D87" s="27" t="s">
        <v>238</v>
      </c>
      <c r="E87" s="6" t="b">
        <f t="shared" si="1"/>
        <v>1</v>
      </c>
      <c r="F87" s="6" t="b">
        <f>COUNTIFS('OLT DOWN Tickets'!$AB:$AB, "*" &amp; D87 &amp; "*", 'OLT DOWN Tickets'!$L:$L, "OLT DOWN") &gt; 0</f>
        <v>0</v>
      </c>
      <c r="G87" s="6" t="b">
        <f>COUNTIFS('OLT DOWN Tickets'!$AB:$AB, "*" &amp; D87 &amp; "*", 'OLT DOWN Tickets'!$L:$L, "OLT UPLINK LOW POWER") &gt; 0</f>
        <v>0</v>
      </c>
      <c r="H87" s="6" t="b">
        <f>COUNTIFS('OLT DOWN Tickets'!$AB:$AB, "*" &amp; D87 &amp; "*", 'OLT DOWN Tickets'!$L:$L, "OLT UPLINK DOWN") &gt; 0</f>
        <v>0</v>
      </c>
      <c r="I87" s="6" t="b">
        <f>COUNTIFS('OLT DOWN Tickets'!$AB:$AB, "*" &amp; D87 &amp; "*", 'OLT DOWN Tickets'!$L:$L, "OLT SERVICE DEGRADATION") &gt; 0</f>
        <v>0</v>
      </c>
      <c r="J87" s="32" t="str">
        <f>IFERROR(__xludf.DUMMYFUNCTION("IFERROR(INDEX(FILTER('OLT DOWN Tickets'!$F:$F, REGEXMATCH('OLT DOWN Tickets'!$AB:$AB, ""(?i)""&amp;TRIM(D87)), 'OLT DOWN Tickets'!$L:$L=""OLT DOWN""), 1), """")"),"")</f>
        <v/>
      </c>
      <c r="K87" s="32" t="str">
        <f>IFERROR(__xludf.DUMMYFUNCTION("IFERROR(INDEX(FILTER('OLT DOWN Tickets'!$F:$F, REGEXMATCH('OLT DOWN Tickets'!$AB:$AB, ""(?i)""&amp;TRIM(D87)), 'OLT DOWN Tickets'!$L:$L=""OLT UPLINK LOW POWER""), 1), """")"),"")</f>
        <v/>
      </c>
      <c r="L87" s="32" t="str">
        <f>IFERROR(__xludf.DUMMYFUNCTION("IFERROR(INDEX(FILTER('OLT DOWN Tickets'!$F:$F, REGEXMATCH('OLT DOWN Tickets'!$AB:$AB, ""(?i)""&amp;TRIM(D87)), 'OLT DOWN Tickets'!$L:$L=""OLT UPLINK DOWN""), 1), """")"),"")</f>
        <v/>
      </c>
      <c r="M87" s="32" t="str">
        <f>IFERROR(__xludf.DUMMYFUNCTION("IFERROR(INDEX(FILTER('OLT DOWN Tickets'!$F:$F, REGEXMATCH('OLT DOWN Tickets'!$AB:$AB, ""(?i)""&amp;TRIM(D87)), 'OLT DOWN Tickets'!$L:$L=""OLT SERVICE DEGRADATION""), 1), """")
"),"")</f>
        <v/>
      </c>
      <c r="N87" s="6" t="b">
        <v>0</v>
      </c>
      <c r="O87" s="6" t="b">
        <v>0</v>
      </c>
      <c r="P87" s="6" t="b">
        <v>0</v>
      </c>
      <c r="Q87" s="6" t="b">
        <v>0</v>
      </c>
      <c r="R87" s="6"/>
      <c r="S87" s="6"/>
      <c r="T87" s="6"/>
      <c r="U87" s="6"/>
    </row>
    <row r="88">
      <c r="A88" s="19"/>
      <c r="B88" s="26" t="s">
        <v>161</v>
      </c>
      <c r="C88" s="26" t="s">
        <v>236</v>
      </c>
      <c r="D88" s="27" t="s">
        <v>239</v>
      </c>
      <c r="E88" s="6" t="b">
        <f t="shared" si="1"/>
        <v>1</v>
      </c>
      <c r="F88" s="6" t="b">
        <f>COUNTIFS('OLT DOWN Tickets'!$AB:$AB, "*" &amp; D88 &amp; "*", 'OLT DOWN Tickets'!$L:$L, "OLT DOWN") &gt; 0</f>
        <v>0</v>
      </c>
      <c r="G88" s="6" t="b">
        <f>COUNTIFS('OLT DOWN Tickets'!$AB:$AB, "*" &amp; D88 &amp; "*", 'OLT DOWN Tickets'!$L:$L, "OLT UPLINK LOW POWER") &gt; 0</f>
        <v>0</v>
      </c>
      <c r="H88" s="6" t="b">
        <f>COUNTIFS('OLT DOWN Tickets'!$AB:$AB, "*" &amp; D88 &amp; "*", 'OLT DOWN Tickets'!$L:$L, "OLT UPLINK DOWN") &gt; 0</f>
        <v>0</v>
      </c>
      <c r="I88" s="6" t="b">
        <f>COUNTIFS('OLT DOWN Tickets'!$AB:$AB, "*" &amp; D88 &amp; "*", 'OLT DOWN Tickets'!$L:$L, "OLT SERVICE DEGRADATION") &gt; 0</f>
        <v>0</v>
      </c>
      <c r="J88" s="32" t="str">
        <f>IFERROR(__xludf.DUMMYFUNCTION("IFERROR(INDEX(FILTER('OLT DOWN Tickets'!$F:$F, REGEXMATCH('OLT DOWN Tickets'!$AB:$AB, ""(?i)""&amp;TRIM(D88)), 'OLT DOWN Tickets'!$L:$L=""OLT DOWN""), 1), """")"),"")</f>
        <v/>
      </c>
      <c r="K88" s="32" t="str">
        <f>IFERROR(__xludf.DUMMYFUNCTION("IFERROR(INDEX(FILTER('OLT DOWN Tickets'!$F:$F, REGEXMATCH('OLT DOWN Tickets'!$AB:$AB, ""(?i)""&amp;TRIM(D88)), 'OLT DOWN Tickets'!$L:$L=""OLT UPLINK LOW POWER""), 1), """")"),"")</f>
        <v/>
      </c>
      <c r="L88" s="32" t="str">
        <f>IFERROR(__xludf.DUMMYFUNCTION("IFERROR(INDEX(FILTER('OLT DOWN Tickets'!$F:$F, REGEXMATCH('OLT DOWN Tickets'!$AB:$AB, ""(?i)""&amp;TRIM(D88)), 'OLT DOWN Tickets'!$L:$L=""OLT UPLINK DOWN""), 1), """")"),"")</f>
        <v/>
      </c>
      <c r="M88" s="32" t="str">
        <f>IFERROR(__xludf.DUMMYFUNCTION("IFERROR(INDEX(FILTER('OLT DOWN Tickets'!$F:$F, REGEXMATCH('OLT DOWN Tickets'!$AB:$AB, ""(?i)""&amp;TRIM(D88)), 'OLT DOWN Tickets'!$L:$L=""OLT SERVICE DEGRADATION""), 1), """")
"),"")</f>
        <v/>
      </c>
      <c r="N88" s="6" t="b">
        <v>0</v>
      </c>
      <c r="O88" s="6" t="b">
        <v>0</v>
      </c>
      <c r="P88" s="6" t="b">
        <v>0</v>
      </c>
      <c r="Q88" s="6" t="b">
        <v>0</v>
      </c>
      <c r="R88" s="6"/>
      <c r="S88" s="6"/>
      <c r="T88" s="6"/>
      <c r="U88" s="6"/>
    </row>
    <row r="89">
      <c r="A89" s="19"/>
      <c r="B89" s="26" t="s">
        <v>161</v>
      </c>
      <c r="C89" s="26" t="s">
        <v>236</v>
      </c>
      <c r="D89" s="27" t="s">
        <v>240</v>
      </c>
      <c r="E89" s="6" t="b">
        <f t="shared" si="1"/>
        <v>1</v>
      </c>
      <c r="F89" s="6" t="b">
        <f>COUNTIFS('OLT DOWN Tickets'!$AB:$AB, "*" &amp; D89 &amp; "*", 'OLT DOWN Tickets'!$L:$L, "OLT DOWN") &gt; 0</f>
        <v>0</v>
      </c>
      <c r="G89" s="6" t="b">
        <f>COUNTIFS('OLT DOWN Tickets'!$AB:$AB, "*" &amp; D89 &amp; "*", 'OLT DOWN Tickets'!$L:$L, "OLT UPLINK LOW POWER") &gt; 0</f>
        <v>0</v>
      </c>
      <c r="H89" s="6" t="b">
        <f>COUNTIFS('OLT DOWN Tickets'!$AB:$AB, "*" &amp; D89 &amp; "*", 'OLT DOWN Tickets'!$L:$L, "OLT UPLINK DOWN") &gt; 0</f>
        <v>0</v>
      </c>
      <c r="I89" s="6" t="b">
        <f>COUNTIFS('OLT DOWN Tickets'!$AB:$AB, "*" &amp; D89 &amp; "*", 'OLT DOWN Tickets'!$L:$L, "OLT SERVICE DEGRADATION") &gt; 0</f>
        <v>0</v>
      </c>
      <c r="J89" s="32" t="str">
        <f>IFERROR(__xludf.DUMMYFUNCTION("IFERROR(INDEX(FILTER('OLT DOWN Tickets'!$F:$F, REGEXMATCH('OLT DOWN Tickets'!$AB:$AB, ""(?i)""&amp;TRIM(D89)), 'OLT DOWN Tickets'!$L:$L=""OLT DOWN""), 1), """")"),"")</f>
        <v/>
      </c>
      <c r="K89" s="32" t="str">
        <f>IFERROR(__xludf.DUMMYFUNCTION("IFERROR(INDEX(FILTER('OLT DOWN Tickets'!$F:$F, REGEXMATCH('OLT DOWN Tickets'!$AB:$AB, ""(?i)""&amp;TRIM(D89)), 'OLT DOWN Tickets'!$L:$L=""OLT UPLINK LOW POWER""), 1), """")"),"")</f>
        <v/>
      </c>
      <c r="L89" s="32" t="str">
        <f>IFERROR(__xludf.DUMMYFUNCTION("IFERROR(INDEX(FILTER('OLT DOWN Tickets'!$F:$F, REGEXMATCH('OLT DOWN Tickets'!$AB:$AB, ""(?i)""&amp;TRIM(D89)), 'OLT DOWN Tickets'!$L:$L=""OLT UPLINK DOWN""), 1), """")"),"")</f>
        <v/>
      </c>
      <c r="M89" s="32" t="str">
        <f>IFERROR(__xludf.DUMMYFUNCTION("IFERROR(INDEX(FILTER('OLT DOWN Tickets'!$F:$F, REGEXMATCH('OLT DOWN Tickets'!$AB:$AB, ""(?i)""&amp;TRIM(D89)), 'OLT DOWN Tickets'!$L:$L=""OLT SERVICE DEGRADATION""), 1), """")
"),"")</f>
        <v/>
      </c>
      <c r="N89" s="6" t="b">
        <v>0</v>
      </c>
      <c r="O89" s="6" t="b">
        <v>0</v>
      </c>
      <c r="P89" s="6" t="b">
        <v>0</v>
      </c>
      <c r="Q89" s="6" t="b">
        <v>0</v>
      </c>
      <c r="R89" s="6"/>
      <c r="S89" s="6"/>
      <c r="T89" s="6"/>
      <c r="U89" s="6"/>
    </row>
    <row r="90">
      <c r="A90" s="19"/>
      <c r="B90" s="26" t="s">
        <v>161</v>
      </c>
      <c r="C90" s="26" t="s">
        <v>241</v>
      </c>
      <c r="D90" s="27" t="s">
        <v>242</v>
      </c>
      <c r="E90" s="6" t="b">
        <f t="shared" si="1"/>
        <v>1</v>
      </c>
      <c r="F90" s="6" t="b">
        <f>COUNTIFS('OLT DOWN Tickets'!$AB:$AB, "*" &amp; D90 &amp; "*", 'OLT DOWN Tickets'!$L:$L, "OLT DOWN") &gt; 0</f>
        <v>0</v>
      </c>
      <c r="G90" s="6" t="b">
        <f>COUNTIFS('OLT DOWN Tickets'!$AB:$AB, "*" &amp; D90 &amp; "*", 'OLT DOWN Tickets'!$L:$L, "OLT UPLINK LOW POWER") &gt; 0</f>
        <v>0</v>
      </c>
      <c r="H90" s="6" t="b">
        <f>COUNTIFS('OLT DOWN Tickets'!$AB:$AB, "*" &amp; D90 &amp; "*", 'OLT DOWN Tickets'!$L:$L, "OLT UPLINK DOWN") &gt; 0</f>
        <v>0</v>
      </c>
      <c r="I90" s="6" t="b">
        <f>COUNTIFS('OLT DOWN Tickets'!$AB:$AB, "*" &amp; D90 &amp; "*", 'OLT DOWN Tickets'!$L:$L, "OLT SERVICE DEGRADATION") &gt; 0</f>
        <v>0</v>
      </c>
      <c r="J90" s="32" t="str">
        <f>IFERROR(__xludf.DUMMYFUNCTION("IFERROR(INDEX(FILTER('OLT DOWN Tickets'!$F:$F, REGEXMATCH('OLT DOWN Tickets'!$AB:$AB, ""(?i)""&amp;TRIM(D90)), 'OLT DOWN Tickets'!$L:$L=""OLT DOWN""), 1), """")"),"")</f>
        <v/>
      </c>
      <c r="K90" s="32" t="str">
        <f>IFERROR(__xludf.DUMMYFUNCTION("IFERROR(INDEX(FILTER('OLT DOWN Tickets'!$F:$F, REGEXMATCH('OLT DOWN Tickets'!$AB:$AB, ""(?i)""&amp;TRIM(D90)), 'OLT DOWN Tickets'!$L:$L=""OLT UPLINK LOW POWER""), 1), """")"),"")</f>
        <v/>
      </c>
      <c r="L90" s="32" t="str">
        <f>IFERROR(__xludf.DUMMYFUNCTION("IFERROR(INDEX(FILTER('OLT DOWN Tickets'!$F:$F, REGEXMATCH('OLT DOWN Tickets'!$AB:$AB, ""(?i)""&amp;TRIM(D90)), 'OLT DOWN Tickets'!$L:$L=""OLT UPLINK DOWN""), 1), """")"),"")</f>
        <v/>
      </c>
      <c r="M90" s="32" t="str">
        <f>IFERROR(__xludf.DUMMYFUNCTION("IFERROR(INDEX(FILTER('OLT DOWN Tickets'!$F:$F, REGEXMATCH('OLT DOWN Tickets'!$AB:$AB, ""(?i)""&amp;TRIM(D90)), 'OLT DOWN Tickets'!$L:$L=""OLT SERVICE DEGRADATION""), 1), """")
"),"")</f>
        <v/>
      </c>
      <c r="N90" s="6" t="b">
        <v>0</v>
      </c>
      <c r="O90" s="6" t="b">
        <v>0</v>
      </c>
      <c r="P90" s="6" t="b">
        <v>0</v>
      </c>
      <c r="Q90" s="6" t="b">
        <v>0</v>
      </c>
      <c r="R90" s="6"/>
      <c r="S90" s="6"/>
      <c r="T90" s="6"/>
      <c r="U90" s="6"/>
    </row>
    <row r="91">
      <c r="A91" s="19"/>
      <c r="B91" s="26" t="s">
        <v>161</v>
      </c>
      <c r="C91" s="26" t="s">
        <v>243</v>
      </c>
      <c r="D91" s="27" t="s">
        <v>244</v>
      </c>
      <c r="E91" s="6" t="b">
        <f t="shared" si="1"/>
        <v>1</v>
      </c>
      <c r="F91" s="6" t="b">
        <f>COUNTIFS('OLT DOWN Tickets'!$AB:$AB, "*" &amp; D91 &amp; "*", 'OLT DOWN Tickets'!$L:$L, "OLT DOWN") &gt; 0</f>
        <v>0</v>
      </c>
      <c r="G91" s="6" t="b">
        <f>COUNTIFS('OLT DOWN Tickets'!$AB:$AB, "*" &amp; D91 &amp; "*", 'OLT DOWN Tickets'!$L:$L, "OLT UPLINK LOW POWER") &gt; 0</f>
        <v>0</v>
      </c>
      <c r="H91" s="6" t="b">
        <f>COUNTIFS('OLT DOWN Tickets'!$AB:$AB, "*" &amp; D91 &amp; "*", 'OLT DOWN Tickets'!$L:$L, "OLT UPLINK DOWN") &gt; 0</f>
        <v>0</v>
      </c>
      <c r="I91" s="6" t="b">
        <f>COUNTIFS('OLT DOWN Tickets'!$AB:$AB, "*" &amp; D91 &amp; "*", 'OLT DOWN Tickets'!$L:$L, "OLT SERVICE DEGRADATION") &gt; 0</f>
        <v>0</v>
      </c>
      <c r="J91" s="32" t="str">
        <f>IFERROR(__xludf.DUMMYFUNCTION("IFERROR(INDEX(FILTER('OLT DOWN Tickets'!$F:$F, REGEXMATCH('OLT DOWN Tickets'!$AB:$AB, ""(?i)""&amp;TRIM(D91)), 'OLT DOWN Tickets'!$L:$L=""OLT DOWN""), 1), """")"),"")</f>
        <v/>
      </c>
      <c r="K91" s="32" t="str">
        <f>IFERROR(__xludf.DUMMYFUNCTION("IFERROR(INDEX(FILTER('OLT DOWN Tickets'!$F:$F, REGEXMATCH('OLT DOWN Tickets'!$AB:$AB, ""(?i)""&amp;TRIM(D91)), 'OLT DOWN Tickets'!$L:$L=""OLT UPLINK LOW POWER""), 1), """")"),"")</f>
        <v/>
      </c>
      <c r="L91" s="32" t="str">
        <f>IFERROR(__xludf.DUMMYFUNCTION("IFERROR(INDEX(FILTER('OLT DOWN Tickets'!$F:$F, REGEXMATCH('OLT DOWN Tickets'!$AB:$AB, ""(?i)""&amp;TRIM(D91)), 'OLT DOWN Tickets'!$L:$L=""OLT UPLINK DOWN""), 1), """")"),"")</f>
        <v/>
      </c>
      <c r="M91" s="32" t="str">
        <f>IFERROR(__xludf.DUMMYFUNCTION("IFERROR(INDEX(FILTER('OLT DOWN Tickets'!$F:$F, REGEXMATCH('OLT DOWN Tickets'!$AB:$AB, ""(?i)""&amp;TRIM(D91)), 'OLT DOWN Tickets'!$L:$L=""OLT SERVICE DEGRADATION""), 1), """")
"),"")</f>
        <v/>
      </c>
      <c r="N91" s="6" t="b">
        <v>0</v>
      </c>
      <c r="O91" s="6" t="b">
        <v>0</v>
      </c>
      <c r="P91" s="6" t="b">
        <v>0</v>
      </c>
      <c r="Q91" s="6" t="b">
        <v>0</v>
      </c>
      <c r="R91" s="6"/>
      <c r="S91" s="6"/>
      <c r="T91" s="6"/>
      <c r="U91" s="6"/>
    </row>
    <row r="92">
      <c r="A92" s="19"/>
      <c r="B92" s="26" t="s">
        <v>161</v>
      </c>
      <c r="C92" s="26" t="s">
        <v>243</v>
      </c>
      <c r="D92" s="27" t="s">
        <v>245</v>
      </c>
      <c r="E92" s="6" t="b">
        <f t="shared" si="1"/>
        <v>1</v>
      </c>
      <c r="F92" s="6" t="b">
        <f>COUNTIFS('OLT DOWN Tickets'!$AB:$AB, "*" &amp; D92 &amp; "*", 'OLT DOWN Tickets'!$L:$L, "OLT DOWN") &gt; 0</f>
        <v>0</v>
      </c>
      <c r="G92" s="6" t="b">
        <f>COUNTIFS('OLT DOWN Tickets'!$AB:$AB, "*" &amp; D92 &amp; "*", 'OLT DOWN Tickets'!$L:$L, "OLT UPLINK LOW POWER") &gt; 0</f>
        <v>0</v>
      </c>
      <c r="H92" s="6" t="b">
        <f>COUNTIFS('OLT DOWN Tickets'!$AB:$AB, "*" &amp; D92 &amp; "*", 'OLT DOWN Tickets'!$L:$L, "OLT UPLINK DOWN") &gt; 0</f>
        <v>0</v>
      </c>
      <c r="I92" s="6" t="b">
        <f>COUNTIFS('OLT DOWN Tickets'!$AB:$AB, "*" &amp; D92 &amp; "*", 'OLT DOWN Tickets'!$L:$L, "OLT SERVICE DEGRADATION") &gt; 0</f>
        <v>0</v>
      </c>
      <c r="J92" s="32" t="str">
        <f>IFERROR(__xludf.DUMMYFUNCTION("IFERROR(INDEX(FILTER('OLT DOWN Tickets'!$F:$F, REGEXMATCH('OLT DOWN Tickets'!$AB:$AB, ""(?i)""&amp;TRIM(D92)), 'OLT DOWN Tickets'!$L:$L=""OLT DOWN""), 1), """")"),"")</f>
        <v/>
      </c>
      <c r="K92" s="32" t="str">
        <f>IFERROR(__xludf.DUMMYFUNCTION("IFERROR(INDEX(FILTER('OLT DOWN Tickets'!$F:$F, REGEXMATCH('OLT DOWN Tickets'!$AB:$AB, ""(?i)""&amp;TRIM(D92)), 'OLT DOWN Tickets'!$L:$L=""OLT UPLINK LOW POWER""), 1), """")"),"")</f>
        <v/>
      </c>
      <c r="L92" s="32" t="str">
        <f>IFERROR(__xludf.DUMMYFUNCTION("IFERROR(INDEX(FILTER('OLT DOWN Tickets'!$F:$F, REGEXMATCH('OLT DOWN Tickets'!$AB:$AB, ""(?i)""&amp;TRIM(D92)), 'OLT DOWN Tickets'!$L:$L=""OLT UPLINK DOWN""), 1), """")"),"")</f>
        <v/>
      </c>
      <c r="M92" s="32" t="str">
        <f>IFERROR(__xludf.DUMMYFUNCTION("IFERROR(INDEX(FILTER('OLT DOWN Tickets'!$F:$F, REGEXMATCH('OLT DOWN Tickets'!$AB:$AB, ""(?i)""&amp;TRIM(D92)), 'OLT DOWN Tickets'!$L:$L=""OLT SERVICE DEGRADATION""), 1), """")
"),"")</f>
        <v/>
      </c>
      <c r="N92" s="6" t="b">
        <v>0</v>
      </c>
      <c r="O92" s="6" t="b">
        <v>0</v>
      </c>
      <c r="P92" s="6" t="b">
        <v>0</v>
      </c>
      <c r="Q92" s="6" t="b">
        <v>0</v>
      </c>
      <c r="R92" s="6"/>
      <c r="S92" s="6"/>
      <c r="T92" s="6"/>
      <c r="U92" s="6"/>
    </row>
    <row r="93">
      <c r="A93" s="19"/>
      <c r="B93" s="26" t="s">
        <v>161</v>
      </c>
      <c r="C93" s="26" t="s">
        <v>246</v>
      </c>
      <c r="D93" s="27" t="s">
        <v>247</v>
      </c>
      <c r="E93" s="6" t="b">
        <f t="shared" si="1"/>
        <v>1</v>
      </c>
      <c r="F93" s="6" t="b">
        <f>COUNTIFS('OLT DOWN Tickets'!$AB:$AB, "*" &amp; D93 &amp; "*", 'OLT DOWN Tickets'!$L:$L, "OLT DOWN") &gt; 0</f>
        <v>0</v>
      </c>
      <c r="G93" s="6" t="b">
        <f>COUNTIFS('OLT DOWN Tickets'!$AB:$AB, "*" &amp; D93 &amp; "*", 'OLT DOWN Tickets'!$L:$L, "OLT UPLINK LOW POWER") &gt; 0</f>
        <v>0</v>
      </c>
      <c r="H93" s="6" t="b">
        <f>COUNTIFS('OLT DOWN Tickets'!$AB:$AB, "*" &amp; D93 &amp; "*", 'OLT DOWN Tickets'!$L:$L, "OLT UPLINK DOWN") &gt; 0</f>
        <v>0</v>
      </c>
      <c r="I93" s="6" t="b">
        <f>COUNTIFS('OLT DOWN Tickets'!$AB:$AB, "*" &amp; D93 &amp; "*", 'OLT DOWN Tickets'!$L:$L, "OLT SERVICE DEGRADATION") &gt; 0</f>
        <v>0</v>
      </c>
      <c r="J93" s="32" t="str">
        <f>IFERROR(__xludf.DUMMYFUNCTION("IFERROR(INDEX(FILTER('OLT DOWN Tickets'!$F:$F, REGEXMATCH('OLT DOWN Tickets'!$AB:$AB, ""(?i)""&amp;TRIM(D93)), 'OLT DOWN Tickets'!$L:$L=""OLT DOWN""), 1), """")"),"")</f>
        <v/>
      </c>
      <c r="K93" s="32" t="str">
        <f>IFERROR(__xludf.DUMMYFUNCTION("IFERROR(INDEX(FILTER('OLT DOWN Tickets'!$F:$F, REGEXMATCH('OLT DOWN Tickets'!$AB:$AB, ""(?i)""&amp;TRIM(D93)), 'OLT DOWN Tickets'!$L:$L=""OLT UPLINK LOW POWER""), 1), """")"),"")</f>
        <v/>
      </c>
      <c r="L93" s="32" t="str">
        <f>IFERROR(__xludf.DUMMYFUNCTION("IFERROR(INDEX(FILTER('OLT DOWN Tickets'!$F:$F, REGEXMATCH('OLT DOWN Tickets'!$AB:$AB, ""(?i)""&amp;TRIM(D93)), 'OLT DOWN Tickets'!$L:$L=""OLT UPLINK DOWN""), 1), """")"),"")</f>
        <v/>
      </c>
      <c r="M93" s="32" t="str">
        <f>IFERROR(__xludf.DUMMYFUNCTION("IFERROR(INDEX(FILTER('OLT DOWN Tickets'!$F:$F, REGEXMATCH('OLT DOWN Tickets'!$AB:$AB, ""(?i)""&amp;TRIM(D93)), 'OLT DOWN Tickets'!$L:$L=""OLT SERVICE DEGRADATION""), 1), """")
"),"")</f>
        <v/>
      </c>
      <c r="N93" s="6" t="b">
        <v>0</v>
      </c>
      <c r="O93" s="6" t="b">
        <v>0</v>
      </c>
      <c r="P93" s="6" t="b">
        <v>0</v>
      </c>
      <c r="Q93" s="6" t="b">
        <v>0</v>
      </c>
      <c r="R93" s="6"/>
      <c r="S93" s="6"/>
      <c r="T93" s="6"/>
      <c r="U93" s="6"/>
    </row>
    <row r="94">
      <c r="A94" s="19"/>
      <c r="B94" s="26" t="s">
        <v>161</v>
      </c>
      <c r="C94" s="26" t="s">
        <v>246</v>
      </c>
      <c r="D94" s="27" t="s">
        <v>248</v>
      </c>
      <c r="E94" s="6" t="b">
        <f t="shared" si="1"/>
        <v>1</v>
      </c>
      <c r="F94" s="6" t="b">
        <f>COUNTIFS('OLT DOWN Tickets'!$AB:$AB, "*" &amp; D94 &amp; "*", 'OLT DOWN Tickets'!$L:$L, "OLT DOWN") &gt; 0</f>
        <v>0</v>
      </c>
      <c r="G94" s="6" t="b">
        <f>COUNTIFS('OLT DOWN Tickets'!$AB:$AB, "*" &amp; D94 &amp; "*", 'OLT DOWN Tickets'!$L:$L, "OLT UPLINK LOW POWER") &gt; 0</f>
        <v>0</v>
      </c>
      <c r="H94" s="6" t="b">
        <f>COUNTIFS('OLT DOWN Tickets'!$AB:$AB, "*" &amp; D94 &amp; "*", 'OLT DOWN Tickets'!$L:$L, "OLT UPLINK DOWN") &gt; 0</f>
        <v>0</v>
      </c>
      <c r="I94" s="6" t="b">
        <f>COUNTIFS('OLT DOWN Tickets'!$AB:$AB, "*" &amp; D94 &amp; "*", 'OLT DOWN Tickets'!$L:$L, "OLT SERVICE DEGRADATION") &gt; 0</f>
        <v>0</v>
      </c>
      <c r="J94" s="32" t="str">
        <f>IFERROR(__xludf.DUMMYFUNCTION("IFERROR(INDEX(FILTER('OLT DOWN Tickets'!$F:$F, REGEXMATCH('OLT DOWN Tickets'!$AB:$AB, ""(?i)""&amp;TRIM(D94)), 'OLT DOWN Tickets'!$L:$L=""OLT DOWN""), 1), """")"),"")</f>
        <v/>
      </c>
      <c r="K94" s="32" t="str">
        <f>IFERROR(__xludf.DUMMYFUNCTION("IFERROR(INDEX(FILTER('OLT DOWN Tickets'!$F:$F, REGEXMATCH('OLT DOWN Tickets'!$AB:$AB, ""(?i)""&amp;TRIM(D94)), 'OLT DOWN Tickets'!$L:$L=""OLT UPLINK LOW POWER""), 1), """")"),"")</f>
        <v/>
      </c>
      <c r="L94" s="32" t="str">
        <f>IFERROR(__xludf.DUMMYFUNCTION("IFERROR(INDEX(FILTER('OLT DOWN Tickets'!$F:$F, REGEXMATCH('OLT DOWN Tickets'!$AB:$AB, ""(?i)""&amp;TRIM(D94)), 'OLT DOWN Tickets'!$L:$L=""OLT UPLINK DOWN""), 1), """")"),"")</f>
        <v/>
      </c>
      <c r="M94" s="32" t="str">
        <f>IFERROR(__xludf.DUMMYFUNCTION("IFERROR(INDEX(FILTER('OLT DOWN Tickets'!$F:$F, REGEXMATCH('OLT DOWN Tickets'!$AB:$AB, ""(?i)""&amp;TRIM(D94)), 'OLT DOWN Tickets'!$L:$L=""OLT SERVICE DEGRADATION""), 1), """")
"),"")</f>
        <v/>
      </c>
      <c r="N94" s="6" t="b">
        <v>0</v>
      </c>
      <c r="O94" s="6" t="b">
        <v>0</v>
      </c>
      <c r="P94" s="6" t="b">
        <v>0</v>
      </c>
      <c r="Q94" s="6" t="b">
        <v>0</v>
      </c>
      <c r="R94" s="6"/>
      <c r="S94" s="6"/>
      <c r="T94" s="6"/>
      <c r="U94" s="6"/>
    </row>
    <row r="95">
      <c r="A95" s="19"/>
      <c r="B95" s="26" t="s">
        <v>161</v>
      </c>
      <c r="C95" s="26" t="s">
        <v>249</v>
      </c>
      <c r="D95" s="27" t="s">
        <v>250</v>
      </c>
      <c r="E95" s="6" t="b">
        <f t="shared" si="1"/>
        <v>1</v>
      </c>
      <c r="F95" s="6" t="b">
        <f>COUNTIFS('OLT DOWN Tickets'!$AB:$AB, "*" &amp; D95 &amp; "*", 'OLT DOWN Tickets'!$L:$L, "OLT DOWN") &gt; 0</f>
        <v>0</v>
      </c>
      <c r="G95" s="6" t="b">
        <f>COUNTIFS('OLT DOWN Tickets'!$AB:$AB, "*" &amp; D95 &amp; "*", 'OLT DOWN Tickets'!$L:$L, "OLT UPLINK LOW POWER") &gt; 0</f>
        <v>0</v>
      </c>
      <c r="H95" s="6" t="b">
        <f>COUNTIFS('OLT DOWN Tickets'!$AB:$AB, "*" &amp; D95 &amp; "*", 'OLT DOWN Tickets'!$L:$L, "OLT UPLINK DOWN") &gt; 0</f>
        <v>0</v>
      </c>
      <c r="I95" s="6" t="b">
        <f>COUNTIFS('OLT DOWN Tickets'!$AB:$AB, "*" &amp; D95 &amp; "*", 'OLT DOWN Tickets'!$L:$L, "OLT SERVICE DEGRADATION") &gt; 0</f>
        <v>0</v>
      </c>
      <c r="J95" s="32" t="str">
        <f>IFERROR(__xludf.DUMMYFUNCTION("IFERROR(INDEX(FILTER('OLT DOWN Tickets'!$F:$F, REGEXMATCH('OLT DOWN Tickets'!$AB:$AB, ""(?i)""&amp;TRIM(D95)), 'OLT DOWN Tickets'!$L:$L=""OLT DOWN""), 1), """")"),"")</f>
        <v/>
      </c>
      <c r="K95" s="32" t="str">
        <f>IFERROR(__xludf.DUMMYFUNCTION("IFERROR(INDEX(FILTER('OLT DOWN Tickets'!$F:$F, REGEXMATCH('OLT DOWN Tickets'!$AB:$AB, ""(?i)""&amp;TRIM(D95)), 'OLT DOWN Tickets'!$L:$L=""OLT UPLINK LOW POWER""), 1), """")"),"")</f>
        <v/>
      </c>
      <c r="L95" s="32" t="str">
        <f>IFERROR(__xludf.DUMMYFUNCTION("IFERROR(INDEX(FILTER('OLT DOWN Tickets'!$F:$F, REGEXMATCH('OLT DOWN Tickets'!$AB:$AB, ""(?i)""&amp;TRIM(D95)), 'OLT DOWN Tickets'!$L:$L=""OLT UPLINK DOWN""), 1), """")"),"")</f>
        <v/>
      </c>
      <c r="M95" s="32" t="str">
        <f>IFERROR(__xludf.DUMMYFUNCTION("IFERROR(INDEX(FILTER('OLT DOWN Tickets'!$F:$F, REGEXMATCH('OLT DOWN Tickets'!$AB:$AB, ""(?i)""&amp;TRIM(D95)), 'OLT DOWN Tickets'!$L:$L=""OLT SERVICE DEGRADATION""), 1), """")
"),"")</f>
        <v/>
      </c>
      <c r="N95" s="6" t="b">
        <v>0</v>
      </c>
      <c r="O95" s="6" t="b">
        <v>0</v>
      </c>
      <c r="P95" s="6" t="b">
        <v>0</v>
      </c>
      <c r="Q95" s="6" t="b">
        <v>0</v>
      </c>
      <c r="R95" s="6"/>
      <c r="S95" s="6"/>
      <c r="T95" s="6"/>
      <c r="U95" s="6"/>
    </row>
    <row r="96">
      <c r="A96" s="19"/>
      <c r="B96" s="26" t="s">
        <v>161</v>
      </c>
      <c r="C96" s="26" t="s">
        <v>251</v>
      </c>
      <c r="D96" s="27" t="s">
        <v>252</v>
      </c>
      <c r="E96" s="6" t="b">
        <f t="shared" si="1"/>
        <v>1</v>
      </c>
      <c r="F96" s="6" t="b">
        <f>COUNTIFS('OLT DOWN Tickets'!$AB:$AB, "*" &amp; D96 &amp; "*", 'OLT DOWN Tickets'!$L:$L, "OLT DOWN") &gt; 0</f>
        <v>0</v>
      </c>
      <c r="G96" s="6" t="b">
        <f>COUNTIFS('OLT DOWN Tickets'!$AB:$AB, "*" &amp; D96 &amp; "*", 'OLT DOWN Tickets'!$L:$L, "OLT UPLINK LOW POWER") &gt; 0</f>
        <v>0</v>
      </c>
      <c r="H96" s="6" t="b">
        <f>COUNTIFS('OLT DOWN Tickets'!$AB:$AB, "*" &amp; D96 &amp; "*", 'OLT DOWN Tickets'!$L:$L, "OLT UPLINK DOWN") &gt; 0</f>
        <v>0</v>
      </c>
      <c r="I96" s="6" t="b">
        <f>COUNTIFS('OLT DOWN Tickets'!$AB:$AB, "*" &amp; D96 &amp; "*", 'OLT DOWN Tickets'!$L:$L, "OLT SERVICE DEGRADATION") &gt; 0</f>
        <v>0</v>
      </c>
      <c r="J96" s="32" t="str">
        <f>IFERROR(__xludf.DUMMYFUNCTION("IFERROR(INDEX(FILTER('OLT DOWN Tickets'!$F:$F, REGEXMATCH('OLT DOWN Tickets'!$AB:$AB, ""(?i)""&amp;TRIM(D96)), 'OLT DOWN Tickets'!$L:$L=""OLT DOWN""), 1), """")"),"")</f>
        <v/>
      </c>
      <c r="K96" s="32" t="str">
        <f>IFERROR(__xludf.DUMMYFUNCTION("IFERROR(INDEX(FILTER('OLT DOWN Tickets'!$F:$F, REGEXMATCH('OLT DOWN Tickets'!$AB:$AB, ""(?i)""&amp;TRIM(D96)), 'OLT DOWN Tickets'!$L:$L=""OLT UPLINK LOW POWER""), 1), """")"),"")</f>
        <v/>
      </c>
      <c r="L96" s="32" t="str">
        <f>IFERROR(__xludf.DUMMYFUNCTION("IFERROR(INDEX(FILTER('OLT DOWN Tickets'!$F:$F, REGEXMATCH('OLT DOWN Tickets'!$AB:$AB, ""(?i)""&amp;TRIM(D96)), 'OLT DOWN Tickets'!$L:$L=""OLT UPLINK DOWN""), 1), """")"),"")</f>
        <v/>
      </c>
      <c r="M96" s="32" t="str">
        <f>IFERROR(__xludf.DUMMYFUNCTION("IFERROR(INDEX(FILTER('OLT DOWN Tickets'!$F:$F, REGEXMATCH('OLT DOWN Tickets'!$AB:$AB, ""(?i)""&amp;TRIM(D96)), 'OLT DOWN Tickets'!$L:$L=""OLT SERVICE DEGRADATION""), 1), """")
"),"")</f>
        <v/>
      </c>
      <c r="N96" s="6" t="b">
        <v>0</v>
      </c>
      <c r="O96" s="6" t="b">
        <v>0</v>
      </c>
      <c r="P96" s="6" t="b">
        <v>0</v>
      </c>
      <c r="Q96" s="6" t="b">
        <v>0</v>
      </c>
      <c r="R96" s="6"/>
      <c r="S96" s="6"/>
      <c r="T96" s="6"/>
      <c r="U96" s="6"/>
    </row>
    <row r="97">
      <c r="A97" s="19"/>
      <c r="B97" s="26" t="s">
        <v>161</v>
      </c>
      <c r="C97" s="26" t="s">
        <v>253</v>
      </c>
      <c r="D97" s="27" t="s">
        <v>254</v>
      </c>
      <c r="E97" s="6" t="b">
        <f t="shared" si="1"/>
        <v>1</v>
      </c>
      <c r="F97" s="6" t="b">
        <f>COUNTIFS('OLT DOWN Tickets'!$AB:$AB, "*" &amp; D97 &amp; "*", 'OLT DOWN Tickets'!$L:$L, "OLT DOWN") &gt; 0</f>
        <v>0</v>
      </c>
      <c r="G97" s="6" t="b">
        <f>COUNTIFS('OLT DOWN Tickets'!$AB:$AB, "*" &amp; D97 &amp; "*", 'OLT DOWN Tickets'!$L:$L, "OLT UPLINK LOW POWER") &gt; 0</f>
        <v>0</v>
      </c>
      <c r="H97" s="6" t="b">
        <f>COUNTIFS('OLT DOWN Tickets'!$AB:$AB, "*" &amp; D97 &amp; "*", 'OLT DOWN Tickets'!$L:$L, "OLT UPLINK DOWN") &gt; 0</f>
        <v>0</v>
      </c>
      <c r="I97" s="6" t="b">
        <f>COUNTIFS('OLT DOWN Tickets'!$AB:$AB, "*" &amp; D97 &amp; "*", 'OLT DOWN Tickets'!$L:$L, "OLT SERVICE DEGRADATION") &gt; 0</f>
        <v>0</v>
      </c>
      <c r="J97" s="32" t="str">
        <f>IFERROR(__xludf.DUMMYFUNCTION("IFERROR(INDEX(FILTER('OLT DOWN Tickets'!$F:$F, REGEXMATCH('OLT DOWN Tickets'!$AB:$AB, ""(?i)""&amp;TRIM(D97)), 'OLT DOWN Tickets'!$L:$L=""OLT DOWN""), 1), """")"),"")</f>
        <v/>
      </c>
      <c r="K97" s="32" t="str">
        <f>IFERROR(__xludf.DUMMYFUNCTION("IFERROR(INDEX(FILTER('OLT DOWN Tickets'!$F:$F, REGEXMATCH('OLT DOWN Tickets'!$AB:$AB, ""(?i)""&amp;TRIM(D97)), 'OLT DOWN Tickets'!$L:$L=""OLT UPLINK LOW POWER""), 1), """")"),"")</f>
        <v/>
      </c>
      <c r="L97" s="32" t="str">
        <f>IFERROR(__xludf.DUMMYFUNCTION("IFERROR(INDEX(FILTER('OLT DOWN Tickets'!$F:$F, REGEXMATCH('OLT DOWN Tickets'!$AB:$AB, ""(?i)""&amp;TRIM(D97)), 'OLT DOWN Tickets'!$L:$L=""OLT UPLINK DOWN""), 1), """")"),"")</f>
        <v/>
      </c>
      <c r="M97" s="32" t="str">
        <f>IFERROR(__xludf.DUMMYFUNCTION("IFERROR(INDEX(FILTER('OLT DOWN Tickets'!$F:$F, REGEXMATCH('OLT DOWN Tickets'!$AB:$AB, ""(?i)""&amp;TRIM(D97)), 'OLT DOWN Tickets'!$L:$L=""OLT SERVICE DEGRADATION""), 1), """")
"),"")</f>
        <v/>
      </c>
      <c r="N97" s="6" t="b">
        <v>0</v>
      </c>
      <c r="O97" s="6" t="b">
        <v>0</v>
      </c>
      <c r="P97" s="6" t="b">
        <v>0</v>
      </c>
      <c r="Q97" s="6" t="b">
        <v>0</v>
      </c>
      <c r="R97" s="6"/>
      <c r="S97" s="6"/>
      <c r="T97" s="6"/>
      <c r="U97" s="6"/>
    </row>
    <row r="98">
      <c r="A98" s="19"/>
      <c r="B98" s="26" t="s">
        <v>161</v>
      </c>
      <c r="C98" s="26" t="s">
        <v>253</v>
      </c>
      <c r="D98" s="27" t="s">
        <v>255</v>
      </c>
      <c r="E98" s="6" t="b">
        <f t="shared" si="1"/>
        <v>1</v>
      </c>
      <c r="F98" s="6" t="b">
        <f>COUNTIFS('OLT DOWN Tickets'!$AB:$AB, "*" &amp; D98 &amp; "*", 'OLT DOWN Tickets'!$L:$L, "OLT DOWN") &gt; 0</f>
        <v>0</v>
      </c>
      <c r="G98" s="6" t="b">
        <f>COUNTIFS('OLT DOWN Tickets'!$AB:$AB, "*" &amp; D98 &amp; "*", 'OLT DOWN Tickets'!$L:$L, "OLT UPLINK LOW POWER") &gt; 0</f>
        <v>0</v>
      </c>
      <c r="H98" s="6" t="b">
        <f>COUNTIFS('OLT DOWN Tickets'!$AB:$AB, "*" &amp; D98 &amp; "*", 'OLT DOWN Tickets'!$L:$L, "OLT UPLINK DOWN") &gt; 0</f>
        <v>0</v>
      </c>
      <c r="I98" s="6" t="b">
        <f>COUNTIFS('OLT DOWN Tickets'!$AB:$AB, "*" &amp; D98 &amp; "*", 'OLT DOWN Tickets'!$L:$L, "OLT SERVICE DEGRADATION") &gt; 0</f>
        <v>0</v>
      </c>
      <c r="J98" s="32" t="str">
        <f>IFERROR(__xludf.DUMMYFUNCTION("IFERROR(INDEX(FILTER('OLT DOWN Tickets'!$F:$F, REGEXMATCH('OLT DOWN Tickets'!$AB:$AB, ""(?i)""&amp;TRIM(D98)), 'OLT DOWN Tickets'!$L:$L=""OLT DOWN""), 1), """")"),"")</f>
        <v/>
      </c>
      <c r="K98" s="32" t="str">
        <f>IFERROR(__xludf.DUMMYFUNCTION("IFERROR(INDEX(FILTER('OLT DOWN Tickets'!$F:$F, REGEXMATCH('OLT DOWN Tickets'!$AB:$AB, ""(?i)""&amp;TRIM(D98)), 'OLT DOWN Tickets'!$L:$L=""OLT UPLINK LOW POWER""), 1), """")"),"")</f>
        <v/>
      </c>
      <c r="L98" s="32" t="str">
        <f>IFERROR(__xludf.DUMMYFUNCTION("IFERROR(INDEX(FILTER('OLT DOWN Tickets'!$F:$F, REGEXMATCH('OLT DOWN Tickets'!$AB:$AB, ""(?i)""&amp;TRIM(D98)), 'OLT DOWN Tickets'!$L:$L=""OLT UPLINK DOWN""), 1), """")"),"")</f>
        <v/>
      </c>
      <c r="M98" s="32" t="str">
        <f>IFERROR(__xludf.DUMMYFUNCTION("IFERROR(INDEX(FILTER('OLT DOWN Tickets'!$F:$F, REGEXMATCH('OLT DOWN Tickets'!$AB:$AB, ""(?i)""&amp;TRIM(D98)), 'OLT DOWN Tickets'!$L:$L=""OLT SERVICE DEGRADATION""), 1), """")
"),"")</f>
        <v/>
      </c>
      <c r="N98" s="6" t="b">
        <v>0</v>
      </c>
      <c r="O98" s="6" t="b">
        <v>0</v>
      </c>
      <c r="P98" s="6" t="b">
        <v>0</v>
      </c>
      <c r="Q98" s="6" t="b">
        <v>0</v>
      </c>
      <c r="R98" s="6"/>
      <c r="S98" s="6"/>
      <c r="T98" s="6"/>
      <c r="U98" s="6"/>
    </row>
    <row r="99">
      <c r="A99" s="19"/>
      <c r="B99" s="26" t="s">
        <v>161</v>
      </c>
      <c r="C99" s="26" t="s">
        <v>256</v>
      </c>
      <c r="D99" s="27" t="s">
        <v>257</v>
      </c>
      <c r="E99" s="6" t="b">
        <f t="shared" si="1"/>
        <v>1</v>
      </c>
      <c r="F99" s="6" t="b">
        <f>COUNTIFS('OLT DOWN Tickets'!$AB:$AB, "*" &amp; D99 &amp; "*", 'OLT DOWN Tickets'!$L:$L, "OLT DOWN") &gt; 0</f>
        <v>0</v>
      </c>
      <c r="G99" s="6" t="b">
        <f>COUNTIFS('OLT DOWN Tickets'!$AB:$AB, "*" &amp; D99 &amp; "*", 'OLT DOWN Tickets'!$L:$L, "OLT UPLINK LOW POWER") &gt; 0</f>
        <v>0</v>
      </c>
      <c r="H99" s="6" t="b">
        <f>COUNTIFS('OLT DOWN Tickets'!$AB:$AB, "*" &amp; D99 &amp; "*", 'OLT DOWN Tickets'!$L:$L, "OLT UPLINK DOWN") &gt; 0</f>
        <v>0</v>
      </c>
      <c r="I99" s="6" t="b">
        <f>COUNTIFS('OLT DOWN Tickets'!$AB:$AB, "*" &amp; D99 &amp; "*", 'OLT DOWN Tickets'!$L:$L, "OLT SERVICE DEGRADATION") &gt; 0</f>
        <v>0</v>
      </c>
      <c r="J99" s="32" t="str">
        <f>IFERROR(__xludf.DUMMYFUNCTION("IFERROR(INDEX(FILTER('OLT DOWN Tickets'!$F:$F, REGEXMATCH('OLT DOWN Tickets'!$AB:$AB, ""(?i)""&amp;TRIM(D99)), 'OLT DOWN Tickets'!$L:$L=""OLT DOWN""), 1), """")"),"")</f>
        <v/>
      </c>
      <c r="K99" s="32" t="str">
        <f>IFERROR(__xludf.DUMMYFUNCTION("IFERROR(INDEX(FILTER('OLT DOWN Tickets'!$F:$F, REGEXMATCH('OLT DOWN Tickets'!$AB:$AB, ""(?i)""&amp;TRIM(D99)), 'OLT DOWN Tickets'!$L:$L=""OLT UPLINK LOW POWER""), 1), """")"),"")</f>
        <v/>
      </c>
      <c r="L99" s="32" t="str">
        <f>IFERROR(__xludf.DUMMYFUNCTION("IFERROR(INDEX(FILTER('OLT DOWN Tickets'!$F:$F, REGEXMATCH('OLT DOWN Tickets'!$AB:$AB, ""(?i)""&amp;TRIM(D99)), 'OLT DOWN Tickets'!$L:$L=""OLT UPLINK DOWN""), 1), """")"),"")</f>
        <v/>
      </c>
      <c r="M99" s="32" t="str">
        <f>IFERROR(__xludf.DUMMYFUNCTION("IFERROR(INDEX(FILTER('OLT DOWN Tickets'!$F:$F, REGEXMATCH('OLT DOWN Tickets'!$AB:$AB, ""(?i)""&amp;TRIM(D99)), 'OLT DOWN Tickets'!$L:$L=""OLT SERVICE DEGRADATION""), 1), """")
"),"")</f>
        <v/>
      </c>
      <c r="N99" s="6" t="b">
        <v>0</v>
      </c>
      <c r="O99" s="6" t="b">
        <v>0</v>
      </c>
      <c r="P99" s="6" t="b">
        <v>0</v>
      </c>
      <c r="Q99" s="6" t="b">
        <v>0</v>
      </c>
      <c r="R99" s="6"/>
      <c r="S99" s="6"/>
      <c r="T99" s="6"/>
      <c r="U99" s="6"/>
    </row>
    <row r="100">
      <c r="A100" s="19"/>
      <c r="B100" s="26" t="s">
        <v>161</v>
      </c>
      <c r="C100" s="26" t="s">
        <v>256</v>
      </c>
      <c r="D100" s="27" t="s">
        <v>258</v>
      </c>
      <c r="E100" s="6" t="b">
        <f t="shared" si="1"/>
        <v>1</v>
      </c>
      <c r="F100" s="6" t="b">
        <f>COUNTIFS('OLT DOWN Tickets'!$AB:$AB, "*" &amp; D100 &amp; "*", 'OLT DOWN Tickets'!$L:$L, "OLT DOWN") &gt; 0</f>
        <v>0</v>
      </c>
      <c r="G100" s="6" t="b">
        <f>COUNTIFS('OLT DOWN Tickets'!$AB:$AB, "*" &amp; D100 &amp; "*", 'OLT DOWN Tickets'!$L:$L, "OLT UPLINK LOW POWER") &gt; 0</f>
        <v>0</v>
      </c>
      <c r="H100" s="6" t="b">
        <f>COUNTIFS('OLT DOWN Tickets'!$AB:$AB, "*" &amp; D100 &amp; "*", 'OLT DOWN Tickets'!$L:$L, "OLT UPLINK DOWN") &gt; 0</f>
        <v>0</v>
      </c>
      <c r="I100" s="6" t="b">
        <f>COUNTIFS('OLT DOWN Tickets'!$AB:$AB, "*" &amp; D100 &amp; "*", 'OLT DOWN Tickets'!$L:$L, "OLT SERVICE DEGRADATION") &gt; 0</f>
        <v>0</v>
      </c>
      <c r="J100" s="32" t="str">
        <f>IFERROR(__xludf.DUMMYFUNCTION("IFERROR(INDEX(FILTER('OLT DOWN Tickets'!$F:$F, REGEXMATCH('OLT DOWN Tickets'!$AB:$AB, ""(?i)""&amp;TRIM(D100)), 'OLT DOWN Tickets'!$L:$L=""OLT DOWN""), 1), """")"),"")</f>
        <v/>
      </c>
      <c r="K100" s="32" t="str">
        <f>IFERROR(__xludf.DUMMYFUNCTION("IFERROR(INDEX(FILTER('OLT DOWN Tickets'!$F:$F, REGEXMATCH('OLT DOWN Tickets'!$AB:$AB, ""(?i)""&amp;TRIM(D100)), 'OLT DOWN Tickets'!$L:$L=""OLT UPLINK LOW POWER""), 1), """")"),"")</f>
        <v/>
      </c>
      <c r="L100" s="32" t="str">
        <f>IFERROR(__xludf.DUMMYFUNCTION("IFERROR(INDEX(FILTER('OLT DOWN Tickets'!$F:$F, REGEXMATCH('OLT DOWN Tickets'!$AB:$AB, ""(?i)""&amp;TRIM(D100)), 'OLT DOWN Tickets'!$L:$L=""OLT UPLINK DOWN""), 1), """")"),"")</f>
        <v/>
      </c>
      <c r="M100" s="32" t="str">
        <f>IFERROR(__xludf.DUMMYFUNCTION("IFERROR(INDEX(FILTER('OLT DOWN Tickets'!$F:$F, REGEXMATCH('OLT DOWN Tickets'!$AB:$AB, ""(?i)""&amp;TRIM(D100)), 'OLT DOWN Tickets'!$L:$L=""OLT SERVICE DEGRADATION""), 1), """")
"),"")</f>
        <v/>
      </c>
      <c r="N100" s="6" t="b">
        <v>0</v>
      </c>
      <c r="O100" s="6" t="b">
        <v>0</v>
      </c>
      <c r="P100" s="6" t="b">
        <v>0</v>
      </c>
      <c r="Q100" s="6" t="b">
        <v>0</v>
      </c>
      <c r="R100" s="6"/>
      <c r="S100" s="6"/>
      <c r="T100" s="6"/>
      <c r="U100" s="6"/>
    </row>
    <row r="101">
      <c r="A101" s="19"/>
      <c r="B101" s="26" t="s">
        <v>161</v>
      </c>
      <c r="C101" s="26" t="s">
        <v>259</v>
      </c>
      <c r="D101" s="27" t="s">
        <v>260</v>
      </c>
      <c r="E101" s="6" t="b">
        <f t="shared" si="1"/>
        <v>1</v>
      </c>
      <c r="F101" s="6" t="b">
        <f>COUNTIFS('OLT DOWN Tickets'!$AB:$AB, "*" &amp; D101 &amp; "*", 'OLT DOWN Tickets'!$L:$L, "OLT DOWN") &gt; 0</f>
        <v>0</v>
      </c>
      <c r="G101" s="6" t="b">
        <f>COUNTIFS('OLT DOWN Tickets'!$AB:$AB, "*" &amp; D101 &amp; "*", 'OLT DOWN Tickets'!$L:$L, "OLT UPLINK LOW POWER") &gt; 0</f>
        <v>0</v>
      </c>
      <c r="H101" s="6" t="b">
        <f>COUNTIFS('OLT DOWN Tickets'!$AB:$AB, "*" &amp; D101 &amp; "*", 'OLT DOWN Tickets'!$L:$L, "OLT UPLINK DOWN") &gt; 0</f>
        <v>0</v>
      </c>
      <c r="I101" s="6" t="b">
        <f>COUNTIFS('OLT DOWN Tickets'!$AB:$AB, "*" &amp; D101 &amp; "*", 'OLT DOWN Tickets'!$L:$L, "OLT SERVICE DEGRADATION") &gt; 0</f>
        <v>0</v>
      </c>
      <c r="J101" s="32" t="str">
        <f>IFERROR(__xludf.DUMMYFUNCTION("IFERROR(INDEX(FILTER('OLT DOWN Tickets'!$F:$F, REGEXMATCH('OLT DOWN Tickets'!$AB:$AB, ""(?i)""&amp;TRIM(D101)), 'OLT DOWN Tickets'!$L:$L=""OLT DOWN""), 1), """")"),"")</f>
        <v/>
      </c>
      <c r="K101" s="32" t="str">
        <f>IFERROR(__xludf.DUMMYFUNCTION("IFERROR(INDEX(FILTER('OLT DOWN Tickets'!$F:$F, REGEXMATCH('OLT DOWN Tickets'!$AB:$AB, ""(?i)""&amp;TRIM(D101)), 'OLT DOWN Tickets'!$L:$L=""OLT UPLINK LOW POWER""), 1), """")"),"")</f>
        <v/>
      </c>
      <c r="L101" s="32" t="str">
        <f>IFERROR(__xludf.DUMMYFUNCTION("IFERROR(INDEX(FILTER('OLT DOWN Tickets'!$F:$F, REGEXMATCH('OLT DOWN Tickets'!$AB:$AB, ""(?i)""&amp;TRIM(D101)), 'OLT DOWN Tickets'!$L:$L=""OLT UPLINK DOWN""), 1), """")"),"")</f>
        <v/>
      </c>
      <c r="M101" s="32" t="str">
        <f>IFERROR(__xludf.DUMMYFUNCTION("IFERROR(INDEX(FILTER('OLT DOWN Tickets'!$F:$F, REGEXMATCH('OLT DOWN Tickets'!$AB:$AB, ""(?i)""&amp;TRIM(D101)), 'OLT DOWN Tickets'!$L:$L=""OLT SERVICE DEGRADATION""), 1), """")
"),"")</f>
        <v/>
      </c>
      <c r="N101" s="6" t="b">
        <v>0</v>
      </c>
      <c r="O101" s="6" t="b">
        <v>0</v>
      </c>
      <c r="P101" s="6" t="b">
        <v>0</v>
      </c>
      <c r="Q101" s="6" t="b">
        <v>0</v>
      </c>
      <c r="R101" s="6"/>
      <c r="S101" s="6"/>
      <c r="T101" s="6"/>
      <c r="U101" s="6"/>
    </row>
    <row r="102">
      <c r="A102" s="19"/>
      <c r="B102" s="26" t="s">
        <v>161</v>
      </c>
      <c r="C102" s="26" t="s">
        <v>259</v>
      </c>
      <c r="D102" s="27" t="s">
        <v>261</v>
      </c>
      <c r="E102" s="6" t="b">
        <f t="shared" si="1"/>
        <v>1</v>
      </c>
      <c r="F102" s="6" t="b">
        <f>COUNTIFS('OLT DOWN Tickets'!$AB:$AB, "*" &amp; D102 &amp; "*", 'OLT DOWN Tickets'!$L:$L, "OLT DOWN") &gt; 0</f>
        <v>0</v>
      </c>
      <c r="G102" s="6" t="b">
        <f>COUNTIFS('OLT DOWN Tickets'!$AB:$AB, "*" &amp; D102 &amp; "*", 'OLT DOWN Tickets'!$L:$L, "OLT UPLINK LOW POWER") &gt; 0</f>
        <v>0</v>
      </c>
      <c r="H102" s="6" t="b">
        <f>COUNTIFS('OLT DOWN Tickets'!$AB:$AB, "*" &amp; D102 &amp; "*", 'OLT DOWN Tickets'!$L:$L, "OLT UPLINK DOWN") &gt; 0</f>
        <v>0</v>
      </c>
      <c r="I102" s="6" t="b">
        <f>COUNTIFS('OLT DOWN Tickets'!$AB:$AB, "*" &amp; D102 &amp; "*", 'OLT DOWN Tickets'!$L:$L, "OLT SERVICE DEGRADATION") &gt; 0</f>
        <v>0</v>
      </c>
      <c r="J102" s="32" t="str">
        <f>IFERROR(__xludf.DUMMYFUNCTION("IFERROR(INDEX(FILTER('OLT DOWN Tickets'!$F:$F, REGEXMATCH('OLT DOWN Tickets'!$AB:$AB, ""(?i)""&amp;TRIM(D102)), 'OLT DOWN Tickets'!$L:$L=""OLT DOWN""), 1), """")"),"")</f>
        <v/>
      </c>
      <c r="K102" s="32" t="str">
        <f>IFERROR(__xludf.DUMMYFUNCTION("IFERROR(INDEX(FILTER('OLT DOWN Tickets'!$F:$F, REGEXMATCH('OLT DOWN Tickets'!$AB:$AB, ""(?i)""&amp;TRIM(D102)), 'OLT DOWN Tickets'!$L:$L=""OLT UPLINK LOW POWER""), 1), """")"),"")</f>
        <v/>
      </c>
      <c r="L102" s="32" t="str">
        <f>IFERROR(__xludf.DUMMYFUNCTION("IFERROR(INDEX(FILTER('OLT DOWN Tickets'!$F:$F, REGEXMATCH('OLT DOWN Tickets'!$AB:$AB, ""(?i)""&amp;TRIM(D102)), 'OLT DOWN Tickets'!$L:$L=""OLT UPLINK DOWN""), 1), """")"),"")</f>
        <v/>
      </c>
      <c r="M102" s="32" t="str">
        <f>IFERROR(__xludf.DUMMYFUNCTION("IFERROR(INDEX(FILTER('OLT DOWN Tickets'!$F:$F, REGEXMATCH('OLT DOWN Tickets'!$AB:$AB, ""(?i)""&amp;TRIM(D102)), 'OLT DOWN Tickets'!$L:$L=""OLT SERVICE DEGRADATION""), 1), """")
"),"")</f>
        <v/>
      </c>
      <c r="N102" s="6" t="b">
        <v>0</v>
      </c>
      <c r="O102" s="6" t="b">
        <v>0</v>
      </c>
      <c r="P102" s="6" t="b">
        <v>0</v>
      </c>
      <c r="Q102" s="6" t="b">
        <v>0</v>
      </c>
      <c r="R102" s="6"/>
      <c r="S102" s="6"/>
      <c r="T102" s="6"/>
      <c r="U102" s="6"/>
    </row>
    <row r="103">
      <c r="A103" s="19"/>
      <c r="B103" s="26" t="s">
        <v>161</v>
      </c>
      <c r="C103" s="26" t="s">
        <v>259</v>
      </c>
      <c r="D103" s="27" t="s">
        <v>262</v>
      </c>
      <c r="E103" s="6" t="b">
        <f t="shared" si="1"/>
        <v>1</v>
      </c>
      <c r="F103" s="6" t="b">
        <f>COUNTIFS('OLT DOWN Tickets'!$AB:$AB, "*" &amp; D103 &amp; "*", 'OLT DOWN Tickets'!$L:$L, "OLT DOWN") &gt; 0</f>
        <v>0</v>
      </c>
      <c r="G103" s="6" t="b">
        <f>COUNTIFS('OLT DOWN Tickets'!$AB:$AB, "*" &amp; D103 &amp; "*", 'OLT DOWN Tickets'!$L:$L, "OLT UPLINK LOW POWER") &gt; 0</f>
        <v>0</v>
      </c>
      <c r="H103" s="6" t="b">
        <f>COUNTIFS('OLT DOWN Tickets'!$AB:$AB, "*" &amp; D103 &amp; "*", 'OLT DOWN Tickets'!$L:$L, "OLT UPLINK DOWN") &gt; 0</f>
        <v>0</v>
      </c>
      <c r="I103" s="6" t="b">
        <f>COUNTIFS('OLT DOWN Tickets'!$AB:$AB, "*" &amp; D103 &amp; "*", 'OLT DOWN Tickets'!$L:$L, "OLT SERVICE DEGRADATION") &gt; 0</f>
        <v>0</v>
      </c>
      <c r="J103" s="32" t="str">
        <f>IFERROR(__xludf.DUMMYFUNCTION("IFERROR(INDEX(FILTER('OLT DOWN Tickets'!$F:$F, REGEXMATCH('OLT DOWN Tickets'!$AB:$AB, ""(?i)""&amp;TRIM(D103)), 'OLT DOWN Tickets'!$L:$L=""OLT DOWN""), 1), """")"),"")</f>
        <v/>
      </c>
      <c r="K103" s="32" t="str">
        <f>IFERROR(__xludf.DUMMYFUNCTION("IFERROR(INDEX(FILTER('OLT DOWN Tickets'!$F:$F, REGEXMATCH('OLT DOWN Tickets'!$AB:$AB, ""(?i)""&amp;TRIM(D103)), 'OLT DOWN Tickets'!$L:$L=""OLT UPLINK LOW POWER""), 1), """")"),"")</f>
        <v/>
      </c>
      <c r="L103" s="32" t="str">
        <f>IFERROR(__xludf.DUMMYFUNCTION("IFERROR(INDEX(FILTER('OLT DOWN Tickets'!$F:$F, REGEXMATCH('OLT DOWN Tickets'!$AB:$AB, ""(?i)""&amp;TRIM(D103)), 'OLT DOWN Tickets'!$L:$L=""OLT UPLINK DOWN""), 1), """")"),"")</f>
        <v/>
      </c>
      <c r="M103" s="32" t="str">
        <f>IFERROR(__xludf.DUMMYFUNCTION("IFERROR(INDEX(FILTER('OLT DOWN Tickets'!$F:$F, REGEXMATCH('OLT DOWN Tickets'!$AB:$AB, ""(?i)""&amp;TRIM(D103)), 'OLT DOWN Tickets'!$L:$L=""OLT SERVICE DEGRADATION""), 1), """")
"),"")</f>
        <v/>
      </c>
      <c r="N103" s="6" t="b">
        <v>0</v>
      </c>
      <c r="O103" s="6" t="b">
        <v>0</v>
      </c>
      <c r="P103" s="6" t="b">
        <v>0</v>
      </c>
      <c r="Q103" s="6" t="b">
        <v>0</v>
      </c>
      <c r="R103" s="6"/>
      <c r="S103" s="6"/>
      <c r="T103" s="6"/>
      <c r="U103" s="6"/>
    </row>
    <row r="104">
      <c r="A104" s="19"/>
      <c r="B104" s="26" t="s">
        <v>161</v>
      </c>
      <c r="C104" s="26" t="s">
        <v>259</v>
      </c>
      <c r="D104" s="27" t="s">
        <v>263</v>
      </c>
      <c r="E104" s="6" t="b">
        <f t="shared" si="1"/>
        <v>1</v>
      </c>
      <c r="F104" s="6" t="b">
        <f>COUNTIFS('OLT DOWN Tickets'!$AB:$AB, "*" &amp; D104 &amp; "*", 'OLT DOWN Tickets'!$L:$L, "OLT DOWN") &gt; 0</f>
        <v>0</v>
      </c>
      <c r="G104" s="6" t="b">
        <f>COUNTIFS('OLT DOWN Tickets'!$AB:$AB, "*" &amp; D104 &amp; "*", 'OLT DOWN Tickets'!$L:$L, "OLT UPLINK LOW POWER") &gt; 0</f>
        <v>0</v>
      </c>
      <c r="H104" s="6" t="b">
        <f>COUNTIFS('OLT DOWN Tickets'!$AB:$AB, "*" &amp; D104 &amp; "*", 'OLT DOWN Tickets'!$L:$L, "OLT UPLINK DOWN") &gt; 0</f>
        <v>0</v>
      </c>
      <c r="I104" s="6" t="b">
        <f>COUNTIFS('OLT DOWN Tickets'!$AB:$AB, "*" &amp; D104 &amp; "*", 'OLT DOWN Tickets'!$L:$L, "OLT SERVICE DEGRADATION") &gt; 0</f>
        <v>0</v>
      </c>
      <c r="J104" s="32" t="str">
        <f>IFERROR(__xludf.DUMMYFUNCTION("IFERROR(INDEX(FILTER('OLT DOWN Tickets'!$F:$F, REGEXMATCH('OLT DOWN Tickets'!$AB:$AB, ""(?i)""&amp;TRIM(D104)), 'OLT DOWN Tickets'!$L:$L=""OLT DOWN""), 1), """")"),"")</f>
        <v/>
      </c>
      <c r="K104" s="32" t="str">
        <f>IFERROR(__xludf.DUMMYFUNCTION("IFERROR(INDEX(FILTER('OLT DOWN Tickets'!$F:$F, REGEXMATCH('OLT DOWN Tickets'!$AB:$AB, ""(?i)""&amp;TRIM(D104)), 'OLT DOWN Tickets'!$L:$L=""OLT UPLINK LOW POWER""), 1), """")"),"")</f>
        <v/>
      </c>
      <c r="L104" s="32" t="str">
        <f>IFERROR(__xludf.DUMMYFUNCTION("IFERROR(INDEX(FILTER('OLT DOWN Tickets'!$F:$F, REGEXMATCH('OLT DOWN Tickets'!$AB:$AB, ""(?i)""&amp;TRIM(D104)), 'OLT DOWN Tickets'!$L:$L=""OLT UPLINK DOWN""), 1), """")"),"")</f>
        <v/>
      </c>
      <c r="M104" s="32" t="str">
        <f>IFERROR(__xludf.DUMMYFUNCTION("IFERROR(INDEX(FILTER('OLT DOWN Tickets'!$F:$F, REGEXMATCH('OLT DOWN Tickets'!$AB:$AB, ""(?i)""&amp;TRIM(D104)), 'OLT DOWN Tickets'!$L:$L=""OLT SERVICE DEGRADATION""), 1), """")
"),"")</f>
        <v/>
      </c>
      <c r="N104" s="6" t="b">
        <v>0</v>
      </c>
      <c r="O104" s="6" t="b">
        <v>0</v>
      </c>
      <c r="P104" s="6" t="b">
        <v>0</v>
      </c>
      <c r="Q104" s="6" t="b">
        <v>0</v>
      </c>
      <c r="R104" s="6"/>
      <c r="S104" s="6"/>
      <c r="T104" s="6"/>
      <c r="U104" s="6"/>
    </row>
    <row r="105">
      <c r="A105" s="19"/>
      <c r="B105" s="26" t="s">
        <v>161</v>
      </c>
      <c r="C105" s="26" t="s">
        <v>264</v>
      </c>
      <c r="D105" s="27" t="s">
        <v>265</v>
      </c>
      <c r="E105" s="6" t="b">
        <f t="shared" si="1"/>
        <v>1</v>
      </c>
      <c r="F105" s="6" t="b">
        <f>COUNTIFS('OLT DOWN Tickets'!$AB:$AB, "*" &amp; D105 &amp; "*", 'OLT DOWN Tickets'!$L:$L, "OLT DOWN") &gt; 0</f>
        <v>0</v>
      </c>
      <c r="G105" s="6" t="b">
        <f>COUNTIFS('OLT DOWN Tickets'!$AB:$AB, "*" &amp; D105 &amp; "*", 'OLT DOWN Tickets'!$L:$L, "OLT UPLINK LOW POWER") &gt; 0</f>
        <v>0</v>
      </c>
      <c r="H105" s="6" t="b">
        <f>COUNTIFS('OLT DOWN Tickets'!$AB:$AB, "*" &amp; D105 &amp; "*", 'OLT DOWN Tickets'!$L:$L, "OLT UPLINK DOWN") &gt; 0</f>
        <v>0</v>
      </c>
      <c r="I105" s="6" t="b">
        <f>COUNTIFS('OLT DOWN Tickets'!$AB:$AB, "*" &amp; D105 &amp; "*", 'OLT DOWN Tickets'!$L:$L, "OLT SERVICE DEGRADATION") &gt; 0</f>
        <v>0</v>
      </c>
      <c r="J105" s="32" t="str">
        <f>IFERROR(__xludf.DUMMYFUNCTION("IFERROR(INDEX(FILTER('OLT DOWN Tickets'!$F:$F, REGEXMATCH('OLT DOWN Tickets'!$AB:$AB, ""(?i)""&amp;TRIM(D105)), 'OLT DOWN Tickets'!$L:$L=""OLT DOWN""), 1), """")"),"")</f>
        <v/>
      </c>
      <c r="K105" s="32" t="str">
        <f>IFERROR(__xludf.DUMMYFUNCTION("IFERROR(INDEX(FILTER('OLT DOWN Tickets'!$F:$F, REGEXMATCH('OLT DOWN Tickets'!$AB:$AB, ""(?i)""&amp;TRIM(D105)), 'OLT DOWN Tickets'!$L:$L=""OLT UPLINK LOW POWER""), 1), """")"),"")</f>
        <v/>
      </c>
      <c r="L105" s="32" t="str">
        <f>IFERROR(__xludf.DUMMYFUNCTION("IFERROR(INDEX(FILTER('OLT DOWN Tickets'!$F:$F, REGEXMATCH('OLT DOWN Tickets'!$AB:$AB, ""(?i)""&amp;TRIM(D105)), 'OLT DOWN Tickets'!$L:$L=""OLT UPLINK DOWN""), 1), """")"),"")</f>
        <v/>
      </c>
      <c r="M105" s="32" t="str">
        <f>IFERROR(__xludf.DUMMYFUNCTION("IFERROR(INDEX(FILTER('OLT DOWN Tickets'!$F:$F, REGEXMATCH('OLT DOWN Tickets'!$AB:$AB, ""(?i)""&amp;TRIM(D105)), 'OLT DOWN Tickets'!$L:$L=""OLT SERVICE DEGRADATION""), 1), """")
"),"")</f>
        <v/>
      </c>
      <c r="N105" s="6" t="b">
        <v>0</v>
      </c>
      <c r="O105" s="6" t="b">
        <v>0</v>
      </c>
      <c r="P105" s="6" t="b">
        <v>0</v>
      </c>
      <c r="Q105" s="6" t="b">
        <v>0</v>
      </c>
      <c r="R105" s="6"/>
      <c r="S105" s="6"/>
      <c r="T105" s="6"/>
      <c r="U105" s="6"/>
    </row>
    <row r="106">
      <c r="A106" s="19"/>
      <c r="B106" s="26" t="s">
        <v>161</v>
      </c>
      <c r="C106" s="26" t="s">
        <v>264</v>
      </c>
      <c r="D106" s="27" t="s">
        <v>266</v>
      </c>
      <c r="E106" s="6" t="b">
        <f t="shared" si="1"/>
        <v>1</v>
      </c>
      <c r="F106" s="6" t="b">
        <f>COUNTIFS('OLT DOWN Tickets'!$AB:$AB, "*" &amp; D106 &amp; "*", 'OLT DOWN Tickets'!$L:$L, "OLT DOWN") &gt; 0</f>
        <v>0</v>
      </c>
      <c r="G106" s="6" t="b">
        <f>COUNTIFS('OLT DOWN Tickets'!$AB:$AB, "*" &amp; D106 &amp; "*", 'OLT DOWN Tickets'!$L:$L, "OLT UPLINK LOW POWER") &gt; 0</f>
        <v>0</v>
      </c>
      <c r="H106" s="6" t="b">
        <f>COUNTIFS('OLT DOWN Tickets'!$AB:$AB, "*" &amp; D106 &amp; "*", 'OLT DOWN Tickets'!$L:$L, "OLT UPLINK DOWN") &gt; 0</f>
        <v>0</v>
      </c>
      <c r="I106" s="6" t="b">
        <f>COUNTIFS('OLT DOWN Tickets'!$AB:$AB, "*" &amp; D106 &amp; "*", 'OLT DOWN Tickets'!$L:$L, "OLT SERVICE DEGRADATION") &gt; 0</f>
        <v>0</v>
      </c>
      <c r="J106" s="32" t="str">
        <f>IFERROR(__xludf.DUMMYFUNCTION("IFERROR(INDEX(FILTER('OLT DOWN Tickets'!$F:$F, REGEXMATCH('OLT DOWN Tickets'!$AB:$AB, ""(?i)""&amp;TRIM(D106)), 'OLT DOWN Tickets'!$L:$L=""OLT DOWN""), 1), """")"),"")</f>
        <v/>
      </c>
      <c r="K106" s="32" t="str">
        <f>IFERROR(__xludf.DUMMYFUNCTION("IFERROR(INDEX(FILTER('OLT DOWN Tickets'!$F:$F, REGEXMATCH('OLT DOWN Tickets'!$AB:$AB, ""(?i)""&amp;TRIM(D106)), 'OLT DOWN Tickets'!$L:$L=""OLT UPLINK LOW POWER""), 1), """")"),"")</f>
        <v/>
      </c>
      <c r="L106" s="32" t="str">
        <f>IFERROR(__xludf.DUMMYFUNCTION("IFERROR(INDEX(FILTER('OLT DOWN Tickets'!$F:$F, REGEXMATCH('OLT DOWN Tickets'!$AB:$AB, ""(?i)""&amp;TRIM(D106)), 'OLT DOWN Tickets'!$L:$L=""OLT UPLINK DOWN""), 1), """")"),"")</f>
        <v/>
      </c>
      <c r="M106" s="32" t="str">
        <f>IFERROR(__xludf.DUMMYFUNCTION("IFERROR(INDEX(FILTER('OLT DOWN Tickets'!$F:$F, REGEXMATCH('OLT DOWN Tickets'!$AB:$AB, ""(?i)""&amp;TRIM(D106)), 'OLT DOWN Tickets'!$L:$L=""OLT SERVICE DEGRADATION""), 1), """")
"),"")</f>
        <v/>
      </c>
      <c r="N106" s="6" t="b">
        <v>0</v>
      </c>
      <c r="O106" s="6" t="b">
        <v>0</v>
      </c>
      <c r="P106" s="6" t="b">
        <v>0</v>
      </c>
      <c r="Q106" s="6" t="b">
        <v>0</v>
      </c>
      <c r="R106" s="6"/>
      <c r="S106" s="6"/>
      <c r="T106" s="6"/>
      <c r="U106" s="6"/>
    </row>
    <row r="107">
      <c r="A107" s="19"/>
      <c r="B107" s="26" t="s">
        <v>161</v>
      </c>
      <c r="C107" s="26" t="s">
        <v>264</v>
      </c>
      <c r="D107" s="27" t="s">
        <v>267</v>
      </c>
      <c r="E107" s="6" t="b">
        <f t="shared" si="1"/>
        <v>1</v>
      </c>
      <c r="F107" s="6" t="b">
        <f>COUNTIFS('OLT DOWN Tickets'!$AB:$AB, "*" &amp; D107 &amp; "*", 'OLT DOWN Tickets'!$L:$L, "OLT DOWN") &gt; 0</f>
        <v>0</v>
      </c>
      <c r="G107" s="6" t="b">
        <f>COUNTIFS('OLT DOWN Tickets'!$AB:$AB, "*" &amp; D107 &amp; "*", 'OLT DOWN Tickets'!$L:$L, "OLT UPLINK LOW POWER") &gt; 0</f>
        <v>0</v>
      </c>
      <c r="H107" s="6" t="b">
        <f>COUNTIFS('OLT DOWN Tickets'!$AB:$AB, "*" &amp; D107 &amp; "*", 'OLT DOWN Tickets'!$L:$L, "OLT UPLINK DOWN") &gt; 0</f>
        <v>0</v>
      </c>
      <c r="I107" s="6" t="b">
        <f>COUNTIFS('OLT DOWN Tickets'!$AB:$AB, "*" &amp; D107 &amp; "*", 'OLT DOWN Tickets'!$L:$L, "OLT SERVICE DEGRADATION") &gt; 0</f>
        <v>0</v>
      </c>
      <c r="J107" s="32" t="str">
        <f>IFERROR(__xludf.DUMMYFUNCTION("IFERROR(INDEX(FILTER('OLT DOWN Tickets'!$F:$F, REGEXMATCH('OLT DOWN Tickets'!$AB:$AB, ""(?i)""&amp;TRIM(D107)), 'OLT DOWN Tickets'!$L:$L=""OLT DOWN""), 1), """")"),"")</f>
        <v/>
      </c>
      <c r="K107" s="32" t="str">
        <f>IFERROR(__xludf.DUMMYFUNCTION("IFERROR(INDEX(FILTER('OLT DOWN Tickets'!$F:$F, REGEXMATCH('OLT DOWN Tickets'!$AB:$AB, ""(?i)""&amp;TRIM(D107)), 'OLT DOWN Tickets'!$L:$L=""OLT UPLINK LOW POWER""), 1), """")"),"")</f>
        <v/>
      </c>
      <c r="L107" s="32" t="str">
        <f>IFERROR(__xludf.DUMMYFUNCTION("IFERROR(INDEX(FILTER('OLT DOWN Tickets'!$F:$F, REGEXMATCH('OLT DOWN Tickets'!$AB:$AB, ""(?i)""&amp;TRIM(D107)), 'OLT DOWN Tickets'!$L:$L=""OLT UPLINK DOWN""), 1), """")"),"")</f>
        <v/>
      </c>
      <c r="M107" s="32" t="str">
        <f>IFERROR(__xludf.DUMMYFUNCTION("IFERROR(INDEX(FILTER('OLT DOWN Tickets'!$F:$F, REGEXMATCH('OLT DOWN Tickets'!$AB:$AB, ""(?i)""&amp;TRIM(D107)), 'OLT DOWN Tickets'!$L:$L=""OLT SERVICE DEGRADATION""), 1), """")
"),"")</f>
        <v/>
      </c>
      <c r="N107" s="6" t="b">
        <v>0</v>
      </c>
      <c r="O107" s="6" t="b">
        <v>0</v>
      </c>
      <c r="P107" s="6" t="b">
        <v>0</v>
      </c>
      <c r="Q107" s="6" t="b">
        <v>0</v>
      </c>
      <c r="R107" s="6"/>
      <c r="S107" s="6"/>
      <c r="T107" s="6"/>
      <c r="U107" s="6"/>
    </row>
    <row r="108">
      <c r="A108" s="19"/>
      <c r="B108" s="26" t="s">
        <v>161</v>
      </c>
      <c r="C108" s="26" t="s">
        <v>264</v>
      </c>
      <c r="D108" s="27" t="s">
        <v>268</v>
      </c>
      <c r="E108" s="6" t="b">
        <f t="shared" si="1"/>
        <v>1</v>
      </c>
      <c r="F108" s="6" t="b">
        <f>COUNTIFS('OLT DOWN Tickets'!$AB:$AB, "*" &amp; D108 &amp; "*", 'OLT DOWN Tickets'!$L:$L, "OLT DOWN") &gt; 0</f>
        <v>0</v>
      </c>
      <c r="G108" s="6" t="b">
        <f>COUNTIFS('OLT DOWN Tickets'!$AB:$AB, "*" &amp; D108 &amp; "*", 'OLT DOWN Tickets'!$L:$L, "OLT UPLINK LOW POWER") &gt; 0</f>
        <v>0</v>
      </c>
      <c r="H108" s="6" t="b">
        <f>COUNTIFS('OLT DOWN Tickets'!$AB:$AB, "*" &amp; D108 &amp; "*", 'OLT DOWN Tickets'!$L:$L, "OLT UPLINK DOWN") &gt; 0</f>
        <v>0</v>
      </c>
      <c r="I108" s="6" t="b">
        <f>COUNTIFS('OLT DOWN Tickets'!$AB:$AB, "*" &amp; D108 &amp; "*", 'OLT DOWN Tickets'!$L:$L, "OLT SERVICE DEGRADATION") &gt; 0</f>
        <v>0</v>
      </c>
      <c r="J108" s="32" t="str">
        <f>IFERROR(__xludf.DUMMYFUNCTION("IFERROR(INDEX(FILTER('OLT DOWN Tickets'!$F:$F, REGEXMATCH('OLT DOWN Tickets'!$AB:$AB, ""(?i)""&amp;TRIM(D108)), 'OLT DOWN Tickets'!$L:$L=""OLT DOWN""), 1), """")"),"")</f>
        <v/>
      </c>
      <c r="K108" s="32" t="str">
        <f>IFERROR(__xludf.DUMMYFUNCTION("IFERROR(INDEX(FILTER('OLT DOWN Tickets'!$F:$F, REGEXMATCH('OLT DOWN Tickets'!$AB:$AB, ""(?i)""&amp;TRIM(D108)), 'OLT DOWN Tickets'!$L:$L=""OLT UPLINK LOW POWER""), 1), """")"),"")</f>
        <v/>
      </c>
      <c r="L108" s="32" t="str">
        <f>IFERROR(__xludf.DUMMYFUNCTION("IFERROR(INDEX(FILTER('OLT DOWN Tickets'!$F:$F, REGEXMATCH('OLT DOWN Tickets'!$AB:$AB, ""(?i)""&amp;TRIM(D108)), 'OLT DOWN Tickets'!$L:$L=""OLT UPLINK DOWN""), 1), """")"),"")</f>
        <v/>
      </c>
      <c r="M108" s="32" t="str">
        <f>IFERROR(__xludf.DUMMYFUNCTION("IFERROR(INDEX(FILTER('OLT DOWN Tickets'!$F:$F, REGEXMATCH('OLT DOWN Tickets'!$AB:$AB, ""(?i)""&amp;TRIM(D108)), 'OLT DOWN Tickets'!$L:$L=""OLT SERVICE DEGRADATION""), 1), """")
"),"")</f>
        <v/>
      </c>
      <c r="N108" s="6" t="b">
        <v>0</v>
      </c>
      <c r="O108" s="6" t="b">
        <v>0</v>
      </c>
      <c r="P108" s="6" t="b">
        <v>0</v>
      </c>
      <c r="Q108" s="6" t="b">
        <v>0</v>
      </c>
      <c r="R108" s="6"/>
      <c r="S108" s="6"/>
      <c r="T108" s="6"/>
      <c r="U108" s="6"/>
    </row>
    <row r="109">
      <c r="A109" s="19"/>
      <c r="B109" s="26" t="s">
        <v>161</v>
      </c>
      <c r="C109" s="26" t="s">
        <v>269</v>
      </c>
      <c r="D109" s="27" t="s">
        <v>270</v>
      </c>
      <c r="E109" s="6" t="b">
        <f t="shared" si="1"/>
        <v>1</v>
      </c>
      <c r="F109" s="6" t="b">
        <f>COUNTIFS('OLT DOWN Tickets'!$AB:$AB, "*" &amp; D109 &amp; "*", 'OLT DOWN Tickets'!$L:$L, "OLT DOWN") &gt; 0</f>
        <v>0</v>
      </c>
      <c r="G109" s="6" t="b">
        <f>COUNTIFS('OLT DOWN Tickets'!$AB:$AB, "*" &amp; D109 &amp; "*", 'OLT DOWN Tickets'!$L:$L, "OLT UPLINK LOW POWER") &gt; 0</f>
        <v>0</v>
      </c>
      <c r="H109" s="6" t="b">
        <f>COUNTIFS('OLT DOWN Tickets'!$AB:$AB, "*" &amp; D109 &amp; "*", 'OLT DOWN Tickets'!$L:$L, "OLT UPLINK DOWN") &gt; 0</f>
        <v>0</v>
      </c>
      <c r="I109" s="6" t="b">
        <f>COUNTIFS('OLT DOWN Tickets'!$AB:$AB, "*" &amp; D109 &amp; "*", 'OLT DOWN Tickets'!$L:$L, "OLT SERVICE DEGRADATION") &gt; 0</f>
        <v>0</v>
      </c>
      <c r="J109" s="32" t="str">
        <f>IFERROR(__xludf.DUMMYFUNCTION("IFERROR(INDEX(FILTER('OLT DOWN Tickets'!$F:$F, REGEXMATCH('OLT DOWN Tickets'!$AB:$AB, ""(?i)""&amp;TRIM(D109)), 'OLT DOWN Tickets'!$L:$L=""OLT DOWN""), 1), """")"),"")</f>
        <v/>
      </c>
      <c r="K109" s="32" t="str">
        <f>IFERROR(__xludf.DUMMYFUNCTION("IFERROR(INDEX(FILTER('OLT DOWN Tickets'!$F:$F, REGEXMATCH('OLT DOWN Tickets'!$AB:$AB, ""(?i)""&amp;TRIM(D109)), 'OLT DOWN Tickets'!$L:$L=""OLT UPLINK LOW POWER""), 1), """")"),"")</f>
        <v/>
      </c>
      <c r="L109" s="32" t="str">
        <f>IFERROR(__xludf.DUMMYFUNCTION("IFERROR(INDEX(FILTER('OLT DOWN Tickets'!$F:$F, REGEXMATCH('OLT DOWN Tickets'!$AB:$AB, ""(?i)""&amp;TRIM(D109)), 'OLT DOWN Tickets'!$L:$L=""OLT UPLINK DOWN""), 1), """")"),"")</f>
        <v/>
      </c>
      <c r="M109" s="32" t="str">
        <f>IFERROR(__xludf.DUMMYFUNCTION("IFERROR(INDEX(FILTER('OLT DOWN Tickets'!$F:$F, REGEXMATCH('OLT DOWN Tickets'!$AB:$AB, ""(?i)""&amp;TRIM(D109)), 'OLT DOWN Tickets'!$L:$L=""OLT SERVICE DEGRADATION""), 1), """")
"),"")</f>
        <v/>
      </c>
      <c r="N109" s="6" t="b">
        <v>0</v>
      </c>
      <c r="O109" s="6" t="b">
        <v>0</v>
      </c>
      <c r="P109" s="6" t="b">
        <v>0</v>
      </c>
      <c r="Q109" s="6" t="b">
        <v>0</v>
      </c>
      <c r="R109" s="6"/>
      <c r="S109" s="6"/>
      <c r="T109" s="6"/>
      <c r="U109" s="6"/>
    </row>
    <row r="110">
      <c r="A110" s="19"/>
      <c r="B110" s="26" t="s">
        <v>161</v>
      </c>
      <c r="C110" s="26" t="s">
        <v>269</v>
      </c>
      <c r="D110" s="27" t="s">
        <v>271</v>
      </c>
      <c r="E110" s="6" t="b">
        <f t="shared" si="1"/>
        <v>1</v>
      </c>
      <c r="F110" s="6" t="b">
        <f>COUNTIFS('OLT DOWN Tickets'!$AB:$AB, "*" &amp; D110 &amp; "*", 'OLT DOWN Tickets'!$L:$L, "OLT DOWN") &gt; 0</f>
        <v>0</v>
      </c>
      <c r="G110" s="6" t="b">
        <f>COUNTIFS('OLT DOWN Tickets'!$AB:$AB, "*" &amp; D110 &amp; "*", 'OLT DOWN Tickets'!$L:$L, "OLT UPLINK LOW POWER") &gt; 0</f>
        <v>0</v>
      </c>
      <c r="H110" s="6" t="b">
        <f>COUNTIFS('OLT DOWN Tickets'!$AB:$AB, "*" &amp; D110 &amp; "*", 'OLT DOWN Tickets'!$L:$L, "OLT UPLINK DOWN") &gt; 0</f>
        <v>0</v>
      </c>
      <c r="I110" s="6" t="b">
        <f>COUNTIFS('OLT DOWN Tickets'!$AB:$AB, "*" &amp; D110 &amp; "*", 'OLT DOWN Tickets'!$L:$L, "OLT SERVICE DEGRADATION") &gt; 0</f>
        <v>0</v>
      </c>
      <c r="J110" s="32" t="str">
        <f>IFERROR(__xludf.DUMMYFUNCTION("IFERROR(INDEX(FILTER('OLT DOWN Tickets'!$F:$F, REGEXMATCH('OLT DOWN Tickets'!$AB:$AB, ""(?i)""&amp;TRIM(D110)), 'OLT DOWN Tickets'!$L:$L=""OLT DOWN""), 1), """")"),"")</f>
        <v/>
      </c>
      <c r="K110" s="32" t="str">
        <f>IFERROR(__xludf.DUMMYFUNCTION("IFERROR(INDEX(FILTER('OLT DOWN Tickets'!$F:$F, REGEXMATCH('OLT DOWN Tickets'!$AB:$AB, ""(?i)""&amp;TRIM(D110)), 'OLT DOWN Tickets'!$L:$L=""OLT UPLINK LOW POWER""), 1), """")"),"")</f>
        <v/>
      </c>
      <c r="L110" s="32" t="str">
        <f>IFERROR(__xludf.DUMMYFUNCTION("IFERROR(INDEX(FILTER('OLT DOWN Tickets'!$F:$F, REGEXMATCH('OLT DOWN Tickets'!$AB:$AB, ""(?i)""&amp;TRIM(D110)), 'OLT DOWN Tickets'!$L:$L=""OLT UPLINK DOWN""), 1), """")"),"")</f>
        <v/>
      </c>
      <c r="M110" s="32" t="str">
        <f>IFERROR(__xludf.DUMMYFUNCTION("IFERROR(INDEX(FILTER('OLT DOWN Tickets'!$F:$F, REGEXMATCH('OLT DOWN Tickets'!$AB:$AB, ""(?i)""&amp;TRIM(D110)), 'OLT DOWN Tickets'!$L:$L=""OLT SERVICE DEGRADATION""), 1), """")
"),"")</f>
        <v/>
      </c>
      <c r="N110" s="6" t="b">
        <v>0</v>
      </c>
      <c r="O110" s="6" t="b">
        <v>0</v>
      </c>
      <c r="P110" s="6" t="b">
        <v>0</v>
      </c>
      <c r="Q110" s="6" t="b">
        <v>0</v>
      </c>
      <c r="R110" s="6"/>
      <c r="S110" s="6"/>
      <c r="T110" s="6"/>
      <c r="U110" s="6"/>
    </row>
    <row r="111">
      <c r="A111" s="19"/>
      <c r="B111" s="26" t="s">
        <v>161</v>
      </c>
      <c r="C111" s="26" t="s">
        <v>272</v>
      </c>
      <c r="D111" s="27" t="s">
        <v>273</v>
      </c>
      <c r="E111" s="6" t="b">
        <f t="shared" si="1"/>
        <v>1</v>
      </c>
      <c r="F111" s="6" t="b">
        <f>COUNTIFS('OLT DOWN Tickets'!$AB:$AB, "*" &amp; D111 &amp; "*", 'OLT DOWN Tickets'!$L:$L, "OLT DOWN") &gt; 0</f>
        <v>0</v>
      </c>
      <c r="G111" s="6" t="b">
        <f>COUNTIFS('OLT DOWN Tickets'!$AB:$AB, "*" &amp; D111 &amp; "*", 'OLT DOWN Tickets'!$L:$L, "OLT UPLINK LOW POWER") &gt; 0</f>
        <v>0</v>
      </c>
      <c r="H111" s="6" t="b">
        <f>COUNTIFS('OLT DOWN Tickets'!$AB:$AB, "*" &amp; D111 &amp; "*", 'OLT DOWN Tickets'!$L:$L, "OLT UPLINK DOWN") &gt; 0</f>
        <v>0</v>
      </c>
      <c r="I111" s="6" t="b">
        <f>COUNTIFS('OLT DOWN Tickets'!$AB:$AB, "*" &amp; D111 &amp; "*", 'OLT DOWN Tickets'!$L:$L, "OLT SERVICE DEGRADATION") &gt; 0</f>
        <v>0</v>
      </c>
      <c r="J111" s="32" t="str">
        <f>IFERROR(__xludf.DUMMYFUNCTION("IFERROR(INDEX(FILTER('OLT DOWN Tickets'!$F:$F, REGEXMATCH('OLT DOWN Tickets'!$AB:$AB, ""(?i)""&amp;TRIM(D111)), 'OLT DOWN Tickets'!$L:$L=""OLT DOWN""), 1), """")"),"")</f>
        <v/>
      </c>
      <c r="K111" s="32" t="str">
        <f>IFERROR(__xludf.DUMMYFUNCTION("IFERROR(INDEX(FILTER('OLT DOWN Tickets'!$F:$F, REGEXMATCH('OLT DOWN Tickets'!$AB:$AB, ""(?i)""&amp;TRIM(D111)), 'OLT DOWN Tickets'!$L:$L=""OLT UPLINK LOW POWER""), 1), """")"),"")</f>
        <v/>
      </c>
      <c r="L111" s="32" t="str">
        <f>IFERROR(__xludf.DUMMYFUNCTION("IFERROR(INDEX(FILTER('OLT DOWN Tickets'!$F:$F, REGEXMATCH('OLT DOWN Tickets'!$AB:$AB, ""(?i)""&amp;TRIM(D111)), 'OLT DOWN Tickets'!$L:$L=""OLT UPLINK DOWN""), 1), """")"),"")</f>
        <v/>
      </c>
      <c r="M111" s="32" t="str">
        <f>IFERROR(__xludf.DUMMYFUNCTION("IFERROR(INDEX(FILTER('OLT DOWN Tickets'!$F:$F, REGEXMATCH('OLT DOWN Tickets'!$AB:$AB, ""(?i)""&amp;TRIM(D111)), 'OLT DOWN Tickets'!$L:$L=""OLT SERVICE DEGRADATION""), 1), """")
"),"")</f>
        <v/>
      </c>
      <c r="N111" s="6" t="b">
        <v>0</v>
      </c>
      <c r="O111" s="6" t="b">
        <v>0</v>
      </c>
      <c r="P111" s="6" t="b">
        <v>0</v>
      </c>
      <c r="Q111" s="6" t="b">
        <v>0</v>
      </c>
      <c r="R111" s="6"/>
      <c r="S111" s="6"/>
      <c r="T111" s="6"/>
      <c r="U111" s="6"/>
    </row>
    <row r="112">
      <c r="A112" s="19"/>
      <c r="B112" s="26" t="s">
        <v>161</v>
      </c>
      <c r="C112" s="26" t="s">
        <v>274</v>
      </c>
      <c r="D112" s="27" t="s">
        <v>275</v>
      </c>
      <c r="E112" s="6" t="b">
        <f t="shared" si="1"/>
        <v>1</v>
      </c>
      <c r="F112" s="6" t="b">
        <f>COUNTIFS('OLT DOWN Tickets'!$AB:$AB, "*" &amp; D112 &amp; "*", 'OLT DOWN Tickets'!$L:$L, "OLT DOWN") &gt; 0</f>
        <v>0</v>
      </c>
      <c r="G112" s="6" t="b">
        <f>COUNTIFS('OLT DOWN Tickets'!$AB:$AB, "*" &amp; D112 &amp; "*", 'OLT DOWN Tickets'!$L:$L, "OLT UPLINK LOW POWER") &gt; 0</f>
        <v>0</v>
      </c>
      <c r="H112" s="6" t="b">
        <f>COUNTIFS('OLT DOWN Tickets'!$AB:$AB, "*" &amp; D112 &amp; "*", 'OLT DOWN Tickets'!$L:$L, "OLT UPLINK DOWN") &gt; 0</f>
        <v>0</v>
      </c>
      <c r="I112" s="6" t="b">
        <f>COUNTIFS('OLT DOWN Tickets'!$AB:$AB, "*" &amp; D112 &amp; "*", 'OLT DOWN Tickets'!$L:$L, "OLT SERVICE DEGRADATION") &gt; 0</f>
        <v>0</v>
      </c>
      <c r="J112" s="32" t="str">
        <f>IFERROR(__xludf.DUMMYFUNCTION("IFERROR(INDEX(FILTER('OLT DOWN Tickets'!$F:$F, REGEXMATCH('OLT DOWN Tickets'!$AB:$AB, ""(?i)""&amp;TRIM(D112)), 'OLT DOWN Tickets'!$L:$L=""OLT DOWN""), 1), """")"),"")</f>
        <v/>
      </c>
      <c r="K112" s="32" t="str">
        <f>IFERROR(__xludf.DUMMYFUNCTION("IFERROR(INDEX(FILTER('OLT DOWN Tickets'!$F:$F, REGEXMATCH('OLT DOWN Tickets'!$AB:$AB, ""(?i)""&amp;TRIM(D112)), 'OLT DOWN Tickets'!$L:$L=""OLT UPLINK LOW POWER""), 1), """")"),"")</f>
        <v/>
      </c>
      <c r="L112" s="32" t="str">
        <f>IFERROR(__xludf.DUMMYFUNCTION("IFERROR(INDEX(FILTER('OLT DOWN Tickets'!$F:$F, REGEXMATCH('OLT DOWN Tickets'!$AB:$AB, ""(?i)""&amp;TRIM(D112)), 'OLT DOWN Tickets'!$L:$L=""OLT UPLINK DOWN""), 1), """")"),"")</f>
        <v/>
      </c>
      <c r="M112" s="32" t="str">
        <f>IFERROR(__xludf.DUMMYFUNCTION("IFERROR(INDEX(FILTER('OLT DOWN Tickets'!$F:$F, REGEXMATCH('OLT DOWN Tickets'!$AB:$AB, ""(?i)""&amp;TRIM(D112)), 'OLT DOWN Tickets'!$L:$L=""OLT SERVICE DEGRADATION""), 1), """")
"),"")</f>
        <v/>
      </c>
      <c r="N112" s="6" t="b">
        <v>0</v>
      </c>
      <c r="O112" s="6" t="b">
        <v>0</v>
      </c>
      <c r="P112" s="6" t="b">
        <v>0</v>
      </c>
      <c r="Q112" s="6" t="b">
        <v>0</v>
      </c>
      <c r="R112" s="6"/>
      <c r="S112" s="6"/>
      <c r="T112" s="6"/>
      <c r="U112" s="6"/>
    </row>
    <row r="113">
      <c r="A113" s="19"/>
      <c r="B113" s="26" t="s">
        <v>161</v>
      </c>
      <c r="C113" s="26" t="s">
        <v>276</v>
      </c>
      <c r="D113" s="27" t="s">
        <v>277</v>
      </c>
      <c r="E113" s="6" t="b">
        <f t="shared" si="1"/>
        <v>1</v>
      </c>
      <c r="F113" s="6" t="b">
        <f>COUNTIFS('OLT DOWN Tickets'!$AB:$AB, "*" &amp; D113 &amp; "*", 'OLT DOWN Tickets'!$L:$L, "OLT DOWN") &gt; 0</f>
        <v>0</v>
      </c>
      <c r="G113" s="6" t="b">
        <f>COUNTIFS('OLT DOWN Tickets'!$AB:$AB, "*" &amp; D113 &amp; "*", 'OLT DOWN Tickets'!$L:$L, "OLT UPLINK LOW POWER") &gt; 0</f>
        <v>0</v>
      </c>
      <c r="H113" s="6" t="b">
        <f>COUNTIFS('OLT DOWN Tickets'!$AB:$AB, "*" &amp; D113 &amp; "*", 'OLT DOWN Tickets'!$L:$L, "OLT UPLINK DOWN") &gt; 0</f>
        <v>0</v>
      </c>
      <c r="I113" s="6" t="b">
        <f>COUNTIFS('OLT DOWN Tickets'!$AB:$AB, "*" &amp; D113 &amp; "*", 'OLT DOWN Tickets'!$L:$L, "OLT SERVICE DEGRADATION") &gt; 0</f>
        <v>0</v>
      </c>
      <c r="J113" s="32" t="str">
        <f>IFERROR(__xludf.DUMMYFUNCTION("IFERROR(INDEX(FILTER('OLT DOWN Tickets'!$F:$F, REGEXMATCH('OLT DOWN Tickets'!$AB:$AB, ""(?i)""&amp;TRIM(D113)), 'OLT DOWN Tickets'!$L:$L=""OLT DOWN""), 1), """")"),"")</f>
        <v/>
      </c>
      <c r="K113" s="32" t="str">
        <f>IFERROR(__xludf.DUMMYFUNCTION("IFERROR(INDEX(FILTER('OLT DOWN Tickets'!$F:$F, REGEXMATCH('OLT DOWN Tickets'!$AB:$AB, ""(?i)""&amp;TRIM(D113)), 'OLT DOWN Tickets'!$L:$L=""OLT UPLINK LOW POWER""), 1), """")"),"")</f>
        <v/>
      </c>
      <c r="L113" s="32" t="str">
        <f>IFERROR(__xludf.DUMMYFUNCTION("IFERROR(INDEX(FILTER('OLT DOWN Tickets'!$F:$F, REGEXMATCH('OLT DOWN Tickets'!$AB:$AB, ""(?i)""&amp;TRIM(D113)), 'OLT DOWN Tickets'!$L:$L=""OLT UPLINK DOWN""), 1), """")"),"")</f>
        <v/>
      </c>
      <c r="M113" s="32" t="str">
        <f>IFERROR(__xludf.DUMMYFUNCTION("IFERROR(INDEX(FILTER('OLT DOWN Tickets'!$F:$F, REGEXMATCH('OLT DOWN Tickets'!$AB:$AB, ""(?i)""&amp;TRIM(D113)), 'OLT DOWN Tickets'!$L:$L=""OLT SERVICE DEGRADATION""), 1), """")
"),"")</f>
        <v/>
      </c>
      <c r="N113" s="6" t="b">
        <v>0</v>
      </c>
      <c r="O113" s="6" t="b">
        <v>0</v>
      </c>
      <c r="P113" s="6" t="b">
        <v>0</v>
      </c>
      <c r="Q113" s="6" t="b">
        <v>0</v>
      </c>
      <c r="R113" s="6"/>
      <c r="S113" s="6"/>
      <c r="T113" s="6"/>
      <c r="U113" s="6"/>
    </row>
    <row r="114">
      <c r="A114" s="19"/>
      <c r="B114" s="26" t="s">
        <v>161</v>
      </c>
      <c r="C114" s="26" t="s">
        <v>276</v>
      </c>
      <c r="D114" s="27" t="s">
        <v>278</v>
      </c>
      <c r="E114" s="6" t="b">
        <f t="shared" si="1"/>
        <v>1</v>
      </c>
      <c r="F114" s="6" t="b">
        <f>COUNTIFS('OLT DOWN Tickets'!$AB:$AB, "*" &amp; D114 &amp; "*", 'OLT DOWN Tickets'!$L:$L, "OLT DOWN") &gt; 0</f>
        <v>0</v>
      </c>
      <c r="G114" s="6" t="b">
        <f>COUNTIFS('OLT DOWN Tickets'!$AB:$AB, "*" &amp; D114 &amp; "*", 'OLT DOWN Tickets'!$L:$L, "OLT UPLINK LOW POWER") &gt; 0</f>
        <v>0</v>
      </c>
      <c r="H114" s="6" t="b">
        <f>COUNTIFS('OLT DOWN Tickets'!$AB:$AB, "*" &amp; D114 &amp; "*", 'OLT DOWN Tickets'!$L:$L, "OLT UPLINK DOWN") &gt; 0</f>
        <v>0</v>
      </c>
      <c r="I114" s="6" t="b">
        <f>COUNTIFS('OLT DOWN Tickets'!$AB:$AB, "*" &amp; D114 &amp; "*", 'OLT DOWN Tickets'!$L:$L, "OLT SERVICE DEGRADATION") &gt; 0</f>
        <v>0</v>
      </c>
      <c r="J114" s="32" t="str">
        <f>IFERROR(__xludf.DUMMYFUNCTION("IFERROR(INDEX(FILTER('OLT DOWN Tickets'!$F:$F, REGEXMATCH('OLT DOWN Tickets'!$AB:$AB, ""(?i)""&amp;TRIM(D114)), 'OLT DOWN Tickets'!$L:$L=""OLT DOWN""), 1), """")"),"")</f>
        <v/>
      </c>
      <c r="K114" s="32" t="str">
        <f>IFERROR(__xludf.DUMMYFUNCTION("IFERROR(INDEX(FILTER('OLT DOWN Tickets'!$F:$F, REGEXMATCH('OLT DOWN Tickets'!$AB:$AB, ""(?i)""&amp;TRIM(D114)), 'OLT DOWN Tickets'!$L:$L=""OLT UPLINK LOW POWER""), 1), """")"),"")</f>
        <v/>
      </c>
      <c r="L114" s="32" t="str">
        <f>IFERROR(__xludf.DUMMYFUNCTION("IFERROR(INDEX(FILTER('OLT DOWN Tickets'!$F:$F, REGEXMATCH('OLT DOWN Tickets'!$AB:$AB, ""(?i)""&amp;TRIM(D114)), 'OLT DOWN Tickets'!$L:$L=""OLT UPLINK DOWN""), 1), """")"),"")</f>
        <v/>
      </c>
      <c r="M114" s="32" t="str">
        <f>IFERROR(__xludf.DUMMYFUNCTION("IFERROR(INDEX(FILTER('OLT DOWN Tickets'!$F:$F, REGEXMATCH('OLT DOWN Tickets'!$AB:$AB, ""(?i)""&amp;TRIM(D114)), 'OLT DOWN Tickets'!$L:$L=""OLT SERVICE DEGRADATION""), 1), """")
"),"")</f>
        <v/>
      </c>
      <c r="N114" s="6" t="b">
        <v>0</v>
      </c>
      <c r="O114" s="6" t="b">
        <v>0</v>
      </c>
      <c r="P114" s="6" t="b">
        <v>0</v>
      </c>
      <c r="Q114" s="6" t="b">
        <v>0</v>
      </c>
      <c r="R114" s="6"/>
      <c r="S114" s="6"/>
      <c r="T114" s="6"/>
      <c r="U114" s="6"/>
    </row>
    <row r="115">
      <c r="A115" s="19"/>
      <c r="B115" s="26" t="s">
        <v>161</v>
      </c>
      <c r="C115" s="26" t="s">
        <v>279</v>
      </c>
      <c r="D115" s="27" t="s">
        <v>280</v>
      </c>
      <c r="E115" s="6" t="b">
        <f t="shared" si="1"/>
        <v>1</v>
      </c>
      <c r="F115" s="6" t="b">
        <f>COUNTIFS('OLT DOWN Tickets'!$AB:$AB, "*" &amp; D115 &amp; "*", 'OLT DOWN Tickets'!$L:$L, "OLT DOWN") &gt; 0</f>
        <v>0</v>
      </c>
      <c r="G115" s="6" t="b">
        <f>COUNTIFS('OLT DOWN Tickets'!$AB:$AB, "*" &amp; D115 &amp; "*", 'OLT DOWN Tickets'!$L:$L, "OLT UPLINK LOW POWER") &gt; 0</f>
        <v>0</v>
      </c>
      <c r="H115" s="6" t="b">
        <f>COUNTIFS('OLT DOWN Tickets'!$AB:$AB, "*" &amp; D115 &amp; "*", 'OLT DOWN Tickets'!$L:$L, "OLT UPLINK DOWN") &gt; 0</f>
        <v>0</v>
      </c>
      <c r="I115" s="6" t="b">
        <f>COUNTIFS('OLT DOWN Tickets'!$AB:$AB, "*" &amp; D115 &amp; "*", 'OLT DOWN Tickets'!$L:$L, "OLT SERVICE DEGRADATION") &gt; 0</f>
        <v>0</v>
      </c>
      <c r="J115" s="32" t="str">
        <f>IFERROR(__xludf.DUMMYFUNCTION("IFERROR(INDEX(FILTER('OLT DOWN Tickets'!$F:$F, REGEXMATCH('OLT DOWN Tickets'!$AB:$AB, ""(?i)""&amp;TRIM(D115)), 'OLT DOWN Tickets'!$L:$L=""OLT DOWN""), 1), """")"),"")</f>
        <v/>
      </c>
      <c r="K115" s="32" t="str">
        <f>IFERROR(__xludf.DUMMYFUNCTION("IFERROR(INDEX(FILTER('OLT DOWN Tickets'!$F:$F, REGEXMATCH('OLT DOWN Tickets'!$AB:$AB, ""(?i)""&amp;TRIM(D115)), 'OLT DOWN Tickets'!$L:$L=""OLT UPLINK LOW POWER""), 1), """")"),"")</f>
        <v/>
      </c>
      <c r="L115" s="32" t="str">
        <f>IFERROR(__xludf.DUMMYFUNCTION("IFERROR(INDEX(FILTER('OLT DOWN Tickets'!$F:$F, REGEXMATCH('OLT DOWN Tickets'!$AB:$AB, ""(?i)""&amp;TRIM(D115)), 'OLT DOWN Tickets'!$L:$L=""OLT UPLINK DOWN""), 1), """")"),"")</f>
        <v/>
      </c>
      <c r="M115" s="32" t="str">
        <f>IFERROR(__xludf.DUMMYFUNCTION("IFERROR(INDEX(FILTER('OLT DOWN Tickets'!$F:$F, REGEXMATCH('OLT DOWN Tickets'!$AB:$AB, ""(?i)""&amp;TRIM(D115)), 'OLT DOWN Tickets'!$L:$L=""OLT SERVICE DEGRADATION""), 1), """")
"),"")</f>
        <v/>
      </c>
      <c r="N115" s="6" t="b">
        <v>0</v>
      </c>
      <c r="O115" s="6" t="b">
        <v>0</v>
      </c>
      <c r="P115" s="6" t="b">
        <v>0</v>
      </c>
      <c r="Q115" s="6" t="b">
        <v>0</v>
      </c>
      <c r="R115" s="6"/>
      <c r="S115" s="6"/>
      <c r="T115" s="6"/>
      <c r="U115" s="6"/>
    </row>
    <row r="116">
      <c r="A116" s="19"/>
      <c r="B116" s="26" t="s">
        <v>161</v>
      </c>
      <c r="C116" s="26" t="s">
        <v>281</v>
      </c>
      <c r="D116" s="27" t="s">
        <v>282</v>
      </c>
      <c r="E116" s="6" t="b">
        <f t="shared" si="1"/>
        <v>1</v>
      </c>
      <c r="F116" s="6" t="b">
        <f>COUNTIFS('OLT DOWN Tickets'!$AB:$AB, "*" &amp; D116 &amp; "*", 'OLT DOWN Tickets'!$L:$L, "OLT DOWN") &gt; 0</f>
        <v>0</v>
      </c>
      <c r="G116" s="6" t="b">
        <f>COUNTIFS('OLT DOWN Tickets'!$AB:$AB, "*" &amp; D116 &amp; "*", 'OLT DOWN Tickets'!$L:$L, "OLT UPLINK LOW POWER") &gt; 0</f>
        <v>0</v>
      </c>
      <c r="H116" s="6" t="b">
        <f>COUNTIFS('OLT DOWN Tickets'!$AB:$AB, "*" &amp; D116 &amp; "*", 'OLT DOWN Tickets'!$L:$L, "OLT UPLINK DOWN") &gt; 0</f>
        <v>0</v>
      </c>
      <c r="I116" s="6" t="b">
        <f>COUNTIFS('OLT DOWN Tickets'!$AB:$AB, "*" &amp; D116 &amp; "*", 'OLT DOWN Tickets'!$L:$L, "OLT SERVICE DEGRADATION") &gt; 0</f>
        <v>0</v>
      </c>
      <c r="J116" s="32" t="str">
        <f>IFERROR(__xludf.DUMMYFUNCTION("IFERROR(INDEX(FILTER('OLT DOWN Tickets'!$F:$F, REGEXMATCH('OLT DOWN Tickets'!$AB:$AB, ""(?i)""&amp;TRIM(D116)), 'OLT DOWN Tickets'!$L:$L=""OLT DOWN""), 1), """")"),"")</f>
        <v/>
      </c>
      <c r="K116" s="32" t="str">
        <f>IFERROR(__xludf.DUMMYFUNCTION("IFERROR(INDEX(FILTER('OLT DOWN Tickets'!$F:$F, REGEXMATCH('OLT DOWN Tickets'!$AB:$AB, ""(?i)""&amp;TRIM(D116)), 'OLT DOWN Tickets'!$L:$L=""OLT UPLINK LOW POWER""), 1), """")"),"")</f>
        <v/>
      </c>
      <c r="L116" s="32" t="str">
        <f>IFERROR(__xludf.DUMMYFUNCTION("IFERROR(INDEX(FILTER('OLT DOWN Tickets'!$F:$F, REGEXMATCH('OLT DOWN Tickets'!$AB:$AB, ""(?i)""&amp;TRIM(D116)), 'OLT DOWN Tickets'!$L:$L=""OLT UPLINK DOWN""), 1), """")"),"")</f>
        <v/>
      </c>
      <c r="M116" s="32" t="str">
        <f>IFERROR(__xludf.DUMMYFUNCTION("IFERROR(INDEX(FILTER('OLT DOWN Tickets'!$F:$F, REGEXMATCH('OLT DOWN Tickets'!$AB:$AB, ""(?i)""&amp;TRIM(D116)), 'OLT DOWN Tickets'!$L:$L=""OLT SERVICE DEGRADATION""), 1), """")
"),"")</f>
        <v/>
      </c>
      <c r="N116" s="6" t="b">
        <v>0</v>
      </c>
      <c r="O116" s="6" t="b">
        <v>0</v>
      </c>
      <c r="P116" s="6" t="b">
        <v>0</v>
      </c>
      <c r="Q116" s="6" t="b">
        <v>0</v>
      </c>
      <c r="R116" s="6"/>
      <c r="S116" s="6"/>
      <c r="T116" s="6"/>
      <c r="U116" s="6"/>
    </row>
    <row r="117">
      <c r="A117" s="19"/>
      <c r="B117" s="26" t="s">
        <v>161</v>
      </c>
      <c r="C117" s="26" t="s">
        <v>281</v>
      </c>
      <c r="D117" s="27" t="s">
        <v>283</v>
      </c>
      <c r="E117" s="6" t="b">
        <f t="shared" si="1"/>
        <v>1</v>
      </c>
      <c r="F117" s="6" t="b">
        <f>COUNTIFS('OLT DOWN Tickets'!$AB:$AB, "*" &amp; D117 &amp; "*", 'OLT DOWN Tickets'!$L:$L, "OLT DOWN") &gt; 0</f>
        <v>0</v>
      </c>
      <c r="G117" s="6" t="b">
        <f>COUNTIFS('OLT DOWN Tickets'!$AB:$AB, "*" &amp; D117 &amp; "*", 'OLT DOWN Tickets'!$L:$L, "OLT UPLINK LOW POWER") &gt; 0</f>
        <v>0</v>
      </c>
      <c r="H117" s="6" t="b">
        <f>COUNTIFS('OLT DOWN Tickets'!$AB:$AB, "*" &amp; D117 &amp; "*", 'OLT DOWN Tickets'!$L:$L, "OLT UPLINK DOWN") &gt; 0</f>
        <v>0</v>
      </c>
      <c r="I117" s="6" t="b">
        <f>COUNTIFS('OLT DOWN Tickets'!$AB:$AB, "*" &amp; D117 &amp; "*", 'OLT DOWN Tickets'!$L:$L, "OLT SERVICE DEGRADATION") &gt; 0</f>
        <v>0</v>
      </c>
      <c r="J117" s="32" t="str">
        <f>IFERROR(__xludf.DUMMYFUNCTION("IFERROR(INDEX(FILTER('OLT DOWN Tickets'!$F:$F, REGEXMATCH('OLT DOWN Tickets'!$AB:$AB, ""(?i)""&amp;TRIM(D117)), 'OLT DOWN Tickets'!$L:$L=""OLT DOWN""), 1), """")"),"")</f>
        <v/>
      </c>
      <c r="K117" s="32" t="str">
        <f>IFERROR(__xludf.DUMMYFUNCTION("IFERROR(INDEX(FILTER('OLT DOWN Tickets'!$F:$F, REGEXMATCH('OLT DOWN Tickets'!$AB:$AB, ""(?i)""&amp;TRIM(D117)), 'OLT DOWN Tickets'!$L:$L=""OLT UPLINK LOW POWER""), 1), """")"),"")</f>
        <v/>
      </c>
      <c r="L117" s="32" t="str">
        <f>IFERROR(__xludf.DUMMYFUNCTION("IFERROR(INDEX(FILTER('OLT DOWN Tickets'!$F:$F, REGEXMATCH('OLT DOWN Tickets'!$AB:$AB, ""(?i)""&amp;TRIM(D117)), 'OLT DOWN Tickets'!$L:$L=""OLT UPLINK DOWN""), 1), """")"),"")</f>
        <v/>
      </c>
      <c r="M117" s="32" t="str">
        <f>IFERROR(__xludf.DUMMYFUNCTION("IFERROR(INDEX(FILTER('OLT DOWN Tickets'!$F:$F, REGEXMATCH('OLT DOWN Tickets'!$AB:$AB, ""(?i)""&amp;TRIM(D117)), 'OLT DOWN Tickets'!$L:$L=""OLT SERVICE DEGRADATION""), 1), """")
"),"")</f>
        <v/>
      </c>
      <c r="N117" s="6" t="b">
        <v>0</v>
      </c>
      <c r="O117" s="6" t="b">
        <v>0</v>
      </c>
      <c r="P117" s="6" t="b">
        <v>0</v>
      </c>
      <c r="Q117" s="6" t="b">
        <v>0</v>
      </c>
      <c r="R117" s="6"/>
      <c r="S117" s="6"/>
      <c r="T117" s="6"/>
      <c r="U117" s="6"/>
    </row>
    <row r="118">
      <c r="A118" s="19"/>
      <c r="B118" s="26" t="s">
        <v>161</v>
      </c>
      <c r="C118" s="26" t="s">
        <v>284</v>
      </c>
      <c r="D118" s="27" t="s">
        <v>285</v>
      </c>
      <c r="E118" s="6" t="b">
        <f t="shared" si="1"/>
        <v>1</v>
      </c>
      <c r="F118" s="6" t="b">
        <f>COUNTIFS('OLT DOWN Tickets'!$AB:$AB, "*" &amp; D118 &amp; "*", 'OLT DOWN Tickets'!$L:$L, "OLT DOWN") &gt; 0</f>
        <v>0</v>
      </c>
      <c r="G118" s="6" t="b">
        <f>COUNTIFS('OLT DOWN Tickets'!$AB:$AB, "*" &amp; D118 &amp; "*", 'OLT DOWN Tickets'!$L:$L, "OLT UPLINK LOW POWER") &gt; 0</f>
        <v>0</v>
      </c>
      <c r="H118" s="6" t="b">
        <f>COUNTIFS('OLT DOWN Tickets'!$AB:$AB, "*" &amp; D118 &amp; "*", 'OLT DOWN Tickets'!$L:$L, "OLT UPLINK DOWN") &gt; 0</f>
        <v>0</v>
      </c>
      <c r="I118" s="6" t="b">
        <f>COUNTIFS('OLT DOWN Tickets'!$AB:$AB, "*" &amp; D118 &amp; "*", 'OLT DOWN Tickets'!$L:$L, "OLT SERVICE DEGRADATION") &gt; 0</f>
        <v>0</v>
      </c>
      <c r="J118" s="32" t="str">
        <f>IFERROR(__xludf.DUMMYFUNCTION("IFERROR(INDEX(FILTER('OLT DOWN Tickets'!$F:$F, REGEXMATCH('OLT DOWN Tickets'!$AB:$AB, ""(?i)""&amp;TRIM(D118)), 'OLT DOWN Tickets'!$L:$L=""OLT DOWN""), 1), """")"),"")</f>
        <v/>
      </c>
      <c r="K118" s="32" t="str">
        <f>IFERROR(__xludf.DUMMYFUNCTION("IFERROR(INDEX(FILTER('OLT DOWN Tickets'!$F:$F, REGEXMATCH('OLT DOWN Tickets'!$AB:$AB, ""(?i)""&amp;TRIM(D118)), 'OLT DOWN Tickets'!$L:$L=""OLT UPLINK LOW POWER""), 1), """")"),"")</f>
        <v/>
      </c>
      <c r="L118" s="32" t="str">
        <f>IFERROR(__xludf.DUMMYFUNCTION("IFERROR(INDEX(FILTER('OLT DOWN Tickets'!$F:$F, REGEXMATCH('OLT DOWN Tickets'!$AB:$AB, ""(?i)""&amp;TRIM(D118)), 'OLT DOWN Tickets'!$L:$L=""OLT UPLINK DOWN""), 1), """")"),"")</f>
        <v/>
      </c>
      <c r="M118" s="32" t="str">
        <f>IFERROR(__xludf.DUMMYFUNCTION("IFERROR(INDEX(FILTER('OLT DOWN Tickets'!$F:$F, REGEXMATCH('OLT DOWN Tickets'!$AB:$AB, ""(?i)""&amp;TRIM(D118)), 'OLT DOWN Tickets'!$L:$L=""OLT SERVICE DEGRADATION""), 1), """")
"),"")</f>
        <v/>
      </c>
      <c r="N118" s="6" t="b">
        <v>0</v>
      </c>
      <c r="O118" s="6" t="b">
        <v>0</v>
      </c>
      <c r="P118" s="6" t="b">
        <v>0</v>
      </c>
      <c r="Q118" s="6" t="b">
        <v>0</v>
      </c>
      <c r="R118" s="6"/>
      <c r="S118" s="6"/>
      <c r="T118" s="6"/>
      <c r="U118" s="6"/>
    </row>
    <row r="119">
      <c r="A119" s="19"/>
      <c r="B119" s="26" t="s">
        <v>161</v>
      </c>
      <c r="C119" s="26" t="s">
        <v>284</v>
      </c>
      <c r="D119" s="27" t="s">
        <v>286</v>
      </c>
      <c r="E119" s="6" t="b">
        <f t="shared" si="1"/>
        <v>1</v>
      </c>
      <c r="F119" s="6" t="b">
        <f>COUNTIFS('OLT DOWN Tickets'!$AB:$AB, "*" &amp; D119 &amp; "*", 'OLT DOWN Tickets'!$L:$L, "OLT DOWN") &gt; 0</f>
        <v>0</v>
      </c>
      <c r="G119" s="6" t="b">
        <f>COUNTIFS('OLT DOWN Tickets'!$AB:$AB, "*" &amp; D119 &amp; "*", 'OLT DOWN Tickets'!$L:$L, "OLT UPLINK LOW POWER") &gt; 0</f>
        <v>0</v>
      </c>
      <c r="H119" s="6" t="b">
        <f>COUNTIFS('OLT DOWN Tickets'!$AB:$AB, "*" &amp; D119 &amp; "*", 'OLT DOWN Tickets'!$L:$L, "OLT UPLINK DOWN") &gt; 0</f>
        <v>0</v>
      </c>
      <c r="I119" s="6" t="b">
        <f>COUNTIFS('OLT DOWN Tickets'!$AB:$AB, "*" &amp; D119 &amp; "*", 'OLT DOWN Tickets'!$L:$L, "OLT SERVICE DEGRADATION") &gt; 0</f>
        <v>0</v>
      </c>
      <c r="J119" s="32" t="str">
        <f>IFERROR(__xludf.DUMMYFUNCTION("IFERROR(INDEX(FILTER('OLT DOWN Tickets'!$F:$F, REGEXMATCH('OLT DOWN Tickets'!$AB:$AB, ""(?i)""&amp;TRIM(D119)), 'OLT DOWN Tickets'!$L:$L=""OLT DOWN""), 1), """")"),"")</f>
        <v/>
      </c>
      <c r="K119" s="32" t="str">
        <f>IFERROR(__xludf.DUMMYFUNCTION("IFERROR(INDEX(FILTER('OLT DOWN Tickets'!$F:$F, REGEXMATCH('OLT DOWN Tickets'!$AB:$AB, ""(?i)""&amp;TRIM(D119)), 'OLT DOWN Tickets'!$L:$L=""OLT UPLINK LOW POWER""), 1), """")"),"")</f>
        <v/>
      </c>
      <c r="L119" s="32" t="str">
        <f>IFERROR(__xludf.DUMMYFUNCTION("IFERROR(INDEX(FILTER('OLT DOWN Tickets'!$F:$F, REGEXMATCH('OLT DOWN Tickets'!$AB:$AB, ""(?i)""&amp;TRIM(D119)), 'OLT DOWN Tickets'!$L:$L=""OLT UPLINK DOWN""), 1), """")"),"")</f>
        <v/>
      </c>
      <c r="M119" s="32" t="str">
        <f>IFERROR(__xludf.DUMMYFUNCTION("IFERROR(INDEX(FILTER('OLT DOWN Tickets'!$F:$F, REGEXMATCH('OLT DOWN Tickets'!$AB:$AB, ""(?i)""&amp;TRIM(D119)), 'OLT DOWN Tickets'!$L:$L=""OLT SERVICE DEGRADATION""), 1), """")
"),"")</f>
        <v/>
      </c>
      <c r="N119" s="6" t="b">
        <v>0</v>
      </c>
      <c r="O119" s="6" t="b">
        <v>0</v>
      </c>
      <c r="P119" s="6" t="b">
        <v>0</v>
      </c>
      <c r="Q119" s="6" t="b">
        <v>0</v>
      </c>
      <c r="R119" s="6"/>
      <c r="S119" s="6"/>
      <c r="T119" s="6"/>
      <c r="U119" s="6"/>
    </row>
    <row r="120">
      <c r="A120" s="19"/>
      <c r="B120" s="26" t="s">
        <v>161</v>
      </c>
      <c r="C120" s="26" t="s">
        <v>287</v>
      </c>
      <c r="D120" s="27" t="s">
        <v>288</v>
      </c>
      <c r="E120" s="6" t="b">
        <f t="shared" si="1"/>
        <v>1</v>
      </c>
      <c r="F120" s="6" t="b">
        <f>COUNTIFS('OLT DOWN Tickets'!$AB:$AB, "*" &amp; D120 &amp; "*", 'OLT DOWN Tickets'!$L:$L, "OLT DOWN") &gt; 0</f>
        <v>0</v>
      </c>
      <c r="G120" s="6" t="b">
        <f>COUNTIFS('OLT DOWN Tickets'!$AB:$AB, "*" &amp; D120 &amp; "*", 'OLT DOWN Tickets'!$L:$L, "OLT UPLINK LOW POWER") &gt; 0</f>
        <v>0</v>
      </c>
      <c r="H120" s="6" t="b">
        <f>COUNTIFS('OLT DOWN Tickets'!$AB:$AB, "*" &amp; D120 &amp; "*", 'OLT DOWN Tickets'!$L:$L, "OLT UPLINK DOWN") &gt; 0</f>
        <v>0</v>
      </c>
      <c r="I120" s="6" t="b">
        <f>COUNTIFS('OLT DOWN Tickets'!$AB:$AB, "*" &amp; D120 &amp; "*", 'OLT DOWN Tickets'!$L:$L, "OLT SERVICE DEGRADATION") &gt; 0</f>
        <v>0</v>
      </c>
      <c r="J120" s="32" t="str">
        <f>IFERROR(__xludf.DUMMYFUNCTION("IFERROR(INDEX(FILTER('OLT DOWN Tickets'!$F:$F, REGEXMATCH('OLT DOWN Tickets'!$AB:$AB, ""(?i)""&amp;TRIM(D120)), 'OLT DOWN Tickets'!$L:$L=""OLT DOWN""), 1), """")"),"")</f>
        <v/>
      </c>
      <c r="K120" s="32" t="str">
        <f>IFERROR(__xludf.DUMMYFUNCTION("IFERROR(INDEX(FILTER('OLT DOWN Tickets'!$F:$F, REGEXMATCH('OLT DOWN Tickets'!$AB:$AB, ""(?i)""&amp;TRIM(D120)), 'OLT DOWN Tickets'!$L:$L=""OLT UPLINK LOW POWER""), 1), """")"),"")</f>
        <v/>
      </c>
      <c r="L120" s="32" t="str">
        <f>IFERROR(__xludf.DUMMYFUNCTION("IFERROR(INDEX(FILTER('OLT DOWN Tickets'!$F:$F, REGEXMATCH('OLT DOWN Tickets'!$AB:$AB, ""(?i)""&amp;TRIM(D120)), 'OLT DOWN Tickets'!$L:$L=""OLT UPLINK DOWN""), 1), """")"),"")</f>
        <v/>
      </c>
      <c r="M120" s="32" t="str">
        <f>IFERROR(__xludf.DUMMYFUNCTION("IFERROR(INDEX(FILTER('OLT DOWN Tickets'!$F:$F, REGEXMATCH('OLT DOWN Tickets'!$AB:$AB, ""(?i)""&amp;TRIM(D120)), 'OLT DOWN Tickets'!$L:$L=""OLT SERVICE DEGRADATION""), 1), """")
"),"")</f>
        <v/>
      </c>
      <c r="N120" s="6" t="b">
        <v>0</v>
      </c>
      <c r="O120" s="6" t="b">
        <v>0</v>
      </c>
      <c r="P120" s="6" t="b">
        <v>0</v>
      </c>
      <c r="Q120" s="6" t="b">
        <v>0</v>
      </c>
      <c r="R120" s="6"/>
      <c r="S120" s="6"/>
      <c r="T120" s="6"/>
      <c r="U120" s="6"/>
    </row>
    <row r="121">
      <c r="A121" s="19"/>
      <c r="B121" s="26" t="s">
        <v>161</v>
      </c>
      <c r="C121" s="26" t="s">
        <v>289</v>
      </c>
      <c r="D121" s="27" t="s">
        <v>290</v>
      </c>
      <c r="E121" s="6" t="b">
        <f t="shared" si="1"/>
        <v>1</v>
      </c>
      <c r="F121" s="6" t="b">
        <f>COUNTIFS('OLT DOWN Tickets'!$AB:$AB, "*" &amp; D121 &amp; "*", 'OLT DOWN Tickets'!$L:$L, "OLT DOWN") &gt; 0</f>
        <v>0</v>
      </c>
      <c r="G121" s="6" t="b">
        <f>COUNTIFS('OLT DOWN Tickets'!$AB:$AB, "*" &amp; D121 &amp; "*", 'OLT DOWN Tickets'!$L:$L, "OLT UPLINK LOW POWER") &gt; 0</f>
        <v>0</v>
      </c>
      <c r="H121" s="6" t="b">
        <f>COUNTIFS('OLT DOWN Tickets'!$AB:$AB, "*" &amp; D121 &amp; "*", 'OLT DOWN Tickets'!$L:$L, "OLT UPLINK DOWN") &gt; 0</f>
        <v>0</v>
      </c>
      <c r="I121" s="6" t="b">
        <f>COUNTIFS('OLT DOWN Tickets'!$AB:$AB, "*" &amp; D121 &amp; "*", 'OLT DOWN Tickets'!$L:$L, "OLT SERVICE DEGRADATION") &gt; 0</f>
        <v>0</v>
      </c>
      <c r="J121" s="32" t="str">
        <f>IFERROR(__xludf.DUMMYFUNCTION("IFERROR(INDEX(FILTER('OLT DOWN Tickets'!$F:$F, REGEXMATCH('OLT DOWN Tickets'!$AB:$AB, ""(?i)""&amp;TRIM(D121)), 'OLT DOWN Tickets'!$L:$L=""OLT DOWN""), 1), """")"),"")</f>
        <v/>
      </c>
      <c r="K121" s="32" t="str">
        <f>IFERROR(__xludf.DUMMYFUNCTION("IFERROR(INDEX(FILTER('OLT DOWN Tickets'!$F:$F, REGEXMATCH('OLT DOWN Tickets'!$AB:$AB, ""(?i)""&amp;TRIM(D121)), 'OLT DOWN Tickets'!$L:$L=""OLT UPLINK LOW POWER""), 1), """")"),"")</f>
        <v/>
      </c>
      <c r="L121" s="32" t="str">
        <f>IFERROR(__xludf.DUMMYFUNCTION("IFERROR(INDEX(FILTER('OLT DOWN Tickets'!$F:$F, REGEXMATCH('OLT DOWN Tickets'!$AB:$AB, ""(?i)""&amp;TRIM(D121)), 'OLT DOWN Tickets'!$L:$L=""OLT UPLINK DOWN""), 1), """")"),"")</f>
        <v/>
      </c>
      <c r="M121" s="32" t="str">
        <f>IFERROR(__xludf.DUMMYFUNCTION("IFERROR(INDEX(FILTER('OLT DOWN Tickets'!$F:$F, REGEXMATCH('OLT DOWN Tickets'!$AB:$AB, ""(?i)""&amp;TRIM(D121)), 'OLT DOWN Tickets'!$L:$L=""OLT SERVICE DEGRADATION""), 1), """")
"),"")</f>
        <v/>
      </c>
      <c r="N121" s="6" t="b">
        <v>0</v>
      </c>
      <c r="O121" s="6" t="b">
        <v>0</v>
      </c>
      <c r="P121" s="6" t="b">
        <v>0</v>
      </c>
      <c r="Q121" s="6" t="b">
        <v>0</v>
      </c>
      <c r="R121" s="6"/>
      <c r="S121" s="6"/>
      <c r="T121" s="6"/>
      <c r="U121" s="6"/>
    </row>
    <row r="122">
      <c r="A122" s="19"/>
      <c r="B122" s="26" t="s">
        <v>161</v>
      </c>
      <c r="C122" s="26" t="s">
        <v>291</v>
      </c>
      <c r="D122" s="27" t="s">
        <v>292</v>
      </c>
      <c r="E122" s="6" t="b">
        <f t="shared" si="1"/>
        <v>1</v>
      </c>
      <c r="F122" s="6" t="b">
        <f>COUNTIFS('OLT DOWN Tickets'!$AB:$AB, "*" &amp; D122 &amp; "*", 'OLT DOWN Tickets'!$L:$L, "OLT DOWN") &gt; 0</f>
        <v>0</v>
      </c>
      <c r="G122" s="6" t="b">
        <f>COUNTIFS('OLT DOWN Tickets'!$AB:$AB, "*" &amp; D122 &amp; "*", 'OLT DOWN Tickets'!$L:$L, "OLT UPLINK LOW POWER") &gt; 0</f>
        <v>0</v>
      </c>
      <c r="H122" s="6" t="b">
        <f>COUNTIFS('OLT DOWN Tickets'!$AB:$AB, "*" &amp; D122 &amp; "*", 'OLT DOWN Tickets'!$L:$L, "OLT UPLINK DOWN") &gt; 0</f>
        <v>0</v>
      </c>
      <c r="I122" s="6" t="b">
        <f>COUNTIFS('OLT DOWN Tickets'!$AB:$AB, "*" &amp; D122 &amp; "*", 'OLT DOWN Tickets'!$L:$L, "OLT SERVICE DEGRADATION") &gt; 0</f>
        <v>0</v>
      </c>
      <c r="J122" s="32" t="str">
        <f>IFERROR(__xludf.DUMMYFUNCTION("IFERROR(INDEX(FILTER('OLT DOWN Tickets'!$F:$F, REGEXMATCH('OLT DOWN Tickets'!$AB:$AB, ""(?i)""&amp;TRIM(D122)), 'OLT DOWN Tickets'!$L:$L=""OLT DOWN""), 1), """")"),"")</f>
        <v/>
      </c>
      <c r="K122" s="32" t="str">
        <f>IFERROR(__xludf.DUMMYFUNCTION("IFERROR(INDEX(FILTER('OLT DOWN Tickets'!$F:$F, REGEXMATCH('OLT DOWN Tickets'!$AB:$AB, ""(?i)""&amp;TRIM(D122)), 'OLT DOWN Tickets'!$L:$L=""OLT UPLINK LOW POWER""), 1), """")"),"")</f>
        <v/>
      </c>
      <c r="L122" s="32" t="str">
        <f>IFERROR(__xludf.DUMMYFUNCTION("IFERROR(INDEX(FILTER('OLT DOWN Tickets'!$F:$F, REGEXMATCH('OLT DOWN Tickets'!$AB:$AB, ""(?i)""&amp;TRIM(D122)), 'OLT DOWN Tickets'!$L:$L=""OLT UPLINK DOWN""), 1), """")"),"")</f>
        <v/>
      </c>
      <c r="M122" s="32" t="str">
        <f>IFERROR(__xludf.DUMMYFUNCTION("IFERROR(INDEX(FILTER('OLT DOWN Tickets'!$F:$F, REGEXMATCH('OLT DOWN Tickets'!$AB:$AB, ""(?i)""&amp;TRIM(D122)), 'OLT DOWN Tickets'!$L:$L=""OLT SERVICE DEGRADATION""), 1), """")
"),"")</f>
        <v/>
      </c>
      <c r="N122" s="6" t="b">
        <v>0</v>
      </c>
      <c r="O122" s="6" t="b">
        <v>0</v>
      </c>
      <c r="P122" s="6" t="b">
        <v>0</v>
      </c>
      <c r="Q122" s="6" t="b">
        <v>0</v>
      </c>
      <c r="R122" s="6"/>
      <c r="S122" s="6"/>
      <c r="T122" s="6"/>
      <c r="U122" s="6"/>
    </row>
    <row r="123">
      <c r="A123" s="19"/>
      <c r="B123" s="26" t="s">
        <v>161</v>
      </c>
      <c r="C123" s="26" t="s">
        <v>291</v>
      </c>
      <c r="D123" s="27" t="s">
        <v>293</v>
      </c>
      <c r="E123" s="6" t="b">
        <f t="shared" si="1"/>
        <v>1</v>
      </c>
      <c r="F123" s="6" t="b">
        <f>COUNTIFS('OLT DOWN Tickets'!$AB:$AB, "*" &amp; D123 &amp; "*", 'OLT DOWN Tickets'!$L:$L, "OLT DOWN") &gt; 0</f>
        <v>0</v>
      </c>
      <c r="G123" s="6" t="b">
        <f>COUNTIFS('OLT DOWN Tickets'!$AB:$AB, "*" &amp; D123 &amp; "*", 'OLT DOWN Tickets'!$L:$L, "OLT UPLINK LOW POWER") &gt; 0</f>
        <v>0</v>
      </c>
      <c r="H123" s="6" t="b">
        <f>COUNTIFS('OLT DOWN Tickets'!$AB:$AB, "*" &amp; D123 &amp; "*", 'OLT DOWN Tickets'!$L:$L, "OLT UPLINK DOWN") &gt; 0</f>
        <v>0</v>
      </c>
      <c r="I123" s="6" t="b">
        <f>COUNTIFS('OLT DOWN Tickets'!$AB:$AB, "*" &amp; D123 &amp; "*", 'OLT DOWN Tickets'!$L:$L, "OLT SERVICE DEGRADATION") &gt; 0</f>
        <v>0</v>
      </c>
      <c r="J123" s="32" t="str">
        <f>IFERROR(__xludf.DUMMYFUNCTION("IFERROR(INDEX(FILTER('OLT DOWN Tickets'!$F:$F, REGEXMATCH('OLT DOWN Tickets'!$AB:$AB, ""(?i)""&amp;TRIM(D123)), 'OLT DOWN Tickets'!$L:$L=""OLT DOWN""), 1), """")"),"")</f>
        <v/>
      </c>
      <c r="K123" s="32" t="str">
        <f>IFERROR(__xludf.DUMMYFUNCTION("IFERROR(INDEX(FILTER('OLT DOWN Tickets'!$F:$F, REGEXMATCH('OLT DOWN Tickets'!$AB:$AB, ""(?i)""&amp;TRIM(D123)), 'OLT DOWN Tickets'!$L:$L=""OLT UPLINK LOW POWER""), 1), """")"),"")</f>
        <v/>
      </c>
      <c r="L123" s="32" t="str">
        <f>IFERROR(__xludf.DUMMYFUNCTION("IFERROR(INDEX(FILTER('OLT DOWN Tickets'!$F:$F, REGEXMATCH('OLT DOWN Tickets'!$AB:$AB, ""(?i)""&amp;TRIM(D123)), 'OLT DOWN Tickets'!$L:$L=""OLT UPLINK DOWN""), 1), """")"),"")</f>
        <v/>
      </c>
      <c r="M123" s="32" t="str">
        <f>IFERROR(__xludf.DUMMYFUNCTION("IFERROR(INDEX(FILTER('OLT DOWN Tickets'!$F:$F, REGEXMATCH('OLT DOWN Tickets'!$AB:$AB, ""(?i)""&amp;TRIM(D123)), 'OLT DOWN Tickets'!$L:$L=""OLT SERVICE DEGRADATION""), 1), """")
"),"")</f>
        <v/>
      </c>
      <c r="N123" s="6" t="b">
        <v>0</v>
      </c>
      <c r="O123" s="6" t="b">
        <v>0</v>
      </c>
      <c r="P123" s="6" t="b">
        <v>0</v>
      </c>
      <c r="Q123" s="6" t="b">
        <v>0</v>
      </c>
      <c r="R123" s="6"/>
      <c r="S123" s="6"/>
      <c r="T123" s="6"/>
      <c r="U123" s="6"/>
    </row>
    <row r="124">
      <c r="A124" s="19"/>
      <c r="B124" s="26" t="s">
        <v>161</v>
      </c>
      <c r="C124" s="26" t="s">
        <v>294</v>
      </c>
      <c r="D124" s="27" t="s">
        <v>295</v>
      </c>
      <c r="E124" s="6" t="b">
        <f t="shared" si="1"/>
        <v>1</v>
      </c>
      <c r="F124" s="6" t="b">
        <f>COUNTIFS('OLT DOWN Tickets'!$AB:$AB, "*" &amp; D124 &amp; "*", 'OLT DOWN Tickets'!$L:$L, "OLT DOWN") &gt; 0</f>
        <v>0</v>
      </c>
      <c r="G124" s="6" t="b">
        <f>COUNTIFS('OLT DOWN Tickets'!$AB:$AB, "*" &amp; D124 &amp; "*", 'OLT DOWN Tickets'!$L:$L, "OLT UPLINK LOW POWER") &gt; 0</f>
        <v>0</v>
      </c>
      <c r="H124" s="6" t="b">
        <f>COUNTIFS('OLT DOWN Tickets'!$AB:$AB, "*" &amp; D124 &amp; "*", 'OLT DOWN Tickets'!$L:$L, "OLT UPLINK DOWN") &gt; 0</f>
        <v>0</v>
      </c>
      <c r="I124" s="6" t="b">
        <f>COUNTIFS('OLT DOWN Tickets'!$AB:$AB, "*" &amp; D124 &amp; "*", 'OLT DOWN Tickets'!$L:$L, "OLT SERVICE DEGRADATION") &gt; 0</f>
        <v>0</v>
      </c>
      <c r="J124" s="32" t="str">
        <f>IFERROR(__xludf.DUMMYFUNCTION("IFERROR(INDEX(FILTER('OLT DOWN Tickets'!$F:$F, REGEXMATCH('OLT DOWN Tickets'!$AB:$AB, ""(?i)""&amp;TRIM(D124)), 'OLT DOWN Tickets'!$L:$L=""OLT DOWN""), 1), """")"),"")</f>
        <v/>
      </c>
      <c r="K124" s="32" t="str">
        <f>IFERROR(__xludf.DUMMYFUNCTION("IFERROR(INDEX(FILTER('OLT DOWN Tickets'!$F:$F, REGEXMATCH('OLT DOWN Tickets'!$AB:$AB, ""(?i)""&amp;TRIM(D124)), 'OLT DOWN Tickets'!$L:$L=""OLT UPLINK LOW POWER""), 1), """")"),"")</f>
        <v/>
      </c>
      <c r="L124" s="32" t="str">
        <f>IFERROR(__xludf.DUMMYFUNCTION("IFERROR(INDEX(FILTER('OLT DOWN Tickets'!$F:$F, REGEXMATCH('OLT DOWN Tickets'!$AB:$AB, ""(?i)""&amp;TRIM(D124)), 'OLT DOWN Tickets'!$L:$L=""OLT UPLINK DOWN""), 1), """")"),"")</f>
        <v/>
      </c>
      <c r="M124" s="32" t="str">
        <f>IFERROR(__xludf.DUMMYFUNCTION("IFERROR(INDEX(FILTER('OLT DOWN Tickets'!$F:$F, REGEXMATCH('OLT DOWN Tickets'!$AB:$AB, ""(?i)""&amp;TRIM(D124)), 'OLT DOWN Tickets'!$L:$L=""OLT SERVICE DEGRADATION""), 1), """")
"),"")</f>
        <v/>
      </c>
      <c r="N124" s="6" t="b">
        <v>0</v>
      </c>
      <c r="O124" s="6" t="b">
        <v>0</v>
      </c>
      <c r="P124" s="6" t="b">
        <v>0</v>
      </c>
      <c r="Q124" s="6" t="b">
        <v>0</v>
      </c>
      <c r="R124" s="6"/>
      <c r="S124" s="6"/>
      <c r="T124" s="6"/>
      <c r="U124" s="6"/>
    </row>
    <row r="125">
      <c r="A125" s="19"/>
      <c r="B125" s="26" t="s">
        <v>161</v>
      </c>
      <c r="C125" s="26" t="s">
        <v>296</v>
      </c>
      <c r="D125" s="27" t="s">
        <v>297</v>
      </c>
      <c r="E125" s="6" t="b">
        <f t="shared" si="1"/>
        <v>1</v>
      </c>
      <c r="F125" s="6" t="b">
        <f>COUNTIFS('OLT DOWN Tickets'!$AB:$AB, "*" &amp; D125 &amp; "*", 'OLT DOWN Tickets'!$L:$L, "OLT DOWN") &gt; 0</f>
        <v>0</v>
      </c>
      <c r="G125" s="6" t="b">
        <f>COUNTIFS('OLT DOWN Tickets'!$AB:$AB, "*" &amp; D125 &amp; "*", 'OLT DOWN Tickets'!$L:$L, "OLT UPLINK LOW POWER") &gt; 0</f>
        <v>0</v>
      </c>
      <c r="H125" s="6" t="b">
        <f>COUNTIFS('OLT DOWN Tickets'!$AB:$AB, "*" &amp; D125 &amp; "*", 'OLT DOWN Tickets'!$L:$L, "OLT UPLINK DOWN") &gt; 0</f>
        <v>0</v>
      </c>
      <c r="I125" s="6" t="b">
        <f>COUNTIFS('OLT DOWN Tickets'!$AB:$AB, "*" &amp; D125 &amp; "*", 'OLT DOWN Tickets'!$L:$L, "OLT SERVICE DEGRADATION") &gt; 0</f>
        <v>0</v>
      </c>
      <c r="J125" s="32" t="str">
        <f>IFERROR(__xludf.DUMMYFUNCTION("IFERROR(INDEX(FILTER('OLT DOWN Tickets'!$F:$F, REGEXMATCH('OLT DOWN Tickets'!$AB:$AB, ""(?i)""&amp;TRIM(D125)), 'OLT DOWN Tickets'!$L:$L=""OLT DOWN""), 1), """")"),"")</f>
        <v/>
      </c>
      <c r="K125" s="32" t="str">
        <f>IFERROR(__xludf.DUMMYFUNCTION("IFERROR(INDEX(FILTER('OLT DOWN Tickets'!$F:$F, REGEXMATCH('OLT DOWN Tickets'!$AB:$AB, ""(?i)""&amp;TRIM(D125)), 'OLT DOWN Tickets'!$L:$L=""OLT UPLINK LOW POWER""), 1), """")"),"")</f>
        <v/>
      </c>
      <c r="L125" s="32" t="str">
        <f>IFERROR(__xludf.DUMMYFUNCTION("IFERROR(INDEX(FILTER('OLT DOWN Tickets'!$F:$F, REGEXMATCH('OLT DOWN Tickets'!$AB:$AB, ""(?i)""&amp;TRIM(D125)), 'OLT DOWN Tickets'!$L:$L=""OLT UPLINK DOWN""), 1), """")"),"")</f>
        <v/>
      </c>
      <c r="M125" s="32" t="str">
        <f>IFERROR(__xludf.DUMMYFUNCTION("IFERROR(INDEX(FILTER('OLT DOWN Tickets'!$F:$F, REGEXMATCH('OLT DOWN Tickets'!$AB:$AB, ""(?i)""&amp;TRIM(D125)), 'OLT DOWN Tickets'!$L:$L=""OLT SERVICE DEGRADATION""), 1), """")
"),"")</f>
        <v/>
      </c>
      <c r="N125" s="6" t="b">
        <v>0</v>
      </c>
      <c r="O125" s="6" t="b">
        <v>0</v>
      </c>
      <c r="P125" s="6" t="b">
        <v>0</v>
      </c>
      <c r="Q125" s="6" t="b">
        <v>0</v>
      </c>
      <c r="R125" s="6"/>
      <c r="S125" s="6"/>
      <c r="T125" s="6"/>
      <c r="U125" s="6"/>
    </row>
    <row r="126">
      <c r="A126" s="19"/>
      <c r="B126" s="26" t="s">
        <v>161</v>
      </c>
      <c r="C126" s="26" t="s">
        <v>162</v>
      </c>
      <c r="D126" s="27" t="s">
        <v>298</v>
      </c>
      <c r="E126" s="6" t="b">
        <f t="shared" si="1"/>
        <v>1</v>
      </c>
      <c r="F126" s="6" t="b">
        <f>COUNTIFS('OLT DOWN Tickets'!$AB:$AB, "*" &amp; D126 &amp; "*", 'OLT DOWN Tickets'!$L:$L, "OLT DOWN") &gt; 0</f>
        <v>0</v>
      </c>
      <c r="G126" s="6" t="b">
        <f>COUNTIFS('OLT DOWN Tickets'!$AB:$AB, "*" &amp; D126 &amp; "*", 'OLT DOWN Tickets'!$L:$L, "OLT UPLINK LOW POWER") &gt; 0</f>
        <v>0</v>
      </c>
      <c r="H126" s="6" t="b">
        <f>COUNTIFS('OLT DOWN Tickets'!$AB:$AB, "*" &amp; D126 &amp; "*", 'OLT DOWN Tickets'!$L:$L, "OLT UPLINK DOWN") &gt; 0</f>
        <v>0</v>
      </c>
      <c r="I126" s="6" t="b">
        <f>COUNTIFS('OLT DOWN Tickets'!$AB:$AB, "*" &amp; D126 &amp; "*", 'OLT DOWN Tickets'!$L:$L, "OLT SERVICE DEGRADATION") &gt; 0</f>
        <v>0</v>
      </c>
      <c r="J126" s="32" t="str">
        <f>IFERROR(__xludf.DUMMYFUNCTION("IFERROR(INDEX(FILTER('OLT DOWN Tickets'!$F:$F, REGEXMATCH('OLT DOWN Tickets'!$AB:$AB, ""(?i)""&amp;TRIM(D126)), 'OLT DOWN Tickets'!$L:$L=""OLT DOWN""), 1), """")"),"")</f>
        <v/>
      </c>
      <c r="K126" s="32" t="str">
        <f>IFERROR(__xludf.DUMMYFUNCTION("IFERROR(INDEX(FILTER('OLT DOWN Tickets'!$F:$F, REGEXMATCH('OLT DOWN Tickets'!$AB:$AB, ""(?i)""&amp;TRIM(D126)), 'OLT DOWN Tickets'!$L:$L=""OLT UPLINK LOW POWER""), 1), """")"),"")</f>
        <v/>
      </c>
      <c r="L126" s="32" t="str">
        <f>IFERROR(__xludf.DUMMYFUNCTION("IFERROR(INDEX(FILTER('OLT DOWN Tickets'!$F:$F, REGEXMATCH('OLT DOWN Tickets'!$AB:$AB, ""(?i)""&amp;TRIM(D126)), 'OLT DOWN Tickets'!$L:$L=""OLT UPLINK DOWN""), 1), """")"),"")</f>
        <v/>
      </c>
      <c r="M126" s="32" t="str">
        <f>IFERROR(__xludf.DUMMYFUNCTION("IFERROR(INDEX(FILTER('OLT DOWN Tickets'!$F:$F, REGEXMATCH('OLT DOWN Tickets'!$AB:$AB, ""(?i)""&amp;TRIM(D126)), 'OLT DOWN Tickets'!$L:$L=""OLT SERVICE DEGRADATION""), 1), """")
"),"")</f>
        <v/>
      </c>
      <c r="N126" s="6" t="b">
        <v>0</v>
      </c>
      <c r="O126" s="6" t="b">
        <v>0</v>
      </c>
      <c r="P126" s="6" t="b">
        <v>0</v>
      </c>
      <c r="Q126" s="6" t="b">
        <v>0</v>
      </c>
      <c r="R126" s="6"/>
      <c r="S126" s="6"/>
      <c r="T126" s="6"/>
      <c r="U126" s="6"/>
    </row>
    <row r="127">
      <c r="A127" s="19"/>
      <c r="B127" s="26" t="s">
        <v>161</v>
      </c>
      <c r="C127" s="26" t="s">
        <v>162</v>
      </c>
      <c r="D127" s="27" t="s">
        <v>299</v>
      </c>
      <c r="E127" s="6" t="b">
        <f t="shared" si="1"/>
        <v>1</v>
      </c>
      <c r="F127" s="6" t="b">
        <f>COUNTIFS('OLT DOWN Tickets'!$AB:$AB, "*" &amp; D127 &amp; "*", 'OLT DOWN Tickets'!$L:$L, "OLT DOWN") &gt; 0</f>
        <v>0</v>
      </c>
      <c r="G127" s="6" t="b">
        <f>COUNTIFS('OLT DOWN Tickets'!$AB:$AB, "*" &amp; D127 &amp; "*", 'OLT DOWN Tickets'!$L:$L, "OLT UPLINK LOW POWER") &gt; 0</f>
        <v>0</v>
      </c>
      <c r="H127" s="6" t="b">
        <f>COUNTIFS('OLT DOWN Tickets'!$AB:$AB, "*" &amp; D127 &amp; "*", 'OLT DOWN Tickets'!$L:$L, "OLT UPLINK DOWN") &gt; 0</f>
        <v>0</v>
      </c>
      <c r="I127" s="6" t="b">
        <f>COUNTIFS('OLT DOWN Tickets'!$AB:$AB, "*" &amp; D127 &amp; "*", 'OLT DOWN Tickets'!$L:$L, "OLT SERVICE DEGRADATION") &gt; 0</f>
        <v>0</v>
      </c>
      <c r="J127" s="32" t="str">
        <f>IFERROR(__xludf.DUMMYFUNCTION("IFERROR(INDEX(FILTER('OLT DOWN Tickets'!$F:$F, REGEXMATCH('OLT DOWN Tickets'!$AB:$AB, ""(?i)""&amp;TRIM(D127)), 'OLT DOWN Tickets'!$L:$L=""OLT DOWN""), 1), """")"),"")</f>
        <v/>
      </c>
      <c r="K127" s="32" t="str">
        <f>IFERROR(__xludf.DUMMYFUNCTION("IFERROR(INDEX(FILTER('OLT DOWN Tickets'!$F:$F, REGEXMATCH('OLT DOWN Tickets'!$AB:$AB, ""(?i)""&amp;TRIM(D127)), 'OLT DOWN Tickets'!$L:$L=""OLT UPLINK LOW POWER""), 1), """")"),"")</f>
        <v/>
      </c>
      <c r="L127" s="32" t="str">
        <f>IFERROR(__xludf.DUMMYFUNCTION("IFERROR(INDEX(FILTER('OLT DOWN Tickets'!$F:$F, REGEXMATCH('OLT DOWN Tickets'!$AB:$AB, ""(?i)""&amp;TRIM(D127)), 'OLT DOWN Tickets'!$L:$L=""OLT UPLINK DOWN""), 1), """")"),"")</f>
        <v/>
      </c>
      <c r="M127" s="32" t="str">
        <f>IFERROR(__xludf.DUMMYFUNCTION("IFERROR(INDEX(FILTER('OLT DOWN Tickets'!$F:$F, REGEXMATCH('OLT DOWN Tickets'!$AB:$AB, ""(?i)""&amp;TRIM(D127)), 'OLT DOWN Tickets'!$L:$L=""OLT SERVICE DEGRADATION""), 1), """")
"),"")</f>
        <v/>
      </c>
      <c r="N127" s="6" t="b">
        <v>0</v>
      </c>
      <c r="O127" s="6" t="b">
        <v>0</v>
      </c>
      <c r="P127" s="6" t="b">
        <v>0</v>
      </c>
      <c r="Q127" s="6" t="b">
        <v>0</v>
      </c>
      <c r="R127" s="6"/>
      <c r="S127" s="6"/>
      <c r="T127" s="6"/>
      <c r="U127" s="6"/>
    </row>
    <row r="128">
      <c r="A128" s="19"/>
      <c r="B128" s="26" t="s">
        <v>161</v>
      </c>
      <c r="C128" s="26" t="s">
        <v>300</v>
      </c>
      <c r="D128" s="27" t="s">
        <v>301</v>
      </c>
      <c r="E128" s="6" t="b">
        <f t="shared" si="1"/>
        <v>1</v>
      </c>
      <c r="F128" s="6" t="b">
        <f>COUNTIFS('OLT DOWN Tickets'!$AB:$AB, "*" &amp; D128 &amp; "*", 'OLT DOWN Tickets'!$L:$L, "OLT DOWN") &gt; 0</f>
        <v>0</v>
      </c>
      <c r="G128" s="6" t="b">
        <f>COUNTIFS('OLT DOWN Tickets'!$AB:$AB, "*" &amp; D128 &amp; "*", 'OLT DOWN Tickets'!$L:$L, "OLT UPLINK LOW POWER") &gt; 0</f>
        <v>0</v>
      </c>
      <c r="H128" s="6" t="b">
        <f>COUNTIFS('OLT DOWN Tickets'!$AB:$AB, "*" &amp; D128 &amp; "*", 'OLT DOWN Tickets'!$L:$L, "OLT UPLINK DOWN") &gt; 0</f>
        <v>0</v>
      </c>
      <c r="I128" s="6" t="b">
        <f>COUNTIFS('OLT DOWN Tickets'!$AB:$AB, "*" &amp; D128 &amp; "*", 'OLT DOWN Tickets'!$L:$L, "OLT SERVICE DEGRADATION") &gt; 0</f>
        <v>0</v>
      </c>
      <c r="J128" s="32" t="str">
        <f>IFERROR(__xludf.DUMMYFUNCTION("IFERROR(INDEX(FILTER('OLT DOWN Tickets'!$F:$F, REGEXMATCH('OLT DOWN Tickets'!$AB:$AB, ""(?i)""&amp;TRIM(D128)), 'OLT DOWN Tickets'!$L:$L=""OLT DOWN""), 1), """")"),"")</f>
        <v/>
      </c>
      <c r="K128" s="32" t="str">
        <f>IFERROR(__xludf.DUMMYFUNCTION("IFERROR(INDEX(FILTER('OLT DOWN Tickets'!$F:$F, REGEXMATCH('OLT DOWN Tickets'!$AB:$AB, ""(?i)""&amp;TRIM(D128)), 'OLT DOWN Tickets'!$L:$L=""OLT UPLINK LOW POWER""), 1), """")"),"")</f>
        <v/>
      </c>
      <c r="L128" s="32" t="str">
        <f>IFERROR(__xludf.DUMMYFUNCTION("IFERROR(INDEX(FILTER('OLT DOWN Tickets'!$F:$F, REGEXMATCH('OLT DOWN Tickets'!$AB:$AB, ""(?i)""&amp;TRIM(D128)), 'OLT DOWN Tickets'!$L:$L=""OLT UPLINK DOWN""), 1), """")"),"")</f>
        <v/>
      </c>
      <c r="M128" s="32" t="str">
        <f>IFERROR(__xludf.DUMMYFUNCTION("IFERROR(INDEX(FILTER('OLT DOWN Tickets'!$F:$F, REGEXMATCH('OLT DOWN Tickets'!$AB:$AB, ""(?i)""&amp;TRIM(D128)), 'OLT DOWN Tickets'!$L:$L=""OLT SERVICE DEGRADATION""), 1), """")
"),"")</f>
        <v/>
      </c>
      <c r="N128" s="6" t="b">
        <v>0</v>
      </c>
      <c r="O128" s="6" t="b">
        <v>0</v>
      </c>
      <c r="P128" s="6" t="b">
        <v>0</v>
      </c>
      <c r="Q128" s="6" t="b">
        <v>0</v>
      </c>
      <c r="R128" s="6"/>
      <c r="S128" s="6"/>
      <c r="T128" s="6"/>
      <c r="U128" s="6"/>
    </row>
    <row r="129">
      <c r="A129" s="19"/>
      <c r="B129" s="26" t="s">
        <v>161</v>
      </c>
      <c r="C129" s="26" t="s">
        <v>300</v>
      </c>
      <c r="D129" s="27" t="s">
        <v>302</v>
      </c>
      <c r="E129" s="6" t="b">
        <f t="shared" si="1"/>
        <v>1</v>
      </c>
      <c r="F129" s="6" t="b">
        <f>COUNTIFS('OLT DOWN Tickets'!$AB:$AB, "*" &amp; D129 &amp; "*", 'OLT DOWN Tickets'!$L:$L, "OLT DOWN") &gt; 0</f>
        <v>0</v>
      </c>
      <c r="G129" s="6" t="b">
        <f>COUNTIFS('OLT DOWN Tickets'!$AB:$AB, "*" &amp; D129 &amp; "*", 'OLT DOWN Tickets'!$L:$L, "OLT UPLINK LOW POWER") &gt; 0</f>
        <v>0</v>
      </c>
      <c r="H129" s="6" t="b">
        <f>COUNTIFS('OLT DOWN Tickets'!$AB:$AB, "*" &amp; D129 &amp; "*", 'OLT DOWN Tickets'!$L:$L, "OLT UPLINK DOWN") &gt; 0</f>
        <v>0</v>
      </c>
      <c r="I129" s="6" t="b">
        <f>COUNTIFS('OLT DOWN Tickets'!$AB:$AB, "*" &amp; D129 &amp; "*", 'OLT DOWN Tickets'!$L:$L, "OLT SERVICE DEGRADATION") &gt; 0</f>
        <v>0</v>
      </c>
      <c r="J129" s="32" t="str">
        <f>IFERROR(__xludf.DUMMYFUNCTION("IFERROR(INDEX(FILTER('OLT DOWN Tickets'!$F:$F, REGEXMATCH('OLT DOWN Tickets'!$AB:$AB, ""(?i)""&amp;TRIM(D129)), 'OLT DOWN Tickets'!$L:$L=""OLT DOWN""), 1), """")"),"")</f>
        <v/>
      </c>
      <c r="K129" s="32" t="str">
        <f>IFERROR(__xludf.DUMMYFUNCTION("IFERROR(INDEX(FILTER('OLT DOWN Tickets'!$F:$F, REGEXMATCH('OLT DOWN Tickets'!$AB:$AB, ""(?i)""&amp;TRIM(D129)), 'OLT DOWN Tickets'!$L:$L=""OLT UPLINK LOW POWER""), 1), """")"),"")</f>
        <v/>
      </c>
      <c r="L129" s="32" t="str">
        <f>IFERROR(__xludf.DUMMYFUNCTION("IFERROR(INDEX(FILTER('OLT DOWN Tickets'!$F:$F, REGEXMATCH('OLT DOWN Tickets'!$AB:$AB, ""(?i)""&amp;TRIM(D129)), 'OLT DOWN Tickets'!$L:$L=""OLT UPLINK DOWN""), 1), """")"),"")</f>
        <v/>
      </c>
      <c r="M129" s="32" t="str">
        <f>IFERROR(__xludf.DUMMYFUNCTION("IFERROR(INDEX(FILTER('OLT DOWN Tickets'!$F:$F, REGEXMATCH('OLT DOWN Tickets'!$AB:$AB, ""(?i)""&amp;TRIM(D129)), 'OLT DOWN Tickets'!$L:$L=""OLT SERVICE DEGRADATION""), 1), """")
"),"")</f>
        <v/>
      </c>
      <c r="N129" s="6" t="b">
        <v>0</v>
      </c>
      <c r="O129" s="6" t="b">
        <v>0</v>
      </c>
      <c r="P129" s="6" t="b">
        <v>0</v>
      </c>
      <c r="Q129" s="6" t="b">
        <v>0</v>
      </c>
      <c r="R129" s="6"/>
      <c r="S129" s="6"/>
      <c r="T129" s="6"/>
      <c r="U129" s="6"/>
    </row>
    <row r="130">
      <c r="A130" s="19"/>
      <c r="B130" s="26" t="s">
        <v>161</v>
      </c>
      <c r="C130" s="26" t="s">
        <v>300</v>
      </c>
      <c r="D130" s="27" t="s">
        <v>303</v>
      </c>
      <c r="E130" s="6" t="b">
        <f t="shared" si="1"/>
        <v>1</v>
      </c>
      <c r="F130" s="6" t="b">
        <f>COUNTIFS('OLT DOWN Tickets'!$AB:$AB, "*" &amp; D130 &amp; "*", 'OLT DOWN Tickets'!$L:$L, "OLT DOWN") &gt; 0</f>
        <v>0</v>
      </c>
      <c r="G130" s="6" t="b">
        <f>COUNTIFS('OLT DOWN Tickets'!$AB:$AB, "*" &amp; D130 &amp; "*", 'OLT DOWN Tickets'!$L:$L, "OLT UPLINK LOW POWER") &gt; 0</f>
        <v>0</v>
      </c>
      <c r="H130" s="6" t="b">
        <f>COUNTIFS('OLT DOWN Tickets'!$AB:$AB, "*" &amp; D130 &amp; "*", 'OLT DOWN Tickets'!$L:$L, "OLT UPLINK DOWN") &gt; 0</f>
        <v>0</v>
      </c>
      <c r="I130" s="6" t="b">
        <f>COUNTIFS('OLT DOWN Tickets'!$AB:$AB, "*" &amp; D130 &amp; "*", 'OLT DOWN Tickets'!$L:$L, "OLT SERVICE DEGRADATION") &gt; 0</f>
        <v>0</v>
      </c>
      <c r="J130" s="32" t="str">
        <f>IFERROR(__xludf.DUMMYFUNCTION("IFERROR(INDEX(FILTER('OLT DOWN Tickets'!$F:$F, REGEXMATCH('OLT DOWN Tickets'!$AB:$AB, ""(?i)""&amp;TRIM(D130)), 'OLT DOWN Tickets'!$L:$L=""OLT DOWN""), 1), """")"),"")</f>
        <v/>
      </c>
      <c r="K130" s="32" t="str">
        <f>IFERROR(__xludf.DUMMYFUNCTION("IFERROR(INDEX(FILTER('OLT DOWN Tickets'!$F:$F, REGEXMATCH('OLT DOWN Tickets'!$AB:$AB, ""(?i)""&amp;TRIM(D130)), 'OLT DOWN Tickets'!$L:$L=""OLT UPLINK LOW POWER""), 1), """")"),"")</f>
        <v/>
      </c>
      <c r="L130" s="32" t="str">
        <f>IFERROR(__xludf.DUMMYFUNCTION("IFERROR(INDEX(FILTER('OLT DOWN Tickets'!$F:$F, REGEXMATCH('OLT DOWN Tickets'!$AB:$AB, ""(?i)""&amp;TRIM(D130)), 'OLT DOWN Tickets'!$L:$L=""OLT UPLINK DOWN""), 1), """")"),"")</f>
        <v/>
      </c>
      <c r="M130" s="32" t="str">
        <f>IFERROR(__xludf.DUMMYFUNCTION("IFERROR(INDEX(FILTER('OLT DOWN Tickets'!$F:$F, REGEXMATCH('OLT DOWN Tickets'!$AB:$AB, ""(?i)""&amp;TRIM(D130)), 'OLT DOWN Tickets'!$L:$L=""OLT SERVICE DEGRADATION""), 1), """")
"),"")</f>
        <v/>
      </c>
      <c r="N130" s="6" t="b">
        <v>0</v>
      </c>
      <c r="O130" s="6" t="b">
        <v>0</v>
      </c>
      <c r="P130" s="6" t="b">
        <v>0</v>
      </c>
      <c r="Q130" s="6" t="b">
        <v>0</v>
      </c>
      <c r="R130" s="6"/>
      <c r="S130" s="6"/>
      <c r="T130" s="6"/>
      <c r="U130" s="6"/>
    </row>
    <row r="131">
      <c r="A131" s="19"/>
      <c r="B131" s="26" t="s">
        <v>113</v>
      </c>
      <c r="C131" s="26" t="s">
        <v>304</v>
      </c>
      <c r="D131" s="27" t="s">
        <v>305</v>
      </c>
      <c r="E131" s="6" t="b">
        <f t="shared" si="1"/>
        <v>1</v>
      </c>
      <c r="F131" s="6" t="b">
        <f>COUNTIFS('OLT DOWN Tickets'!$AB:$AB, "*" &amp; D131 &amp; "*", 'OLT DOWN Tickets'!$L:$L, "OLT DOWN") &gt; 0</f>
        <v>0</v>
      </c>
      <c r="G131" s="6" t="b">
        <f>COUNTIFS('OLT DOWN Tickets'!$AB:$AB, "*" &amp; D131 &amp; "*", 'OLT DOWN Tickets'!$L:$L, "OLT UPLINK LOW POWER") &gt; 0</f>
        <v>0</v>
      </c>
      <c r="H131" s="6" t="b">
        <f>COUNTIFS('OLT DOWN Tickets'!$AB:$AB, "*" &amp; D131 &amp; "*", 'OLT DOWN Tickets'!$L:$L, "OLT UPLINK DOWN") &gt; 0</f>
        <v>0</v>
      </c>
      <c r="I131" s="6" t="b">
        <f>COUNTIFS('OLT DOWN Tickets'!$AB:$AB, "*" &amp; D131 &amp; "*", 'OLT DOWN Tickets'!$L:$L, "OLT SERVICE DEGRADATION") &gt; 0</f>
        <v>0</v>
      </c>
      <c r="J131" s="32" t="str">
        <f>IFERROR(__xludf.DUMMYFUNCTION("IFERROR(INDEX(FILTER('OLT DOWN Tickets'!$F:$F, REGEXMATCH('OLT DOWN Tickets'!$AB:$AB, ""(?i)""&amp;TRIM(D131)), 'OLT DOWN Tickets'!$L:$L=""OLT DOWN""), 1), """")"),"")</f>
        <v/>
      </c>
      <c r="K131" s="32" t="str">
        <f>IFERROR(__xludf.DUMMYFUNCTION("IFERROR(INDEX(FILTER('OLT DOWN Tickets'!$F:$F, REGEXMATCH('OLT DOWN Tickets'!$AB:$AB, ""(?i)""&amp;TRIM(D131)), 'OLT DOWN Tickets'!$L:$L=""OLT UPLINK LOW POWER""), 1), """")"),"")</f>
        <v/>
      </c>
      <c r="L131" s="32" t="str">
        <f>IFERROR(__xludf.DUMMYFUNCTION("IFERROR(INDEX(FILTER('OLT DOWN Tickets'!$F:$F, REGEXMATCH('OLT DOWN Tickets'!$AB:$AB, ""(?i)""&amp;TRIM(D131)), 'OLT DOWN Tickets'!$L:$L=""OLT UPLINK DOWN""), 1), """")"),"")</f>
        <v/>
      </c>
      <c r="M131" s="32" t="str">
        <f>IFERROR(__xludf.DUMMYFUNCTION("IFERROR(INDEX(FILTER('OLT DOWN Tickets'!$F:$F, REGEXMATCH('OLT DOWN Tickets'!$AB:$AB, ""(?i)""&amp;TRIM(D131)), 'OLT DOWN Tickets'!$L:$L=""OLT SERVICE DEGRADATION""), 1), """")
"),"")</f>
        <v/>
      </c>
      <c r="N131" s="6" t="b">
        <v>0</v>
      </c>
      <c r="O131" s="6" t="b">
        <v>0</v>
      </c>
      <c r="P131" s="6" t="b">
        <v>0</v>
      </c>
      <c r="Q131" s="6" t="b">
        <v>0</v>
      </c>
      <c r="R131" s="6"/>
      <c r="S131" s="6"/>
      <c r="T131" s="6"/>
      <c r="U131" s="6"/>
    </row>
    <row r="132">
      <c r="A132" s="19"/>
      <c r="B132" s="26" t="s">
        <v>113</v>
      </c>
      <c r="C132" s="26" t="s">
        <v>306</v>
      </c>
      <c r="D132" s="27" t="s">
        <v>307</v>
      </c>
      <c r="E132" s="6" t="b">
        <f t="shared" si="1"/>
        <v>1</v>
      </c>
      <c r="F132" s="6" t="b">
        <f>COUNTIFS('OLT DOWN Tickets'!$AB:$AB, "*" &amp; D132 &amp; "*", 'OLT DOWN Tickets'!$L:$L, "OLT DOWN") &gt; 0</f>
        <v>0</v>
      </c>
      <c r="G132" s="6" t="b">
        <f>COUNTIFS('OLT DOWN Tickets'!$AB:$AB, "*" &amp; D132 &amp; "*", 'OLT DOWN Tickets'!$L:$L, "OLT UPLINK LOW POWER") &gt; 0</f>
        <v>0</v>
      </c>
      <c r="H132" s="6" t="b">
        <f>COUNTIFS('OLT DOWN Tickets'!$AB:$AB, "*" &amp; D132 &amp; "*", 'OLT DOWN Tickets'!$L:$L, "OLT UPLINK DOWN") &gt; 0</f>
        <v>0</v>
      </c>
      <c r="I132" s="6" t="b">
        <f>COUNTIFS('OLT DOWN Tickets'!$AB:$AB, "*" &amp; D132 &amp; "*", 'OLT DOWN Tickets'!$L:$L, "OLT SERVICE DEGRADATION") &gt; 0</f>
        <v>0</v>
      </c>
      <c r="J132" s="32" t="str">
        <f>IFERROR(__xludf.DUMMYFUNCTION("IFERROR(INDEX(FILTER('OLT DOWN Tickets'!$F:$F, REGEXMATCH('OLT DOWN Tickets'!$AB:$AB, ""(?i)""&amp;TRIM(D132)), 'OLT DOWN Tickets'!$L:$L=""OLT DOWN""), 1), """")"),"")</f>
        <v/>
      </c>
      <c r="K132" s="32" t="str">
        <f>IFERROR(__xludf.DUMMYFUNCTION("IFERROR(INDEX(FILTER('OLT DOWN Tickets'!$F:$F, REGEXMATCH('OLT DOWN Tickets'!$AB:$AB, ""(?i)""&amp;TRIM(D132)), 'OLT DOWN Tickets'!$L:$L=""OLT UPLINK LOW POWER""), 1), """")"),"")</f>
        <v/>
      </c>
      <c r="L132" s="32" t="str">
        <f>IFERROR(__xludf.DUMMYFUNCTION("IFERROR(INDEX(FILTER('OLT DOWN Tickets'!$F:$F, REGEXMATCH('OLT DOWN Tickets'!$AB:$AB, ""(?i)""&amp;TRIM(D132)), 'OLT DOWN Tickets'!$L:$L=""OLT UPLINK DOWN""), 1), """")"),"")</f>
        <v/>
      </c>
      <c r="M132" s="32" t="str">
        <f>IFERROR(__xludf.DUMMYFUNCTION("IFERROR(INDEX(FILTER('OLT DOWN Tickets'!$F:$F, REGEXMATCH('OLT DOWN Tickets'!$AB:$AB, ""(?i)""&amp;TRIM(D132)), 'OLT DOWN Tickets'!$L:$L=""OLT SERVICE DEGRADATION""), 1), """")
"),"")</f>
        <v/>
      </c>
      <c r="N132" s="6" t="b">
        <v>0</v>
      </c>
      <c r="O132" s="6" t="b">
        <v>0</v>
      </c>
      <c r="P132" s="6" t="b">
        <v>0</v>
      </c>
      <c r="Q132" s="6" t="b">
        <v>0</v>
      </c>
      <c r="R132" s="6"/>
      <c r="S132" s="6"/>
      <c r="T132" s="6"/>
      <c r="U132" s="6"/>
    </row>
    <row r="133">
      <c r="A133" s="19"/>
      <c r="B133" s="26" t="s">
        <v>113</v>
      </c>
      <c r="C133" s="26" t="s">
        <v>306</v>
      </c>
      <c r="D133" s="27" t="s">
        <v>308</v>
      </c>
      <c r="E133" s="6" t="b">
        <f t="shared" si="1"/>
        <v>1</v>
      </c>
      <c r="F133" s="6" t="b">
        <f>COUNTIFS('OLT DOWN Tickets'!$AB:$AB, "*" &amp; D133 &amp; "*", 'OLT DOWN Tickets'!$L:$L, "OLT DOWN") &gt; 0</f>
        <v>0</v>
      </c>
      <c r="G133" s="6" t="b">
        <f>COUNTIFS('OLT DOWN Tickets'!$AB:$AB, "*" &amp; D133 &amp; "*", 'OLT DOWN Tickets'!$L:$L, "OLT UPLINK LOW POWER") &gt; 0</f>
        <v>0</v>
      </c>
      <c r="H133" s="6" t="b">
        <f>COUNTIFS('OLT DOWN Tickets'!$AB:$AB, "*" &amp; D133 &amp; "*", 'OLT DOWN Tickets'!$L:$L, "OLT UPLINK DOWN") &gt; 0</f>
        <v>0</v>
      </c>
      <c r="I133" s="6" t="b">
        <f>COUNTIFS('OLT DOWN Tickets'!$AB:$AB, "*" &amp; D133 &amp; "*", 'OLT DOWN Tickets'!$L:$L, "OLT SERVICE DEGRADATION") &gt; 0</f>
        <v>0</v>
      </c>
      <c r="J133" s="32" t="str">
        <f>IFERROR(__xludf.DUMMYFUNCTION("IFERROR(INDEX(FILTER('OLT DOWN Tickets'!$F:$F, REGEXMATCH('OLT DOWN Tickets'!$AB:$AB, ""(?i)""&amp;TRIM(D133)), 'OLT DOWN Tickets'!$L:$L=""OLT DOWN""), 1), """")"),"")</f>
        <v/>
      </c>
      <c r="K133" s="32" t="str">
        <f>IFERROR(__xludf.DUMMYFUNCTION("IFERROR(INDEX(FILTER('OLT DOWN Tickets'!$F:$F, REGEXMATCH('OLT DOWN Tickets'!$AB:$AB, ""(?i)""&amp;TRIM(D133)), 'OLT DOWN Tickets'!$L:$L=""OLT UPLINK LOW POWER""), 1), """")"),"")</f>
        <v/>
      </c>
      <c r="L133" s="32" t="str">
        <f>IFERROR(__xludf.DUMMYFUNCTION("IFERROR(INDEX(FILTER('OLT DOWN Tickets'!$F:$F, REGEXMATCH('OLT DOWN Tickets'!$AB:$AB, ""(?i)""&amp;TRIM(D133)), 'OLT DOWN Tickets'!$L:$L=""OLT UPLINK DOWN""), 1), """")"),"")</f>
        <v/>
      </c>
      <c r="M133" s="32" t="str">
        <f>IFERROR(__xludf.DUMMYFUNCTION("IFERROR(INDEX(FILTER('OLT DOWN Tickets'!$F:$F, REGEXMATCH('OLT DOWN Tickets'!$AB:$AB, ""(?i)""&amp;TRIM(D133)), 'OLT DOWN Tickets'!$L:$L=""OLT SERVICE DEGRADATION""), 1), """")
"),"")</f>
        <v/>
      </c>
      <c r="N133" s="6" t="b">
        <v>0</v>
      </c>
      <c r="O133" s="6" t="b">
        <v>0</v>
      </c>
      <c r="P133" s="6" t="b">
        <v>0</v>
      </c>
      <c r="Q133" s="6" t="b">
        <v>0</v>
      </c>
      <c r="R133" s="6"/>
      <c r="S133" s="6"/>
      <c r="T133" s="6"/>
      <c r="U133" s="6"/>
    </row>
    <row r="134">
      <c r="A134" s="19"/>
      <c r="B134" s="26" t="s">
        <v>113</v>
      </c>
      <c r="C134" s="26" t="s">
        <v>306</v>
      </c>
      <c r="D134" s="27" t="s">
        <v>309</v>
      </c>
      <c r="E134" s="6" t="b">
        <f t="shared" si="1"/>
        <v>1</v>
      </c>
      <c r="F134" s="6" t="b">
        <f>COUNTIFS('OLT DOWN Tickets'!$AB:$AB, "*" &amp; D134 &amp; "*", 'OLT DOWN Tickets'!$L:$L, "OLT DOWN") &gt; 0</f>
        <v>0</v>
      </c>
      <c r="G134" s="6" t="b">
        <f>COUNTIFS('OLT DOWN Tickets'!$AB:$AB, "*" &amp; D134 &amp; "*", 'OLT DOWN Tickets'!$L:$L, "OLT UPLINK LOW POWER") &gt; 0</f>
        <v>0</v>
      </c>
      <c r="H134" s="6" t="b">
        <f>COUNTIFS('OLT DOWN Tickets'!$AB:$AB, "*" &amp; D134 &amp; "*", 'OLT DOWN Tickets'!$L:$L, "OLT UPLINK DOWN") &gt; 0</f>
        <v>0</v>
      </c>
      <c r="I134" s="6" t="b">
        <f>COUNTIFS('OLT DOWN Tickets'!$AB:$AB, "*" &amp; D134 &amp; "*", 'OLT DOWN Tickets'!$L:$L, "OLT SERVICE DEGRADATION") &gt; 0</f>
        <v>0</v>
      </c>
      <c r="J134" s="32" t="str">
        <f>IFERROR(__xludf.DUMMYFUNCTION("IFERROR(INDEX(FILTER('OLT DOWN Tickets'!$F:$F, REGEXMATCH('OLT DOWN Tickets'!$AB:$AB, ""(?i)""&amp;TRIM(D134)), 'OLT DOWN Tickets'!$L:$L=""OLT DOWN""), 1), """")"),"")</f>
        <v/>
      </c>
      <c r="K134" s="32" t="str">
        <f>IFERROR(__xludf.DUMMYFUNCTION("IFERROR(INDEX(FILTER('OLT DOWN Tickets'!$F:$F, REGEXMATCH('OLT DOWN Tickets'!$AB:$AB, ""(?i)""&amp;TRIM(D134)), 'OLT DOWN Tickets'!$L:$L=""OLT UPLINK LOW POWER""), 1), """")"),"")</f>
        <v/>
      </c>
      <c r="L134" s="32" t="str">
        <f>IFERROR(__xludf.DUMMYFUNCTION("IFERROR(INDEX(FILTER('OLT DOWN Tickets'!$F:$F, REGEXMATCH('OLT DOWN Tickets'!$AB:$AB, ""(?i)""&amp;TRIM(D134)), 'OLT DOWN Tickets'!$L:$L=""OLT UPLINK DOWN""), 1), """")"),"")</f>
        <v/>
      </c>
      <c r="M134" s="32" t="str">
        <f>IFERROR(__xludf.DUMMYFUNCTION("IFERROR(INDEX(FILTER('OLT DOWN Tickets'!$F:$F, REGEXMATCH('OLT DOWN Tickets'!$AB:$AB, ""(?i)""&amp;TRIM(D134)), 'OLT DOWN Tickets'!$L:$L=""OLT SERVICE DEGRADATION""), 1), """")
"),"")</f>
        <v/>
      </c>
      <c r="N134" s="6" t="b">
        <v>0</v>
      </c>
      <c r="O134" s="6" t="b">
        <v>0</v>
      </c>
      <c r="P134" s="6" t="b">
        <v>0</v>
      </c>
      <c r="Q134" s="6" t="b">
        <v>0</v>
      </c>
      <c r="R134" s="6"/>
      <c r="S134" s="6"/>
      <c r="T134" s="6"/>
      <c r="U134" s="6"/>
    </row>
    <row r="135">
      <c r="A135" s="19"/>
      <c r="B135" s="26" t="s">
        <v>113</v>
      </c>
      <c r="C135" s="26" t="s">
        <v>310</v>
      </c>
      <c r="D135" s="27" t="s">
        <v>311</v>
      </c>
      <c r="E135" s="6" t="b">
        <f t="shared" si="1"/>
        <v>1</v>
      </c>
      <c r="F135" s="6" t="b">
        <f>COUNTIFS('OLT DOWN Tickets'!$AB:$AB, "*" &amp; D135 &amp; "*", 'OLT DOWN Tickets'!$L:$L, "OLT DOWN") &gt; 0</f>
        <v>0</v>
      </c>
      <c r="G135" s="6" t="b">
        <f>COUNTIFS('OLT DOWN Tickets'!$AB:$AB, "*" &amp; D135 &amp; "*", 'OLT DOWN Tickets'!$L:$L, "OLT UPLINK LOW POWER") &gt; 0</f>
        <v>0</v>
      </c>
      <c r="H135" s="6" t="b">
        <f>COUNTIFS('OLT DOWN Tickets'!$AB:$AB, "*" &amp; D135 &amp; "*", 'OLT DOWN Tickets'!$L:$L, "OLT UPLINK DOWN") &gt; 0</f>
        <v>0</v>
      </c>
      <c r="I135" s="6" t="b">
        <f>COUNTIFS('OLT DOWN Tickets'!$AB:$AB, "*" &amp; D135 &amp; "*", 'OLT DOWN Tickets'!$L:$L, "OLT SERVICE DEGRADATION") &gt; 0</f>
        <v>0</v>
      </c>
      <c r="J135" s="32" t="str">
        <f>IFERROR(__xludf.DUMMYFUNCTION("IFERROR(INDEX(FILTER('OLT DOWN Tickets'!$F:$F, REGEXMATCH('OLT DOWN Tickets'!$AB:$AB, ""(?i)""&amp;TRIM(D135)), 'OLT DOWN Tickets'!$L:$L=""OLT DOWN""), 1), """")"),"")</f>
        <v/>
      </c>
      <c r="K135" s="32" t="str">
        <f>IFERROR(__xludf.DUMMYFUNCTION("IFERROR(INDEX(FILTER('OLT DOWN Tickets'!$F:$F, REGEXMATCH('OLT DOWN Tickets'!$AB:$AB, ""(?i)""&amp;TRIM(D135)), 'OLT DOWN Tickets'!$L:$L=""OLT UPLINK LOW POWER""), 1), """")"),"")</f>
        <v/>
      </c>
      <c r="L135" s="32" t="str">
        <f>IFERROR(__xludf.DUMMYFUNCTION("IFERROR(INDEX(FILTER('OLT DOWN Tickets'!$F:$F, REGEXMATCH('OLT DOWN Tickets'!$AB:$AB, ""(?i)""&amp;TRIM(D135)), 'OLT DOWN Tickets'!$L:$L=""OLT UPLINK DOWN""), 1), """")"),"")</f>
        <v/>
      </c>
      <c r="M135" s="32" t="str">
        <f>IFERROR(__xludf.DUMMYFUNCTION("IFERROR(INDEX(FILTER('OLT DOWN Tickets'!$F:$F, REGEXMATCH('OLT DOWN Tickets'!$AB:$AB, ""(?i)""&amp;TRIM(D135)), 'OLT DOWN Tickets'!$L:$L=""OLT SERVICE DEGRADATION""), 1), """")
"),"")</f>
        <v/>
      </c>
      <c r="N135" s="6" t="b">
        <v>0</v>
      </c>
      <c r="O135" s="6" t="b">
        <v>0</v>
      </c>
      <c r="P135" s="6" t="b">
        <v>0</v>
      </c>
      <c r="Q135" s="6" t="b">
        <v>0</v>
      </c>
      <c r="R135" s="6"/>
      <c r="S135" s="6"/>
      <c r="T135" s="6"/>
      <c r="U135" s="6"/>
    </row>
    <row r="136">
      <c r="A136" s="19"/>
      <c r="B136" s="26" t="s">
        <v>113</v>
      </c>
      <c r="C136" s="26" t="s">
        <v>146</v>
      </c>
      <c r="D136" s="27" t="s">
        <v>312</v>
      </c>
      <c r="E136" s="6" t="b">
        <f t="shared" si="1"/>
        <v>1</v>
      </c>
      <c r="F136" s="6" t="b">
        <f>COUNTIFS('OLT DOWN Tickets'!$AB:$AB, "*" &amp; D136 &amp; "*", 'OLT DOWN Tickets'!$L:$L, "OLT DOWN") &gt; 0</f>
        <v>0</v>
      </c>
      <c r="G136" s="6" t="b">
        <f>COUNTIFS('OLT DOWN Tickets'!$AB:$AB, "*" &amp; D136 &amp; "*", 'OLT DOWN Tickets'!$L:$L, "OLT UPLINK LOW POWER") &gt; 0</f>
        <v>0</v>
      </c>
      <c r="H136" s="6" t="b">
        <f>COUNTIFS('OLT DOWN Tickets'!$AB:$AB, "*" &amp; D136 &amp; "*", 'OLT DOWN Tickets'!$L:$L, "OLT UPLINK DOWN") &gt; 0</f>
        <v>0</v>
      </c>
      <c r="I136" s="6" t="b">
        <f>COUNTIFS('OLT DOWN Tickets'!$AB:$AB, "*" &amp; D136 &amp; "*", 'OLT DOWN Tickets'!$L:$L, "OLT SERVICE DEGRADATION") &gt; 0</f>
        <v>0</v>
      </c>
      <c r="J136" s="32" t="str">
        <f>IFERROR(__xludf.DUMMYFUNCTION("IFERROR(INDEX(FILTER('OLT DOWN Tickets'!$F:$F, REGEXMATCH('OLT DOWN Tickets'!$AB:$AB, ""(?i)""&amp;TRIM(D136)), 'OLT DOWN Tickets'!$L:$L=""OLT DOWN""), 1), """")"),"")</f>
        <v/>
      </c>
      <c r="K136" s="32" t="str">
        <f>IFERROR(__xludf.DUMMYFUNCTION("IFERROR(INDEX(FILTER('OLT DOWN Tickets'!$F:$F, REGEXMATCH('OLT DOWN Tickets'!$AB:$AB, ""(?i)""&amp;TRIM(D136)), 'OLT DOWN Tickets'!$L:$L=""OLT UPLINK LOW POWER""), 1), """")"),"")</f>
        <v/>
      </c>
      <c r="L136" s="32" t="str">
        <f>IFERROR(__xludf.DUMMYFUNCTION("IFERROR(INDEX(FILTER('OLT DOWN Tickets'!$F:$F, REGEXMATCH('OLT DOWN Tickets'!$AB:$AB, ""(?i)""&amp;TRIM(D136)), 'OLT DOWN Tickets'!$L:$L=""OLT UPLINK DOWN""), 1), """")"),"")</f>
        <v/>
      </c>
      <c r="M136" s="32" t="str">
        <f>IFERROR(__xludf.DUMMYFUNCTION("IFERROR(INDEX(FILTER('OLT DOWN Tickets'!$F:$F, REGEXMATCH('OLT DOWN Tickets'!$AB:$AB, ""(?i)""&amp;TRIM(D136)), 'OLT DOWN Tickets'!$L:$L=""OLT SERVICE DEGRADATION""), 1), """")
"),"")</f>
        <v/>
      </c>
      <c r="N136" s="6" t="b">
        <v>0</v>
      </c>
      <c r="O136" s="6" t="b">
        <v>0</v>
      </c>
      <c r="P136" s="6" t="b">
        <v>0</v>
      </c>
      <c r="Q136" s="6" t="b">
        <v>0</v>
      </c>
      <c r="R136" s="6"/>
      <c r="S136" s="6"/>
      <c r="T136" s="6"/>
      <c r="U136" s="6"/>
    </row>
    <row r="137">
      <c r="A137" s="19"/>
      <c r="B137" s="26" t="s">
        <v>113</v>
      </c>
      <c r="C137" s="26" t="s">
        <v>313</v>
      </c>
      <c r="D137" s="27" t="s">
        <v>314</v>
      </c>
      <c r="E137" s="6" t="b">
        <f t="shared" si="1"/>
        <v>1</v>
      </c>
      <c r="F137" s="6" t="b">
        <f>COUNTIFS('OLT DOWN Tickets'!$AB:$AB, "*" &amp; D137 &amp; "*", 'OLT DOWN Tickets'!$L:$L, "OLT DOWN") &gt; 0</f>
        <v>0</v>
      </c>
      <c r="G137" s="6" t="b">
        <f>COUNTIFS('OLT DOWN Tickets'!$AB:$AB, "*" &amp; D137 &amp; "*", 'OLT DOWN Tickets'!$L:$L, "OLT UPLINK LOW POWER") &gt; 0</f>
        <v>0</v>
      </c>
      <c r="H137" s="6" t="b">
        <f>COUNTIFS('OLT DOWN Tickets'!$AB:$AB, "*" &amp; D137 &amp; "*", 'OLT DOWN Tickets'!$L:$L, "OLT UPLINK DOWN") &gt; 0</f>
        <v>0</v>
      </c>
      <c r="I137" s="6" t="b">
        <f>COUNTIFS('OLT DOWN Tickets'!$AB:$AB, "*" &amp; D137 &amp; "*", 'OLT DOWN Tickets'!$L:$L, "OLT SERVICE DEGRADATION") &gt; 0</f>
        <v>0</v>
      </c>
      <c r="J137" s="32" t="str">
        <f>IFERROR(__xludf.DUMMYFUNCTION("IFERROR(INDEX(FILTER('OLT DOWN Tickets'!$F:$F, REGEXMATCH('OLT DOWN Tickets'!$AB:$AB, ""(?i)""&amp;TRIM(D137)), 'OLT DOWN Tickets'!$L:$L=""OLT DOWN""), 1), """")"),"")</f>
        <v/>
      </c>
      <c r="K137" s="32" t="str">
        <f>IFERROR(__xludf.DUMMYFUNCTION("IFERROR(INDEX(FILTER('OLT DOWN Tickets'!$F:$F, REGEXMATCH('OLT DOWN Tickets'!$AB:$AB, ""(?i)""&amp;TRIM(D137)), 'OLT DOWN Tickets'!$L:$L=""OLT UPLINK LOW POWER""), 1), """")"),"")</f>
        <v/>
      </c>
      <c r="L137" s="32" t="str">
        <f>IFERROR(__xludf.DUMMYFUNCTION("IFERROR(INDEX(FILTER('OLT DOWN Tickets'!$F:$F, REGEXMATCH('OLT DOWN Tickets'!$AB:$AB, ""(?i)""&amp;TRIM(D137)), 'OLT DOWN Tickets'!$L:$L=""OLT UPLINK DOWN""), 1), """")"),"")</f>
        <v/>
      </c>
      <c r="M137" s="32" t="str">
        <f>IFERROR(__xludf.DUMMYFUNCTION("IFERROR(INDEX(FILTER('OLT DOWN Tickets'!$F:$F, REGEXMATCH('OLT DOWN Tickets'!$AB:$AB, ""(?i)""&amp;TRIM(D137)), 'OLT DOWN Tickets'!$L:$L=""OLT SERVICE DEGRADATION""), 1), """")
"),"")</f>
        <v/>
      </c>
      <c r="N137" s="6" t="b">
        <v>0</v>
      </c>
      <c r="O137" s="6" t="b">
        <v>0</v>
      </c>
      <c r="P137" s="6" t="b">
        <v>0</v>
      </c>
      <c r="Q137" s="6" t="b">
        <v>0</v>
      </c>
      <c r="R137" s="6"/>
      <c r="S137" s="6"/>
      <c r="T137" s="6"/>
      <c r="U137" s="6"/>
    </row>
    <row r="138">
      <c r="A138" s="19"/>
      <c r="B138" s="26" t="s">
        <v>113</v>
      </c>
      <c r="C138" s="26" t="s">
        <v>313</v>
      </c>
      <c r="D138" s="27" t="s">
        <v>315</v>
      </c>
      <c r="E138" s="6" t="b">
        <f t="shared" si="1"/>
        <v>1</v>
      </c>
      <c r="F138" s="6" t="b">
        <f>COUNTIFS('OLT DOWN Tickets'!$AB:$AB, "*" &amp; D138 &amp; "*", 'OLT DOWN Tickets'!$L:$L, "OLT DOWN") &gt; 0</f>
        <v>0</v>
      </c>
      <c r="G138" s="6" t="b">
        <f>COUNTIFS('OLT DOWN Tickets'!$AB:$AB, "*" &amp; D138 &amp; "*", 'OLT DOWN Tickets'!$L:$L, "OLT UPLINK LOW POWER") &gt; 0</f>
        <v>0</v>
      </c>
      <c r="H138" s="6" t="b">
        <f>COUNTIFS('OLT DOWN Tickets'!$AB:$AB, "*" &amp; D138 &amp; "*", 'OLT DOWN Tickets'!$L:$L, "OLT UPLINK DOWN") &gt; 0</f>
        <v>0</v>
      </c>
      <c r="I138" s="6" t="b">
        <f>COUNTIFS('OLT DOWN Tickets'!$AB:$AB, "*" &amp; D138 &amp; "*", 'OLT DOWN Tickets'!$L:$L, "OLT SERVICE DEGRADATION") &gt; 0</f>
        <v>0</v>
      </c>
      <c r="J138" s="32" t="str">
        <f>IFERROR(__xludf.DUMMYFUNCTION("IFERROR(INDEX(FILTER('OLT DOWN Tickets'!$F:$F, REGEXMATCH('OLT DOWN Tickets'!$AB:$AB, ""(?i)""&amp;TRIM(D138)), 'OLT DOWN Tickets'!$L:$L=""OLT DOWN""), 1), """")"),"")</f>
        <v/>
      </c>
      <c r="K138" s="32" t="str">
        <f>IFERROR(__xludf.DUMMYFUNCTION("IFERROR(INDEX(FILTER('OLT DOWN Tickets'!$F:$F, REGEXMATCH('OLT DOWN Tickets'!$AB:$AB, ""(?i)""&amp;TRIM(D138)), 'OLT DOWN Tickets'!$L:$L=""OLT UPLINK LOW POWER""), 1), """")"),"")</f>
        <v/>
      </c>
      <c r="L138" s="32" t="str">
        <f>IFERROR(__xludf.DUMMYFUNCTION("IFERROR(INDEX(FILTER('OLT DOWN Tickets'!$F:$F, REGEXMATCH('OLT DOWN Tickets'!$AB:$AB, ""(?i)""&amp;TRIM(D138)), 'OLT DOWN Tickets'!$L:$L=""OLT UPLINK DOWN""), 1), """")"),"")</f>
        <v/>
      </c>
      <c r="M138" s="32" t="str">
        <f>IFERROR(__xludf.DUMMYFUNCTION("IFERROR(INDEX(FILTER('OLT DOWN Tickets'!$F:$F, REGEXMATCH('OLT DOWN Tickets'!$AB:$AB, ""(?i)""&amp;TRIM(D138)), 'OLT DOWN Tickets'!$L:$L=""OLT SERVICE DEGRADATION""), 1), """")
"),"")</f>
        <v/>
      </c>
      <c r="N138" s="6" t="b">
        <v>0</v>
      </c>
      <c r="O138" s="6" t="b">
        <v>0</v>
      </c>
      <c r="P138" s="6" t="b">
        <v>0</v>
      </c>
      <c r="Q138" s="6" t="b">
        <v>0</v>
      </c>
      <c r="R138" s="6"/>
      <c r="S138" s="6"/>
      <c r="T138" s="6"/>
      <c r="U138" s="6"/>
    </row>
    <row r="139">
      <c r="A139" s="19"/>
      <c r="B139" s="26" t="s">
        <v>113</v>
      </c>
      <c r="C139" s="26" t="s">
        <v>313</v>
      </c>
      <c r="D139" s="27" t="s">
        <v>316</v>
      </c>
      <c r="E139" s="6" t="b">
        <f t="shared" si="1"/>
        <v>1</v>
      </c>
      <c r="F139" s="6" t="b">
        <f>COUNTIFS('OLT DOWN Tickets'!$AB:$AB, "*" &amp; D139 &amp; "*", 'OLT DOWN Tickets'!$L:$L, "OLT DOWN") &gt; 0</f>
        <v>0</v>
      </c>
      <c r="G139" s="6" t="b">
        <f>COUNTIFS('OLT DOWN Tickets'!$AB:$AB, "*" &amp; D139 &amp; "*", 'OLT DOWN Tickets'!$L:$L, "OLT UPLINK LOW POWER") &gt; 0</f>
        <v>0</v>
      </c>
      <c r="H139" s="6" t="b">
        <f>COUNTIFS('OLT DOWN Tickets'!$AB:$AB, "*" &amp; D139 &amp; "*", 'OLT DOWN Tickets'!$L:$L, "OLT UPLINK DOWN") &gt; 0</f>
        <v>0</v>
      </c>
      <c r="I139" s="6" t="b">
        <f>COUNTIFS('OLT DOWN Tickets'!$AB:$AB, "*" &amp; D139 &amp; "*", 'OLT DOWN Tickets'!$L:$L, "OLT SERVICE DEGRADATION") &gt; 0</f>
        <v>0</v>
      </c>
      <c r="J139" s="32" t="str">
        <f>IFERROR(__xludf.DUMMYFUNCTION("IFERROR(INDEX(FILTER('OLT DOWN Tickets'!$F:$F, REGEXMATCH('OLT DOWN Tickets'!$AB:$AB, ""(?i)""&amp;TRIM(D139)), 'OLT DOWN Tickets'!$L:$L=""OLT DOWN""), 1), """")"),"")</f>
        <v/>
      </c>
      <c r="K139" s="32" t="str">
        <f>IFERROR(__xludf.DUMMYFUNCTION("IFERROR(INDEX(FILTER('OLT DOWN Tickets'!$F:$F, REGEXMATCH('OLT DOWN Tickets'!$AB:$AB, ""(?i)""&amp;TRIM(D139)), 'OLT DOWN Tickets'!$L:$L=""OLT UPLINK LOW POWER""), 1), """")"),"")</f>
        <v/>
      </c>
      <c r="L139" s="32" t="str">
        <f>IFERROR(__xludf.DUMMYFUNCTION("IFERROR(INDEX(FILTER('OLT DOWN Tickets'!$F:$F, REGEXMATCH('OLT DOWN Tickets'!$AB:$AB, ""(?i)""&amp;TRIM(D139)), 'OLT DOWN Tickets'!$L:$L=""OLT UPLINK DOWN""), 1), """")"),"")</f>
        <v/>
      </c>
      <c r="M139" s="32" t="str">
        <f>IFERROR(__xludf.DUMMYFUNCTION("IFERROR(INDEX(FILTER('OLT DOWN Tickets'!$F:$F, REGEXMATCH('OLT DOWN Tickets'!$AB:$AB, ""(?i)""&amp;TRIM(D139)), 'OLT DOWN Tickets'!$L:$L=""OLT SERVICE DEGRADATION""), 1), """")
"),"")</f>
        <v/>
      </c>
      <c r="N139" s="6" t="b">
        <v>0</v>
      </c>
      <c r="O139" s="6" t="b">
        <v>0</v>
      </c>
      <c r="P139" s="6" t="b">
        <v>0</v>
      </c>
      <c r="Q139" s="6" t="b">
        <v>0</v>
      </c>
      <c r="R139" s="6"/>
      <c r="S139" s="6"/>
      <c r="T139" s="6"/>
      <c r="U139" s="6"/>
    </row>
    <row r="140">
      <c r="A140" s="19"/>
      <c r="B140" s="26" t="s">
        <v>317</v>
      </c>
      <c r="C140" s="26" t="s">
        <v>318</v>
      </c>
      <c r="D140" s="27" t="s">
        <v>319</v>
      </c>
      <c r="E140" s="6" t="b">
        <f t="shared" si="1"/>
        <v>1</v>
      </c>
      <c r="F140" s="6" t="b">
        <f>COUNTIFS('OLT DOWN Tickets'!$AB:$AB, "*" &amp; D140 &amp; "*", 'OLT DOWN Tickets'!$L:$L, "OLT DOWN") &gt; 0</f>
        <v>0</v>
      </c>
      <c r="G140" s="6" t="b">
        <f>COUNTIFS('OLT DOWN Tickets'!$AB:$AB, "*" &amp; D140 &amp; "*", 'OLT DOWN Tickets'!$L:$L, "OLT UPLINK LOW POWER") &gt; 0</f>
        <v>0</v>
      </c>
      <c r="H140" s="6" t="b">
        <f>COUNTIFS('OLT DOWN Tickets'!$AB:$AB, "*" &amp; D140 &amp; "*", 'OLT DOWN Tickets'!$L:$L, "OLT UPLINK DOWN") &gt; 0</f>
        <v>0</v>
      </c>
      <c r="I140" s="6" t="b">
        <f>COUNTIFS('OLT DOWN Tickets'!$AB:$AB, "*" &amp; D140 &amp; "*", 'OLT DOWN Tickets'!$L:$L, "OLT SERVICE DEGRADATION") &gt; 0</f>
        <v>0</v>
      </c>
      <c r="J140" s="32" t="str">
        <f>IFERROR(__xludf.DUMMYFUNCTION("IFERROR(INDEX(FILTER('OLT DOWN Tickets'!$F:$F, REGEXMATCH('OLT DOWN Tickets'!$AB:$AB, ""(?i)""&amp;TRIM(D140)), 'OLT DOWN Tickets'!$L:$L=""OLT DOWN""), 1), """")"),"")</f>
        <v/>
      </c>
      <c r="K140" s="32" t="str">
        <f>IFERROR(__xludf.DUMMYFUNCTION("IFERROR(INDEX(FILTER('OLT DOWN Tickets'!$F:$F, REGEXMATCH('OLT DOWN Tickets'!$AB:$AB, ""(?i)""&amp;TRIM(D140)), 'OLT DOWN Tickets'!$L:$L=""OLT UPLINK LOW POWER""), 1), """")"),"")</f>
        <v/>
      </c>
      <c r="L140" s="32" t="str">
        <f>IFERROR(__xludf.DUMMYFUNCTION("IFERROR(INDEX(FILTER('OLT DOWN Tickets'!$F:$F, REGEXMATCH('OLT DOWN Tickets'!$AB:$AB, ""(?i)""&amp;TRIM(D140)), 'OLT DOWN Tickets'!$L:$L=""OLT UPLINK DOWN""), 1), """")"),"")</f>
        <v/>
      </c>
      <c r="M140" s="32" t="str">
        <f>IFERROR(__xludf.DUMMYFUNCTION("IFERROR(INDEX(FILTER('OLT DOWN Tickets'!$F:$F, REGEXMATCH('OLT DOWN Tickets'!$AB:$AB, ""(?i)""&amp;TRIM(D140)), 'OLT DOWN Tickets'!$L:$L=""OLT SERVICE DEGRADATION""), 1), """")
"),"")</f>
        <v/>
      </c>
      <c r="N140" s="6" t="b">
        <v>0</v>
      </c>
      <c r="O140" s="6" t="b">
        <v>0</v>
      </c>
      <c r="P140" s="6" t="b">
        <v>0</v>
      </c>
      <c r="Q140" s="6" t="b">
        <v>0</v>
      </c>
      <c r="R140" s="6"/>
      <c r="S140" s="6"/>
      <c r="T140" s="6"/>
      <c r="U140" s="6"/>
    </row>
    <row r="141">
      <c r="A141" s="19"/>
      <c r="B141" s="26" t="s">
        <v>317</v>
      </c>
      <c r="C141" s="26" t="s">
        <v>320</v>
      </c>
      <c r="D141" s="27" t="s">
        <v>321</v>
      </c>
      <c r="E141" s="6" t="b">
        <f t="shared" si="1"/>
        <v>1</v>
      </c>
      <c r="F141" s="6" t="b">
        <f>COUNTIFS('OLT DOWN Tickets'!$AB:$AB, "*" &amp; D141 &amp; "*", 'OLT DOWN Tickets'!$L:$L, "OLT DOWN") &gt; 0</f>
        <v>0</v>
      </c>
      <c r="G141" s="6" t="b">
        <f>COUNTIFS('OLT DOWN Tickets'!$AB:$AB, "*" &amp; D141 &amp; "*", 'OLT DOWN Tickets'!$L:$L, "OLT UPLINK LOW POWER") &gt; 0</f>
        <v>0</v>
      </c>
      <c r="H141" s="6" t="b">
        <f>COUNTIFS('OLT DOWN Tickets'!$AB:$AB, "*" &amp; D141 &amp; "*", 'OLT DOWN Tickets'!$L:$L, "OLT UPLINK DOWN") &gt; 0</f>
        <v>0</v>
      </c>
      <c r="I141" s="6" t="b">
        <f>COUNTIFS('OLT DOWN Tickets'!$AB:$AB, "*" &amp; D141 &amp; "*", 'OLT DOWN Tickets'!$L:$L, "OLT SERVICE DEGRADATION") &gt; 0</f>
        <v>0</v>
      </c>
      <c r="J141" s="32" t="str">
        <f>IFERROR(__xludf.DUMMYFUNCTION("IFERROR(INDEX(FILTER('OLT DOWN Tickets'!$F:$F, REGEXMATCH('OLT DOWN Tickets'!$AB:$AB, ""(?i)""&amp;TRIM(D141)), 'OLT DOWN Tickets'!$L:$L=""OLT DOWN""), 1), """")"),"")</f>
        <v/>
      </c>
      <c r="K141" s="32" t="str">
        <f>IFERROR(__xludf.DUMMYFUNCTION("IFERROR(INDEX(FILTER('OLT DOWN Tickets'!$F:$F, REGEXMATCH('OLT DOWN Tickets'!$AB:$AB, ""(?i)""&amp;TRIM(D141)), 'OLT DOWN Tickets'!$L:$L=""OLT UPLINK LOW POWER""), 1), """")"),"")</f>
        <v/>
      </c>
      <c r="L141" s="32" t="str">
        <f>IFERROR(__xludf.DUMMYFUNCTION("IFERROR(INDEX(FILTER('OLT DOWN Tickets'!$F:$F, REGEXMATCH('OLT DOWN Tickets'!$AB:$AB, ""(?i)""&amp;TRIM(D141)), 'OLT DOWN Tickets'!$L:$L=""OLT UPLINK DOWN""), 1), """")"),"")</f>
        <v/>
      </c>
      <c r="M141" s="32" t="str">
        <f>IFERROR(__xludf.DUMMYFUNCTION("IFERROR(INDEX(FILTER('OLT DOWN Tickets'!$F:$F, REGEXMATCH('OLT DOWN Tickets'!$AB:$AB, ""(?i)""&amp;TRIM(D141)), 'OLT DOWN Tickets'!$L:$L=""OLT SERVICE DEGRADATION""), 1), """")
"),"")</f>
        <v/>
      </c>
      <c r="N141" s="6" t="b">
        <v>0</v>
      </c>
      <c r="O141" s="6" t="b">
        <v>0</v>
      </c>
      <c r="P141" s="6" t="b">
        <v>0</v>
      </c>
      <c r="Q141" s="6" t="b">
        <v>0</v>
      </c>
      <c r="R141" s="6"/>
      <c r="S141" s="6"/>
      <c r="T141" s="6"/>
      <c r="U141" s="6"/>
    </row>
    <row r="142">
      <c r="A142" s="19"/>
      <c r="B142" s="26" t="s">
        <v>317</v>
      </c>
      <c r="C142" s="26" t="s">
        <v>322</v>
      </c>
      <c r="D142" s="27" t="s">
        <v>323</v>
      </c>
      <c r="E142" s="6" t="b">
        <f t="shared" si="1"/>
        <v>1</v>
      </c>
      <c r="F142" s="6" t="b">
        <f>COUNTIFS('OLT DOWN Tickets'!$AB:$AB, "*" &amp; D142 &amp; "*", 'OLT DOWN Tickets'!$L:$L, "OLT DOWN") &gt; 0</f>
        <v>0</v>
      </c>
      <c r="G142" s="6" t="b">
        <f>COUNTIFS('OLT DOWN Tickets'!$AB:$AB, "*" &amp; D142 &amp; "*", 'OLT DOWN Tickets'!$L:$L, "OLT UPLINK LOW POWER") &gt; 0</f>
        <v>0</v>
      </c>
      <c r="H142" s="6" t="b">
        <f>COUNTIFS('OLT DOWN Tickets'!$AB:$AB, "*" &amp; D142 &amp; "*", 'OLT DOWN Tickets'!$L:$L, "OLT UPLINK DOWN") &gt; 0</f>
        <v>0</v>
      </c>
      <c r="I142" s="6" t="b">
        <f>COUNTIFS('OLT DOWN Tickets'!$AB:$AB, "*" &amp; D142 &amp; "*", 'OLT DOWN Tickets'!$L:$L, "OLT SERVICE DEGRADATION") &gt; 0</f>
        <v>0</v>
      </c>
      <c r="J142" s="32" t="str">
        <f>IFERROR(__xludf.DUMMYFUNCTION("IFERROR(INDEX(FILTER('OLT DOWN Tickets'!$F:$F, REGEXMATCH('OLT DOWN Tickets'!$AB:$AB, ""(?i)""&amp;TRIM(D142)), 'OLT DOWN Tickets'!$L:$L=""OLT DOWN""), 1), """")"),"")</f>
        <v/>
      </c>
      <c r="K142" s="32" t="str">
        <f>IFERROR(__xludf.DUMMYFUNCTION("IFERROR(INDEX(FILTER('OLT DOWN Tickets'!$F:$F, REGEXMATCH('OLT DOWN Tickets'!$AB:$AB, ""(?i)""&amp;TRIM(D142)), 'OLT DOWN Tickets'!$L:$L=""OLT UPLINK LOW POWER""), 1), """")"),"")</f>
        <v/>
      </c>
      <c r="L142" s="32" t="str">
        <f>IFERROR(__xludf.DUMMYFUNCTION("IFERROR(INDEX(FILTER('OLT DOWN Tickets'!$F:$F, REGEXMATCH('OLT DOWN Tickets'!$AB:$AB, ""(?i)""&amp;TRIM(D142)), 'OLT DOWN Tickets'!$L:$L=""OLT UPLINK DOWN""), 1), """")"),"")</f>
        <v/>
      </c>
      <c r="M142" s="32" t="str">
        <f>IFERROR(__xludf.DUMMYFUNCTION("IFERROR(INDEX(FILTER('OLT DOWN Tickets'!$F:$F, REGEXMATCH('OLT DOWN Tickets'!$AB:$AB, ""(?i)""&amp;TRIM(D142)), 'OLT DOWN Tickets'!$L:$L=""OLT SERVICE DEGRADATION""), 1), """")
"),"")</f>
        <v/>
      </c>
      <c r="N142" s="6" t="b">
        <v>0</v>
      </c>
      <c r="O142" s="6" t="b">
        <v>0</v>
      </c>
      <c r="P142" s="6" t="b">
        <v>0</v>
      </c>
      <c r="Q142" s="6" t="b">
        <v>0</v>
      </c>
      <c r="R142" s="6"/>
      <c r="S142" s="6"/>
      <c r="T142" s="6"/>
      <c r="U142" s="6"/>
    </row>
    <row r="143">
      <c r="A143" s="19"/>
      <c r="B143" s="26" t="s">
        <v>317</v>
      </c>
      <c r="C143" s="26" t="s">
        <v>322</v>
      </c>
      <c r="D143" s="27" t="s">
        <v>324</v>
      </c>
      <c r="E143" s="6" t="b">
        <f t="shared" si="1"/>
        <v>1</v>
      </c>
      <c r="F143" s="6" t="b">
        <f>COUNTIFS('OLT DOWN Tickets'!$AB:$AB, "*" &amp; D143 &amp; "*", 'OLT DOWN Tickets'!$L:$L, "OLT DOWN") &gt; 0</f>
        <v>0</v>
      </c>
      <c r="G143" s="6" t="b">
        <f>COUNTIFS('OLT DOWN Tickets'!$AB:$AB, "*" &amp; D143 &amp; "*", 'OLT DOWN Tickets'!$L:$L, "OLT UPLINK LOW POWER") &gt; 0</f>
        <v>0</v>
      </c>
      <c r="H143" s="6" t="b">
        <f>COUNTIFS('OLT DOWN Tickets'!$AB:$AB, "*" &amp; D143 &amp; "*", 'OLT DOWN Tickets'!$L:$L, "OLT UPLINK DOWN") &gt; 0</f>
        <v>0</v>
      </c>
      <c r="I143" s="6" t="b">
        <f>COUNTIFS('OLT DOWN Tickets'!$AB:$AB, "*" &amp; D143 &amp; "*", 'OLT DOWN Tickets'!$L:$L, "OLT SERVICE DEGRADATION") &gt; 0</f>
        <v>0</v>
      </c>
      <c r="J143" s="32" t="str">
        <f>IFERROR(__xludf.DUMMYFUNCTION("IFERROR(INDEX(FILTER('OLT DOWN Tickets'!$F:$F, REGEXMATCH('OLT DOWN Tickets'!$AB:$AB, ""(?i)""&amp;TRIM(D143)), 'OLT DOWN Tickets'!$L:$L=""OLT DOWN""), 1), """")"),"")</f>
        <v/>
      </c>
      <c r="K143" s="32" t="str">
        <f>IFERROR(__xludf.DUMMYFUNCTION("IFERROR(INDEX(FILTER('OLT DOWN Tickets'!$F:$F, REGEXMATCH('OLT DOWN Tickets'!$AB:$AB, ""(?i)""&amp;TRIM(D143)), 'OLT DOWN Tickets'!$L:$L=""OLT UPLINK LOW POWER""), 1), """")"),"")</f>
        <v/>
      </c>
      <c r="L143" s="32" t="str">
        <f>IFERROR(__xludf.DUMMYFUNCTION("IFERROR(INDEX(FILTER('OLT DOWN Tickets'!$F:$F, REGEXMATCH('OLT DOWN Tickets'!$AB:$AB, ""(?i)""&amp;TRIM(D143)), 'OLT DOWN Tickets'!$L:$L=""OLT UPLINK DOWN""), 1), """")"),"")</f>
        <v/>
      </c>
      <c r="M143" s="32" t="str">
        <f>IFERROR(__xludf.DUMMYFUNCTION("IFERROR(INDEX(FILTER('OLT DOWN Tickets'!$F:$F, REGEXMATCH('OLT DOWN Tickets'!$AB:$AB, ""(?i)""&amp;TRIM(D143)), 'OLT DOWN Tickets'!$L:$L=""OLT SERVICE DEGRADATION""), 1), """")
"),"")</f>
        <v/>
      </c>
      <c r="N143" s="6" t="b">
        <v>0</v>
      </c>
      <c r="O143" s="6" t="b">
        <v>0</v>
      </c>
      <c r="P143" s="6" t="b">
        <v>0</v>
      </c>
      <c r="Q143" s="6" t="b">
        <v>0</v>
      </c>
      <c r="R143" s="6"/>
      <c r="S143" s="6"/>
      <c r="T143" s="6"/>
      <c r="U143" s="6"/>
    </row>
    <row r="144">
      <c r="A144" s="19"/>
      <c r="B144" s="26" t="s">
        <v>317</v>
      </c>
      <c r="C144" s="26" t="s">
        <v>325</v>
      </c>
      <c r="D144" s="27" t="s">
        <v>326</v>
      </c>
      <c r="E144" s="6" t="b">
        <f t="shared" si="1"/>
        <v>1</v>
      </c>
      <c r="F144" s="6" t="b">
        <f>COUNTIFS('OLT DOWN Tickets'!$AB:$AB, "*" &amp; D144 &amp; "*", 'OLT DOWN Tickets'!$L:$L, "OLT DOWN") &gt; 0</f>
        <v>0</v>
      </c>
      <c r="G144" s="6" t="b">
        <f>COUNTIFS('OLT DOWN Tickets'!$AB:$AB, "*" &amp; D144 &amp; "*", 'OLT DOWN Tickets'!$L:$L, "OLT UPLINK LOW POWER") &gt; 0</f>
        <v>0</v>
      </c>
      <c r="H144" s="6" t="b">
        <f>COUNTIFS('OLT DOWN Tickets'!$AB:$AB, "*" &amp; D144 &amp; "*", 'OLT DOWN Tickets'!$L:$L, "OLT UPLINK DOWN") &gt; 0</f>
        <v>0</v>
      </c>
      <c r="I144" s="6" t="b">
        <f>COUNTIFS('OLT DOWN Tickets'!$AB:$AB, "*" &amp; D144 &amp; "*", 'OLT DOWN Tickets'!$L:$L, "OLT SERVICE DEGRADATION") &gt; 0</f>
        <v>0</v>
      </c>
      <c r="J144" s="32" t="str">
        <f>IFERROR(__xludf.DUMMYFUNCTION("IFERROR(INDEX(FILTER('OLT DOWN Tickets'!$F:$F, REGEXMATCH('OLT DOWN Tickets'!$AB:$AB, ""(?i)""&amp;TRIM(D144)), 'OLT DOWN Tickets'!$L:$L=""OLT DOWN""), 1), """")"),"")</f>
        <v/>
      </c>
      <c r="K144" s="32" t="str">
        <f>IFERROR(__xludf.DUMMYFUNCTION("IFERROR(INDEX(FILTER('OLT DOWN Tickets'!$F:$F, REGEXMATCH('OLT DOWN Tickets'!$AB:$AB, ""(?i)""&amp;TRIM(D144)), 'OLT DOWN Tickets'!$L:$L=""OLT UPLINK LOW POWER""), 1), """")"),"")</f>
        <v/>
      </c>
      <c r="L144" s="32" t="str">
        <f>IFERROR(__xludf.DUMMYFUNCTION("IFERROR(INDEX(FILTER('OLT DOWN Tickets'!$F:$F, REGEXMATCH('OLT DOWN Tickets'!$AB:$AB, ""(?i)""&amp;TRIM(D144)), 'OLT DOWN Tickets'!$L:$L=""OLT UPLINK DOWN""), 1), """")"),"")</f>
        <v/>
      </c>
      <c r="M144" s="32" t="str">
        <f>IFERROR(__xludf.DUMMYFUNCTION("IFERROR(INDEX(FILTER('OLT DOWN Tickets'!$F:$F, REGEXMATCH('OLT DOWN Tickets'!$AB:$AB, ""(?i)""&amp;TRIM(D144)), 'OLT DOWN Tickets'!$L:$L=""OLT SERVICE DEGRADATION""), 1), """")
"),"")</f>
        <v/>
      </c>
      <c r="N144" s="6" t="b">
        <v>0</v>
      </c>
      <c r="O144" s="6" t="b">
        <v>0</v>
      </c>
      <c r="P144" s="6" t="b">
        <v>0</v>
      </c>
      <c r="Q144" s="6" t="b">
        <v>0</v>
      </c>
      <c r="R144" s="6"/>
      <c r="S144" s="6"/>
      <c r="T144" s="6"/>
      <c r="U144" s="6"/>
    </row>
    <row r="145">
      <c r="A145" s="19"/>
      <c r="B145" s="26" t="s">
        <v>317</v>
      </c>
      <c r="C145" s="26" t="s">
        <v>327</v>
      </c>
      <c r="D145" s="27" t="s">
        <v>328</v>
      </c>
      <c r="E145" s="6" t="b">
        <f t="shared" si="1"/>
        <v>1</v>
      </c>
      <c r="F145" s="6" t="b">
        <f>COUNTIFS('OLT DOWN Tickets'!$AB:$AB, "*" &amp; D145 &amp; "*", 'OLT DOWN Tickets'!$L:$L, "OLT DOWN") &gt; 0</f>
        <v>0</v>
      </c>
      <c r="G145" s="6" t="b">
        <f>COUNTIFS('OLT DOWN Tickets'!$AB:$AB, "*" &amp; D145 &amp; "*", 'OLT DOWN Tickets'!$L:$L, "OLT UPLINK LOW POWER") &gt; 0</f>
        <v>0</v>
      </c>
      <c r="H145" s="6" t="b">
        <f>COUNTIFS('OLT DOWN Tickets'!$AB:$AB, "*" &amp; D145 &amp; "*", 'OLT DOWN Tickets'!$L:$L, "OLT UPLINK DOWN") &gt; 0</f>
        <v>0</v>
      </c>
      <c r="I145" s="6" t="b">
        <f>COUNTIFS('OLT DOWN Tickets'!$AB:$AB, "*" &amp; D145 &amp; "*", 'OLT DOWN Tickets'!$L:$L, "OLT SERVICE DEGRADATION") &gt; 0</f>
        <v>0</v>
      </c>
      <c r="J145" s="32" t="str">
        <f>IFERROR(__xludf.DUMMYFUNCTION("IFERROR(INDEX(FILTER('OLT DOWN Tickets'!$F:$F, REGEXMATCH('OLT DOWN Tickets'!$AB:$AB, ""(?i)""&amp;TRIM(D145)), 'OLT DOWN Tickets'!$L:$L=""OLT DOWN""), 1), """")"),"")</f>
        <v/>
      </c>
      <c r="K145" s="32" t="str">
        <f>IFERROR(__xludf.DUMMYFUNCTION("IFERROR(INDEX(FILTER('OLT DOWN Tickets'!$F:$F, REGEXMATCH('OLT DOWN Tickets'!$AB:$AB, ""(?i)""&amp;TRIM(D145)), 'OLT DOWN Tickets'!$L:$L=""OLT UPLINK LOW POWER""), 1), """")"),"")</f>
        <v/>
      </c>
      <c r="L145" s="32" t="str">
        <f>IFERROR(__xludf.DUMMYFUNCTION("IFERROR(INDEX(FILTER('OLT DOWN Tickets'!$F:$F, REGEXMATCH('OLT DOWN Tickets'!$AB:$AB, ""(?i)""&amp;TRIM(D145)), 'OLT DOWN Tickets'!$L:$L=""OLT UPLINK DOWN""), 1), """")"),"")</f>
        <v/>
      </c>
      <c r="M145" s="32" t="str">
        <f>IFERROR(__xludf.DUMMYFUNCTION("IFERROR(INDEX(FILTER('OLT DOWN Tickets'!$F:$F, REGEXMATCH('OLT DOWN Tickets'!$AB:$AB, ""(?i)""&amp;TRIM(D145)), 'OLT DOWN Tickets'!$L:$L=""OLT SERVICE DEGRADATION""), 1), """")
"),"")</f>
        <v/>
      </c>
      <c r="N145" s="6" t="b">
        <v>0</v>
      </c>
      <c r="O145" s="6" t="b">
        <v>0</v>
      </c>
      <c r="P145" s="6" t="b">
        <v>0</v>
      </c>
      <c r="Q145" s="6" t="b">
        <v>0</v>
      </c>
      <c r="R145" s="6"/>
      <c r="S145" s="6"/>
      <c r="T145" s="6"/>
      <c r="U145" s="6"/>
    </row>
    <row r="146">
      <c r="A146" s="19"/>
      <c r="B146" s="26" t="s">
        <v>317</v>
      </c>
      <c r="C146" s="26" t="s">
        <v>329</v>
      </c>
      <c r="D146" s="27" t="s">
        <v>330</v>
      </c>
      <c r="E146" s="6" t="b">
        <f t="shared" si="1"/>
        <v>1</v>
      </c>
      <c r="F146" s="6" t="b">
        <f>COUNTIFS('OLT DOWN Tickets'!$AB:$AB, "*" &amp; D146 &amp; "*", 'OLT DOWN Tickets'!$L:$L, "OLT DOWN") &gt; 0</f>
        <v>0</v>
      </c>
      <c r="G146" s="6" t="b">
        <f>COUNTIFS('OLT DOWN Tickets'!$AB:$AB, "*" &amp; D146 &amp; "*", 'OLT DOWN Tickets'!$L:$L, "OLT UPLINK LOW POWER") &gt; 0</f>
        <v>0</v>
      </c>
      <c r="H146" s="6" t="b">
        <f>COUNTIFS('OLT DOWN Tickets'!$AB:$AB, "*" &amp; D146 &amp; "*", 'OLT DOWN Tickets'!$L:$L, "OLT UPLINK DOWN") &gt; 0</f>
        <v>0</v>
      </c>
      <c r="I146" s="6" t="b">
        <f>COUNTIFS('OLT DOWN Tickets'!$AB:$AB, "*" &amp; D146 &amp; "*", 'OLT DOWN Tickets'!$L:$L, "OLT SERVICE DEGRADATION") &gt; 0</f>
        <v>0</v>
      </c>
      <c r="J146" s="32" t="str">
        <f>IFERROR(__xludf.DUMMYFUNCTION("IFERROR(INDEX(FILTER('OLT DOWN Tickets'!$F:$F, REGEXMATCH('OLT DOWN Tickets'!$AB:$AB, ""(?i)""&amp;TRIM(D146)), 'OLT DOWN Tickets'!$L:$L=""OLT DOWN""), 1), """")"),"")</f>
        <v/>
      </c>
      <c r="K146" s="32" t="str">
        <f>IFERROR(__xludf.DUMMYFUNCTION("IFERROR(INDEX(FILTER('OLT DOWN Tickets'!$F:$F, REGEXMATCH('OLT DOWN Tickets'!$AB:$AB, ""(?i)""&amp;TRIM(D146)), 'OLT DOWN Tickets'!$L:$L=""OLT UPLINK LOW POWER""), 1), """")"),"")</f>
        <v/>
      </c>
      <c r="L146" s="32" t="str">
        <f>IFERROR(__xludf.DUMMYFUNCTION("IFERROR(INDEX(FILTER('OLT DOWN Tickets'!$F:$F, REGEXMATCH('OLT DOWN Tickets'!$AB:$AB, ""(?i)""&amp;TRIM(D146)), 'OLT DOWN Tickets'!$L:$L=""OLT UPLINK DOWN""), 1), """")"),"")</f>
        <v/>
      </c>
      <c r="M146" s="32" t="str">
        <f>IFERROR(__xludf.DUMMYFUNCTION("IFERROR(INDEX(FILTER('OLT DOWN Tickets'!$F:$F, REGEXMATCH('OLT DOWN Tickets'!$AB:$AB, ""(?i)""&amp;TRIM(D146)), 'OLT DOWN Tickets'!$L:$L=""OLT SERVICE DEGRADATION""), 1), """")
"),"")</f>
        <v/>
      </c>
      <c r="N146" s="6" t="b">
        <v>0</v>
      </c>
      <c r="O146" s="6" t="b">
        <v>0</v>
      </c>
      <c r="P146" s="6" t="b">
        <v>0</v>
      </c>
      <c r="Q146" s="6" t="b">
        <v>0</v>
      </c>
      <c r="R146" s="6"/>
      <c r="S146" s="6"/>
      <c r="T146" s="6"/>
      <c r="U146" s="6"/>
    </row>
    <row r="147">
      <c r="A147" s="19"/>
      <c r="B147" s="26" t="s">
        <v>317</v>
      </c>
      <c r="C147" s="26" t="s">
        <v>329</v>
      </c>
      <c r="D147" s="27" t="s">
        <v>331</v>
      </c>
      <c r="E147" s="6" t="b">
        <f t="shared" si="1"/>
        <v>1</v>
      </c>
      <c r="F147" s="6" t="b">
        <f>COUNTIFS('OLT DOWN Tickets'!$AB:$AB, "*" &amp; D147 &amp; "*", 'OLT DOWN Tickets'!$L:$L, "OLT DOWN") &gt; 0</f>
        <v>0</v>
      </c>
      <c r="G147" s="6" t="b">
        <f>COUNTIFS('OLT DOWN Tickets'!$AB:$AB, "*" &amp; D147 &amp; "*", 'OLT DOWN Tickets'!$L:$L, "OLT UPLINK LOW POWER") &gt; 0</f>
        <v>0</v>
      </c>
      <c r="H147" s="6" t="b">
        <f>COUNTIFS('OLT DOWN Tickets'!$AB:$AB, "*" &amp; D147 &amp; "*", 'OLT DOWN Tickets'!$L:$L, "OLT UPLINK DOWN") &gt; 0</f>
        <v>0</v>
      </c>
      <c r="I147" s="6" t="b">
        <f>COUNTIFS('OLT DOWN Tickets'!$AB:$AB, "*" &amp; D147 &amp; "*", 'OLT DOWN Tickets'!$L:$L, "OLT SERVICE DEGRADATION") &gt; 0</f>
        <v>0</v>
      </c>
      <c r="J147" s="32" t="str">
        <f>IFERROR(__xludf.DUMMYFUNCTION("IFERROR(INDEX(FILTER('OLT DOWN Tickets'!$F:$F, REGEXMATCH('OLT DOWN Tickets'!$AB:$AB, ""(?i)""&amp;TRIM(D147)), 'OLT DOWN Tickets'!$L:$L=""OLT DOWN""), 1), """")"),"")</f>
        <v/>
      </c>
      <c r="K147" s="32" t="str">
        <f>IFERROR(__xludf.DUMMYFUNCTION("IFERROR(INDEX(FILTER('OLT DOWN Tickets'!$F:$F, REGEXMATCH('OLT DOWN Tickets'!$AB:$AB, ""(?i)""&amp;TRIM(D147)), 'OLT DOWN Tickets'!$L:$L=""OLT UPLINK LOW POWER""), 1), """")"),"")</f>
        <v/>
      </c>
      <c r="L147" s="32" t="str">
        <f>IFERROR(__xludf.DUMMYFUNCTION("IFERROR(INDEX(FILTER('OLT DOWN Tickets'!$F:$F, REGEXMATCH('OLT DOWN Tickets'!$AB:$AB, ""(?i)""&amp;TRIM(D147)), 'OLT DOWN Tickets'!$L:$L=""OLT UPLINK DOWN""), 1), """")"),"")</f>
        <v/>
      </c>
      <c r="M147" s="32" t="str">
        <f>IFERROR(__xludf.DUMMYFUNCTION("IFERROR(INDEX(FILTER('OLT DOWN Tickets'!$F:$F, REGEXMATCH('OLT DOWN Tickets'!$AB:$AB, ""(?i)""&amp;TRIM(D147)), 'OLT DOWN Tickets'!$L:$L=""OLT SERVICE DEGRADATION""), 1), """")
"),"")</f>
        <v/>
      </c>
      <c r="N147" s="6" t="b">
        <v>0</v>
      </c>
      <c r="O147" s="6" t="b">
        <v>0</v>
      </c>
      <c r="P147" s="6" t="b">
        <v>0</v>
      </c>
      <c r="Q147" s="6" t="b">
        <v>0</v>
      </c>
      <c r="R147" s="6"/>
      <c r="S147" s="6"/>
      <c r="T147" s="6"/>
      <c r="U147" s="6"/>
    </row>
    <row r="148">
      <c r="A148" s="19"/>
      <c r="B148" s="26" t="s">
        <v>317</v>
      </c>
      <c r="C148" s="26" t="s">
        <v>332</v>
      </c>
      <c r="D148" s="27" t="s">
        <v>333</v>
      </c>
      <c r="E148" s="6" t="b">
        <f t="shared" si="1"/>
        <v>1</v>
      </c>
      <c r="F148" s="6" t="b">
        <f>COUNTIFS('OLT DOWN Tickets'!$AB:$AB, "*" &amp; D148 &amp; "*", 'OLT DOWN Tickets'!$L:$L, "OLT DOWN") &gt; 0</f>
        <v>0</v>
      </c>
      <c r="G148" s="6" t="b">
        <f>COUNTIFS('OLT DOWN Tickets'!$AB:$AB, "*" &amp; D148 &amp; "*", 'OLT DOWN Tickets'!$L:$L, "OLT UPLINK LOW POWER") &gt; 0</f>
        <v>0</v>
      </c>
      <c r="H148" s="6" t="b">
        <f>COUNTIFS('OLT DOWN Tickets'!$AB:$AB, "*" &amp; D148 &amp; "*", 'OLT DOWN Tickets'!$L:$L, "OLT UPLINK DOWN") &gt; 0</f>
        <v>0</v>
      </c>
      <c r="I148" s="6" t="b">
        <f>COUNTIFS('OLT DOWN Tickets'!$AB:$AB, "*" &amp; D148 &amp; "*", 'OLT DOWN Tickets'!$L:$L, "OLT SERVICE DEGRADATION") &gt; 0</f>
        <v>0</v>
      </c>
      <c r="J148" s="32" t="str">
        <f>IFERROR(__xludf.DUMMYFUNCTION("IFERROR(INDEX(FILTER('OLT DOWN Tickets'!$F:$F, REGEXMATCH('OLT DOWN Tickets'!$AB:$AB, ""(?i)""&amp;TRIM(D148)), 'OLT DOWN Tickets'!$L:$L=""OLT DOWN""), 1), """")"),"")</f>
        <v/>
      </c>
      <c r="K148" s="32" t="str">
        <f>IFERROR(__xludf.DUMMYFUNCTION("IFERROR(INDEX(FILTER('OLT DOWN Tickets'!$F:$F, REGEXMATCH('OLT DOWN Tickets'!$AB:$AB, ""(?i)""&amp;TRIM(D148)), 'OLT DOWN Tickets'!$L:$L=""OLT UPLINK LOW POWER""), 1), """")"),"")</f>
        <v/>
      </c>
      <c r="L148" s="32" t="str">
        <f>IFERROR(__xludf.DUMMYFUNCTION("IFERROR(INDEX(FILTER('OLT DOWN Tickets'!$F:$F, REGEXMATCH('OLT DOWN Tickets'!$AB:$AB, ""(?i)""&amp;TRIM(D148)), 'OLT DOWN Tickets'!$L:$L=""OLT UPLINK DOWN""), 1), """")"),"")</f>
        <v/>
      </c>
      <c r="M148" s="32" t="str">
        <f>IFERROR(__xludf.DUMMYFUNCTION("IFERROR(INDEX(FILTER('OLT DOWN Tickets'!$F:$F, REGEXMATCH('OLT DOWN Tickets'!$AB:$AB, ""(?i)""&amp;TRIM(D148)), 'OLT DOWN Tickets'!$L:$L=""OLT SERVICE DEGRADATION""), 1), """")
"),"")</f>
        <v/>
      </c>
      <c r="N148" s="6" t="b">
        <v>0</v>
      </c>
      <c r="O148" s="6" t="b">
        <v>0</v>
      </c>
      <c r="P148" s="6" t="b">
        <v>0</v>
      </c>
      <c r="Q148" s="6" t="b">
        <v>0</v>
      </c>
      <c r="R148" s="6"/>
      <c r="S148" s="6"/>
      <c r="T148" s="6"/>
      <c r="U148" s="6"/>
    </row>
    <row r="149">
      <c r="A149" s="19"/>
      <c r="B149" s="26" t="s">
        <v>317</v>
      </c>
      <c r="C149" s="26" t="s">
        <v>332</v>
      </c>
      <c r="D149" s="27" t="s">
        <v>334</v>
      </c>
      <c r="E149" s="6" t="b">
        <f t="shared" si="1"/>
        <v>1</v>
      </c>
      <c r="F149" s="6" t="b">
        <f>COUNTIFS('OLT DOWN Tickets'!$AB:$AB, "*" &amp; D149 &amp; "*", 'OLT DOWN Tickets'!$L:$L, "OLT DOWN") &gt; 0</f>
        <v>0</v>
      </c>
      <c r="G149" s="6" t="b">
        <f>COUNTIFS('OLT DOWN Tickets'!$AB:$AB, "*" &amp; D149 &amp; "*", 'OLT DOWN Tickets'!$L:$L, "OLT UPLINK LOW POWER") &gt; 0</f>
        <v>0</v>
      </c>
      <c r="H149" s="6" t="b">
        <f>COUNTIFS('OLT DOWN Tickets'!$AB:$AB, "*" &amp; D149 &amp; "*", 'OLT DOWN Tickets'!$L:$L, "OLT UPLINK DOWN") &gt; 0</f>
        <v>0</v>
      </c>
      <c r="I149" s="6" t="b">
        <f>COUNTIFS('OLT DOWN Tickets'!$AB:$AB, "*" &amp; D149 &amp; "*", 'OLT DOWN Tickets'!$L:$L, "OLT SERVICE DEGRADATION") &gt; 0</f>
        <v>0</v>
      </c>
      <c r="J149" s="32" t="str">
        <f>IFERROR(__xludf.DUMMYFUNCTION("IFERROR(INDEX(FILTER('OLT DOWN Tickets'!$F:$F, REGEXMATCH('OLT DOWN Tickets'!$AB:$AB, ""(?i)""&amp;TRIM(D149)), 'OLT DOWN Tickets'!$L:$L=""OLT DOWN""), 1), """")"),"")</f>
        <v/>
      </c>
      <c r="K149" s="32" t="str">
        <f>IFERROR(__xludf.DUMMYFUNCTION("IFERROR(INDEX(FILTER('OLT DOWN Tickets'!$F:$F, REGEXMATCH('OLT DOWN Tickets'!$AB:$AB, ""(?i)""&amp;TRIM(D149)), 'OLT DOWN Tickets'!$L:$L=""OLT UPLINK LOW POWER""), 1), """")"),"")</f>
        <v/>
      </c>
      <c r="L149" s="32" t="str">
        <f>IFERROR(__xludf.DUMMYFUNCTION("IFERROR(INDEX(FILTER('OLT DOWN Tickets'!$F:$F, REGEXMATCH('OLT DOWN Tickets'!$AB:$AB, ""(?i)""&amp;TRIM(D149)), 'OLT DOWN Tickets'!$L:$L=""OLT UPLINK DOWN""), 1), """")"),"")</f>
        <v/>
      </c>
      <c r="M149" s="32" t="str">
        <f>IFERROR(__xludf.DUMMYFUNCTION("IFERROR(INDEX(FILTER('OLT DOWN Tickets'!$F:$F, REGEXMATCH('OLT DOWN Tickets'!$AB:$AB, ""(?i)""&amp;TRIM(D149)), 'OLT DOWN Tickets'!$L:$L=""OLT SERVICE DEGRADATION""), 1), """")
"),"")</f>
        <v/>
      </c>
      <c r="N149" s="6" t="b">
        <v>0</v>
      </c>
      <c r="O149" s="6" t="b">
        <v>0</v>
      </c>
      <c r="P149" s="6" t="b">
        <v>0</v>
      </c>
      <c r="Q149" s="6" t="b">
        <v>0</v>
      </c>
      <c r="R149" s="6"/>
      <c r="S149" s="6"/>
      <c r="T149" s="6"/>
      <c r="U149" s="6"/>
    </row>
    <row r="150">
      <c r="A150" s="19"/>
      <c r="B150" s="26" t="s">
        <v>317</v>
      </c>
      <c r="C150" s="26" t="s">
        <v>332</v>
      </c>
      <c r="D150" s="27" t="s">
        <v>335</v>
      </c>
      <c r="E150" s="6" t="b">
        <f t="shared" si="1"/>
        <v>1</v>
      </c>
      <c r="F150" s="6" t="b">
        <f>COUNTIFS('OLT DOWN Tickets'!$AB:$AB, "*" &amp; D150 &amp; "*", 'OLT DOWN Tickets'!$L:$L, "OLT DOWN") &gt; 0</f>
        <v>0</v>
      </c>
      <c r="G150" s="6" t="b">
        <f>COUNTIFS('OLT DOWN Tickets'!$AB:$AB, "*" &amp; D150 &amp; "*", 'OLT DOWN Tickets'!$L:$L, "OLT UPLINK LOW POWER") &gt; 0</f>
        <v>0</v>
      </c>
      <c r="H150" s="6" t="b">
        <f>COUNTIFS('OLT DOWN Tickets'!$AB:$AB, "*" &amp; D150 &amp; "*", 'OLT DOWN Tickets'!$L:$L, "OLT UPLINK DOWN") &gt; 0</f>
        <v>0</v>
      </c>
      <c r="I150" s="6" t="b">
        <f>COUNTIFS('OLT DOWN Tickets'!$AB:$AB, "*" &amp; D150 &amp; "*", 'OLT DOWN Tickets'!$L:$L, "OLT SERVICE DEGRADATION") &gt; 0</f>
        <v>0</v>
      </c>
      <c r="J150" s="32" t="str">
        <f>IFERROR(__xludf.DUMMYFUNCTION("IFERROR(INDEX(FILTER('OLT DOWN Tickets'!$F:$F, REGEXMATCH('OLT DOWN Tickets'!$AB:$AB, ""(?i)""&amp;TRIM(D150)), 'OLT DOWN Tickets'!$L:$L=""OLT DOWN""), 1), """")"),"")</f>
        <v/>
      </c>
      <c r="K150" s="32" t="str">
        <f>IFERROR(__xludf.DUMMYFUNCTION("IFERROR(INDEX(FILTER('OLT DOWN Tickets'!$F:$F, REGEXMATCH('OLT DOWN Tickets'!$AB:$AB, ""(?i)""&amp;TRIM(D150)), 'OLT DOWN Tickets'!$L:$L=""OLT UPLINK LOW POWER""), 1), """")"),"")</f>
        <v/>
      </c>
      <c r="L150" s="32" t="str">
        <f>IFERROR(__xludf.DUMMYFUNCTION("IFERROR(INDEX(FILTER('OLT DOWN Tickets'!$F:$F, REGEXMATCH('OLT DOWN Tickets'!$AB:$AB, ""(?i)""&amp;TRIM(D150)), 'OLT DOWN Tickets'!$L:$L=""OLT UPLINK DOWN""), 1), """")"),"")</f>
        <v/>
      </c>
      <c r="M150" s="32" t="str">
        <f>IFERROR(__xludf.DUMMYFUNCTION("IFERROR(INDEX(FILTER('OLT DOWN Tickets'!$F:$F, REGEXMATCH('OLT DOWN Tickets'!$AB:$AB, ""(?i)""&amp;TRIM(D150)), 'OLT DOWN Tickets'!$L:$L=""OLT SERVICE DEGRADATION""), 1), """")
"),"")</f>
        <v/>
      </c>
      <c r="N150" s="6" t="b">
        <v>0</v>
      </c>
      <c r="O150" s="6" t="b">
        <v>0</v>
      </c>
      <c r="P150" s="6" t="b">
        <v>0</v>
      </c>
      <c r="Q150" s="6" t="b">
        <v>0</v>
      </c>
      <c r="R150" s="6"/>
      <c r="S150" s="6"/>
      <c r="T150" s="6"/>
      <c r="U150" s="6"/>
    </row>
    <row r="151">
      <c r="A151" s="19"/>
      <c r="B151" s="26" t="s">
        <v>317</v>
      </c>
      <c r="C151" s="26" t="s">
        <v>332</v>
      </c>
      <c r="D151" s="27" t="s">
        <v>336</v>
      </c>
      <c r="E151" s="6" t="b">
        <f t="shared" si="1"/>
        <v>1</v>
      </c>
      <c r="F151" s="6" t="b">
        <f>COUNTIFS('OLT DOWN Tickets'!$AB:$AB, "*" &amp; D151 &amp; "*", 'OLT DOWN Tickets'!$L:$L, "OLT DOWN") &gt; 0</f>
        <v>0</v>
      </c>
      <c r="G151" s="6" t="b">
        <f>COUNTIFS('OLT DOWN Tickets'!$AB:$AB, "*" &amp; D151 &amp; "*", 'OLT DOWN Tickets'!$L:$L, "OLT UPLINK LOW POWER") &gt; 0</f>
        <v>0</v>
      </c>
      <c r="H151" s="6" t="b">
        <f>COUNTIFS('OLT DOWN Tickets'!$AB:$AB, "*" &amp; D151 &amp; "*", 'OLT DOWN Tickets'!$L:$L, "OLT UPLINK DOWN") &gt; 0</f>
        <v>0</v>
      </c>
      <c r="I151" s="6" t="b">
        <f>COUNTIFS('OLT DOWN Tickets'!$AB:$AB, "*" &amp; D151 &amp; "*", 'OLT DOWN Tickets'!$L:$L, "OLT SERVICE DEGRADATION") &gt; 0</f>
        <v>0</v>
      </c>
      <c r="J151" s="32" t="str">
        <f>IFERROR(__xludf.DUMMYFUNCTION("IFERROR(INDEX(FILTER('OLT DOWN Tickets'!$F:$F, REGEXMATCH('OLT DOWN Tickets'!$AB:$AB, ""(?i)""&amp;TRIM(D151)), 'OLT DOWN Tickets'!$L:$L=""OLT DOWN""), 1), """")"),"")</f>
        <v/>
      </c>
      <c r="K151" s="32" t="str">
        <f>IFERROR(__xludf.DUMMYFUNCTION("IFERROR(INDEX(FILTER('OLT DOWN Tickets'!$F:$F, REGEXMATCH('OLT DOWN Tickets'!$AB:$AB, ""(?i)""&amp;TRIM(D151)), 'OLT DOWN Tickets'!$L:$L=""OLT UPLINK LOW POWER""), 1), """")"),"")</f>
        <v/>
      </c>
      <c r="L151" s="32" t="str">
        <f>IFERROR(__xludf.DUMMYFUNCTION("IFERROR(INDEX(FILTER('OLT DOWN Tickets'!$F:$F, REGEXMATCH('OLT DOWN Tickets'!$AB:$AB, ""(?i)""&amp;TRIM(D151)), 'OLT DOWN Tickets'!$L:$L=""OLT UPLINK DOWN""), 1), """")"),"")</f>
        <v/>
      </c>
      <c r="M151" s="32" t="str">
        <f>IFERROR(__xludf.DUMMYFUNCTION("IFERROR(INDEX(FILTER('OLT DOWN Tickets'!$F:$F, REGEXMATCH('OLT DOWN Tickets'!$AB:$AB, ""(?i)""&amp;TRIM(D151)), 'OLT DOWN Tickets'!$L:$L=""OLT SERVICE DEGRADATION""), 1), """")
"),"")</f>
        <v/>
      </c>
      <c r="N151" s="6" t="b">
        <v>0</v>
      </c>
      <c r="O151" s="6" t="b">
        <v>0</v>
      </c>
      <c r="P151" s="6" t="b">
        <v>0</v>
      </c>
      <c r="Q151" s="6" t="b">
        <v>0</v>
      </c>
      <c r="R151" s="6"/>
      <c r="S151" s="6"/>
      <c r="T151" s="6"/>
      <c r="U151" s="6"/>
    </row>
    <row r="152">
      <c r="A152" s="19"/>
      <c r="B152" s="26" t="s">
        <v>317</v>
      </c>
      <c r="C152" s="26" t="s">
        <v>332</v>
      </c>
      <c r="D152" s="27" t="s">
        <v>337</v>
      </c>
      <c r="E152" s="6" t="b">
        <f t="shared" si="1"/>
        <v>1</v>
      </c>
      <c r="F152" s="6" t="b">
        <f>COUNTIFS('OLT DOWN Tickets'!$AB:$AB, "*" &amp; D152 &amp; "*", 'OLT DOWN Tickets'!$L:$L, "OLT DOWN") &gt; 0</f>
        <v>0</v>
      </c>
      <c r="G152" s="6" t="b">
        <f>COUNTIFS('OLT DOWN Tickets'!$AB:$AB, "*" &amp; D152 &amp; "*", 'OLT DOWN Tickets'!$L:$L, "OLT UPLINK LOW POWER") &gt; 0</f>
        <v>0</v>
      </c>
      <c r="H152" s="6" t="b">
        <f>COUNTIFS('OLT DOWN Tickets'!$AB:$AB, "*" &amp; D152 &amp; "*", 'OLT DOWN Tickets'!$L:$L, "OLT UPLINK DOWN") &gt; 0</f>
        <v>0</v>
      </c>
      <c r="I152" s="6" t="b">
        <f>COUNTIFS('OLT DOWN Tickets'!$AB:$AB, "*" &amp; D152 &amp; "*", 'OLT DOWN Tickets'!$L:$L, "OLT SERVICE DEGRADATION") &gt; 0</f>
        <v>0</v>
      </c>
      <c r="J152" s="32" t="str">
        <f>IFERROR(__xludf.DUMMYFUNCTION("IFERROR(INDEX(FILTER('OLT DOWN Tickets'!$F:$F, REGEXMATCH('OLT DOWN Tickets'!$AB:$AB, ""(?i)""&amp;TRIM(D152)), 'OLT DOWN Tickets'!$L:$L=""OLT DOWN""), 1), """")"),"")</f>
        <v/>
      </c>
      <c r="K152" s="32" t="str">
        <f>IFERROR(__xludf.DUMMYFUNCTION("IFERROR(INDEX(FILTER('OLT DOWN Tickets'!$F:$F, REGEXMATCH('OLT DOWN Tickets'!$AB:$AB, ""(?i)""&amp;TRIM(D152)), 'OLT DOWN Tickets'!$L:$L=""OLT UPLINK LOW POWER""), 1), """")"),"")</f>
        <v/>
      </c>
      <c r="L152" s="32" t="str">
        <f>IFERROR(__xludf.DUMMYFUNCTION("IFERROR(INDEX(FILTER('OLT DOWN Tickets'!$F:$F, REGEXMATCH('OLT DOWN Tickets'!$AB:$AB, ""(?i)""&amp;TRIM(D152)), 'OLT DOWN Tickets'!$L:$L=""OLT UPLINK DOWN""), 1), """")"),"")</f>
        <v/>
      </c>
      <c r="M152" s="32" t="str">
        <f>IFERROR(__xludf.DUMMYFUNCTION("IFERROR(INDEX(FILTER('OLT DOWN Tickets'!$F:$F, REGEXMATCH('OLT DOWN Tickets'!$AB:$AB, ""(?i)""&amp;TRIM(D152)), 'OLT DOWN Tickets'!$L:$L=""OLT SERVICE DEGRADATION""), 1), """")
"),"")</f>
        <v/>
      </c>
      <c r="N152" s="6" t="b">
        <v>0</v>
      </c>
      <c r="O152" s="6" t="b">
        <v>0</v>
      </c>
      <c r="P152" s="6" t="b">
        <v>0</v>
      </c>
      <c r="Q152" s="6" t="b">
        <v>0</v>
      </c>
      <c r="R152" s="6"/>
      <c r="S152" s="6"/>
      <c r="T152" s="6"/>
      <c r="U152" s="6"/>
    </row>
    <row r="153">
      <c r="A153" s="19"/>
      <c r="B153" s="26" t="s">
        <v>317</v>
      </c>
      <c r="C153" s="26" t="s">
        <v>338</v>
      </c>
      <c r="D153" s="27" t="s">
        <v>339</v>
      </c>
      <c r="E153" s="6" t="b">
        <f t="shared" si="1"/>
        <v>1</v>
      </c>
      <c r="F153" s="6" t="b">
        <f>COUNTIFS('OLT DOWN Tickets'!$AB:$AB, "*" &amp; D153 &amp; "*", 'OLT DOWN Tickets'!$L:$L, "OLT DOWN") &gt; 0</f>
        <v>0</v>
      </c>
      <c r="G153" s="6" t="b">
        <f>COUNTIFS('OLT DOWN Tickets'!$AB:$AB, "*" &amp; D153 &amp; "*", 'OLT DOWN Tickets'!$L:$L, "OLT UPLINK LOW POWER") &gt; 0</f>
        <v>0</v>
      </c>
      <c r="H153" s="6" t="b">
        <f>COUNTIFS('OLT DOWN Tickets'!$AB:$AB, "*" &amp; D153 &amp; "*", 'OLT DOWN Tickets'!$L:$L, "OLT UPLINK DOWN") &gt; 0</f>
        <v>0</v>
      </c>
      <c r="I153" s="6" t="b">
        <f>COUNTIFS('OLT DOWN Tickets'!$AB:$AB, "*" &amp; D153 &amp; "*", 'OLT DOWN Tickets'!$L:$L, "OLT SERVICE DEGRADATION") &gt; 0</f>
        <v>0</v>
      </c>
      <c r="J153" s="32" t="str">
        <f>IFERROR(__xludf.DUMMYFUNCTION("IFERROR(INDEX(FILTER('OLT DOWN Tickets'!$F:$F, REGEXMATCH('OLT DOWN Tickets'!$AB:$AB, ""(?i)""&amp;TRIM(D153)), 'OLT DOWN Tickets'!$L:$L=""OLT DOWN""), 1), """")"),"")</f>
        <v/>
      </c>
      <c r="K153" s="32" t="str">
        <f>IFERROR(__xludf.DUMMYFUNCTION("IFERROR(INDEX(FILTER('OLT DOWN Tickets'!$F:$F, REGEXMATCH('OLT DOWN Tickets'!$AB:$AB, ""(?i)""&amp;TRIM(D153)), 'OLT DOWN Tickets'!$L:$L=""OLT UPLINK LOW POWER""), 1), """")"),"")</f>
        <v/>
      </c>
      <c r="L153" s="32" t="str">
        <f>IFERROR(__xludf.DUMMYFUNCTION("IFERROR(INDEX(FILTER('OLT DOWN Tickets'!$F:$F, REGEXMATCH('OLT DOWN Tickets'!$AB:$AB, ""(?i)""&amp;TRIM(D153)), 'OLT DOWN Tickets'!$L:$L=""OLT UPLINK DOWN""), 1), """")"),"")</f>
        <v/>
      </c>
      <c r="M153" s="32" t="str">
        <f>IFERROR(__xludf.DUMMYFUNCTION("IFERROR(INDEX(FILTER('OLT DOWN Tickets'!$F:$F, REGEXMATCH('OLT DOWN Tickets'!$AB:$AB, ""(?i)""&amp;TRIM(D153)), 'OLT DOWN Tickets'!$L:$L=""OLT SERVICE DEGRADATION""), 1), """")
"),"")</f>
        <v/>
      </c>
      <c r="N153" s="6" t="b">
        <v>0</v>
      </c>
      <c r="O153" s="6" t="b">
        <v>0</v>
      </c>
      <c r="P153" s="6" t="b">
        <v>0</v>
      </c>
      <c r="Q153" s="6" t="b">
        <v>0</v>
      </c>
      <c r="R153" s="6"/>
      <c r="S153" s="6"/>
      <c r="T153" s="6"/>
      <c r="U153" s="6"/>
    </row>
    <row r="154">
      <c r="A154" s="19"/>
      <c r="B154" s="26" t="s">
        <v>317</v>
      </c>
      <c r="C154" s="26" t="s">
        <v>340</v>
      </c>
      <c r="D154" s="27" t="s">
        <v>341</v>
      </c>
      <c r="E154" s="6" t="b">
        <f t="shared" si="1"/>
        <v>1</v>
      </c>
      <c r="F154" s="6" t="b">
        <f>COUNTIFS('OLT DOWN Tickets'!$AB:$AB, "*" &amp; D154 &amp; "*", 'OLT DOWN Tickets'!$L:$L, "OLT DOWN") &gt; 0</f>
        <v>0</v>
      </c>
      <c r="G154" s="6" t="b">
        <f>COUNTIFS('OLT DOWN Tickets'!$AB:$AB, "*" &amp; D154 &amp; "*", 'OLT DOWN Tickets'!$L:$L, "OLT UPLINK LOW POWER") &gt; 0</f>
        <v>0</v>
      </c>
      <c r="H154" s="6" t="b">
        <f>COUNTIFS('OLT DOWN Tickets'!$AB:$AB, "*" &amp; D154 &amp; "*", 'OLT DOWN Tickets'!$L:$L, "OLT UPLINK DOWN") &gt; 0</f>
        <v>0</v>
      </c>
      <c r="I154" s="6" t="b">
        <f>COUNTIFS('OLT DOWN Tickets'!$AB:$AB, "*" &amp; D154 &amp; "*", 'OLT DOWN Tickets'!$L:$L, "OLT SERVICE DEGRADATION") &gt; 0</f>
        <v>0</v>
      </c>
      <c r="J154" s="32" t="str">
        <f>IFERROR(__xludf.DUMMYFUNCTION("IFERROR(INDEX(FILTER('OLT DOWN Tickets'!$F:$F, REGEXMATCH('OLT DOWN Tickets'!$AB:$AB, ""(?i)""&amp;TRIM(D154)), 'OLT DOWN Tickets'!$L:$L=""OLT DOWN""), 1), """")"),"")</f>
        <v/>
      </c>
      <c r="K154" s="32" t="str">
        <f>IFERROR(__xludf.DUMMYFUNCTION("IFERROR(INDEX(FILTER('OLT DOWN Tickets'!$F:$F, REGEXMATCH('OLT DOWN Tickets'!$AB:$AB, ""(?i)""&amp;TRIM(D154)), 'OLT DOWN Tickets'!$L:$L=""OLT UPLINK LOW POWER""), 1), """")"),"")</f>
        <v/>
      </c>
      <c r="L154" s="32" t="str">
        <f>IFERROR(__xludf.DUMMYFUNCTION("IFERROR(INDEX(FILTER('OLT DOWN Tickets'!$F:$F, REGEXMATCH('OLT DOWN Tickets'!$AB:$AB, ""(?i)""&amp;TRIM(D154)), 'OLT DOWN Tickets'!$L:$L=""OLT UPLINK DOWN""), 1), """")"),"")</f>
        <v/>
      </c>
      <c r="M154" s="32" t="str">
        <f>IFERROR(__xludf.DUMMYFUNCTION("IFERROR(INDEX(FILTER('OLT DOWN Tickets'!$F:$F, REGEXMATCH('OLT DOWN Tickets'!$AB:$AB, ""(?i)""&amp;TRIM(D154)), 'OLT DOWN Tickets'!$L:$L=""OLT SERVICE DEGRADATION""), 1), """")
"),"")</f>
        <v/>
      </c>
      <c r="N154" s="6" t="b">
        <v>0</v>
      </c>
      <c r="O154" s="6" t="b">
        <v>0</v>
      </c>
      <c r="P154" s="6" t="b">
        <v>0</v>
      </c>
      <c r="Q154" s="6" t="b">
        <v>0</v>
      </c>
      <c r="R154" s="6"/>
      <c r="S154" s="6"/>
      <c r="T154" s="6"/>
      <c r="U154" s="6"/>
    </row>
    <row r="155">
      <c r="A155" s="19"/>
      <c r="B155" s="26" t="s">
        <v>317</v>
      </c>
      <c r="C155" s="26" t="s">
        <v>342</v>
      </c>
      <c r="D155" s="27" t="s">
        <v>343</v>
      </c>
      <c r="E155" s="6" t="b">
        <f t="shared" si="1"/>
        <v>1</v>
      </c>
      <c r="F155" s="6" t="b">
        <f>COUNTIFS('OLT DOWN Tickets'!$AB:$AB, "*" &amp; D155 &amp; "*", 'OLT DOWN Tickets'!$L:$L, "OLT DOWN") &gt; 0</f>
        <v>0</v>
      </c>
      <c r="G155" s="6" t="b">
        <f>COUNTIFS('OLT DOWN Tickets'!$AB:$AB, "*" &amp; D155 &amp; "*", 'OLT DOWN Tickets'!$L:$L, "OLT UPLINK LOW POWER") &gt; 0</f>
        <v>0</v>
      </c>
      <c r="H155" s="6" t="b">
        <f>COUNTIFS('OLT DOWN Tickets'!$AB:$AB, "*" &amp; D155 &amp; "*", 'OLT DOWN Tickets'!$L:$L, "OLT UPLINK DOWN") &gt; 0</f>
        <v>0</v>
      </c>
      <c r="I155" s="6" t="b">
        <f>COUNTIFS('OLT DOWN Tickets'!$AB:$AB, "*" &amp; D155 &amp; "*", 'OLT DOWN Tickets'!$L:$L, "OLT SERVICE DEGRADATION") &gt; 0</f>
        <v>0</v>
      </c>
      <c r="J155" s="32" t="str">
        <f>IFERROR(__xludf.DUMMYFUNCTION("IFERROR(INDEX(FILTER('OLT DOWN Tickets'!$F:$F, REGEXMATCH('OLT DOWN Tickets'!$AB:$AB, ""(?i)""&amp;TRIM(D155)), 'OLT DOWN Tickets'!$L:$L=""OLT DOWN""), 1), """")"),"")</f>
        <v/>
      </c>
      <c r="K155" s="32" t="str">
        <f>IFERROR(__xludf.DUMMYFUNCTION("IFERROR(INDEX(FILTER('OLT DOWN Tickets'!$F:$F, REGEXMATCH('OLT DOWN Tickets'!$AB:$AB, ""(?i)""&amp;TRIM(D155)), 'OLT DOWN Tickets'!$L:$L=""OLT UPLINK LOW POWER""), 1), """")"),"")</f>
        <v/>
      </c>
      <c r="L155" s="32" t="str">
        <f>IFERROR(__xludf.DUMMYFUNCTION("IFERROR(INDEX(FILTER('OLT DOWN Tickets'!$F:$F, REGEXMATCH('OLT DOWN Tickets'!$AB:$AB, ""(?i)""&amp;TRIM(D155)), 'OLT DOWN Tickets'!$L:$L=""OLT UPLINK DOWN""), 1), """")"),"")</f>
        <v/>
      </c>
      <c r="M155" s="32" t="str">
        <f>IFERROR(__xludf.DUMMYFUNCTION("IFERROR(INDEX(FILTER('OLT DOWN Tickets'!$F:$F, REGEXMATCH('OLT DOWN Tickets'!$AB:$AB, ""(?i)""&amp;TRIM(D155)), 'OLT DOWN Tickets'!$L:$L=""OLT SERVICE DEGRADATION""), 1), """")
"),"")</f>
        <v/>
      </c>
      <c r="N155" s="6" t="b">
        <v>0</v>
      </c>
      <c r="O155" s="6" t="b">
        <v>0</v>
      </c>
      <c r="P155" s="6" t="b">
        <v>0</v>
      </c>
      <c r="Q155" s="6" t="b">
        <v>0</v>
      </c>
      <c r="R155" s="6"/>
      <c r="S155" s="6"/>
      <c r="T155" s="6"/>
      <c r="U155" s="6"/>
    </row>
    <row r="156">
      <c r="A156" s="19"/>
      <c r="B156" s="26" t="s">
        <v>317</v>
      </c>
      <c r="C156" s="26" t="s">
        <v>342</v>
      </c>
      <c r="D156" s="27" t="s">
        <v>344</v>
      </c>
      <c r="E156" s="6" t="b">
        <f t="shared" si="1"/>
        <v>1</v>
      </c>
      <c r="F156" s="6" t="b">
        <f>COUNTIFS('OLT DOWN Tickets'!$AB:$AB, "*" &amp; D156 &amp; "*", 'OLT DOWN Tickets'!$L:$L, "OLT DOWN") &gt; 0</f>
        <v>0</v>
      </c>
      <c r="G156" s="6" t="b">
        <f>COUNTIFS('OLT DOWN Tickets'!$AB:$AB, "*" &amp; D156 &amp; "*", 'OLT DOWN Tickets'!$L:$L, "OLT UPLINK LOW POWER") &gt; 0</f>
        <v>0</v>
      </c>
      <c r="H156" s="6" t="b">
        <f>COUNTIFS('OLT DOWN Tickets'!$AB:$AB, "*" &amp; D156 &amp; "*", 'OLT DOWN Tickets'!$L:$L, "OLT UPLINK DOWN") &gt; 0</f>
        <v>0</v>
      </c>
      <c r="I156" s="6" t="b">
        <f>COUNTIFS('OLT DOWN Tickets'!$AB:$AB, "*" &amp; D156 &amp; "*", 'OLT DOWN Tickets'!$L:$L, "OLT SERVICE DEGRADATION") &gt; 0</f>
        <v>0</v>
      </c>
      <c r="J156" s="32" t="str">
        <f>IFERROR(__xludf.DUMMYFUNCTION("IFERROR(INDEX(FILTER('OLT DOWN Tickets'!$F:$F, REGEXMATCH('OLT DOWN Tickets'!$AB:$AB, ""(?i)""&amp;TRIM(D156)), 'OLT DOWN Tickets'!$L:$L=""OLT DOWN""), 1), """")"),"")</f>
        <v/>
      </c>
      <c r="K156" s="32" t="str">
        <f>IFERROR(__xludf.DUMMYFUNCTION("IFERROR(INDEX(FILTER('OLT DOWN Tickets'!$F:$F, REGEXMATCH('OLT DOWN Tickets'!$AB:$AB, ""(?i)""&amp;TRIM(D156)), 'OLT DOWN Tickets'!$L:$L=""OLT UPLINK LOW POWER""), 1), """")"),"")</f>
        <v/>
      </c>
      <c r="L156" s="32" t="str">
        <f>IFERROR(__xludf.DUMMYFUNCTION("IFERROR(INDEX(FILTER('OLT DOWN Tickets'!$F:$F, REGEXMATCH('OLT DOWN Tickets'!$AB:$AB, ""(?i)""&amp;TRIM(D156)), 'OLT DOWN Tickets'!$L:$L=""OLT UPLINK DOWN""), 1), """")"),"")</f>
        <v/>
      </c>
      <c r="M156" s="32" t="str">
        <f>IFERROR(__xludf.DUMMYFUNCTION("IFERROR(INDEX(FILTER('OLT DOWN Tickets'!$F:$F, REGEXMATCH('OLT DOWN Tickets'!$AB:$AB, ""(?i)""&amp;TRIM(D156)), 'OLT DOWN Tickets'!$L:$L=""OLT SERVICE DEGRADATION""), 1), """")
"),"")</f>
        <v/>
      </c>
      <c r="N156" s="6" t="b">
        <v>0</v>
      </c>
      <c r="O156" s="6" t="b">
        <v>0</v>
      </c>
      <c r="P156" s="6" t="b">
        <v>0</v>
      </c>
      <c r="Q156" s="6" t="b">
        <v>0</v>
      </c>
      <c r="R156" s="6"/>
      <c r="S156" s="6"/>
      <c r="T156" s="6"/>
      <c r="U156" s="6"/>
    </row>
    <row r="157">
      <c r="A157" s="19"/>
      <c r="B157" s="26" t="s">
        <v>317</v>
      </c>
      <c r="C157" s="26" t="s">
        <v>345</v>
      </c>
      <c r="D157" s="27" t="s">
        <v>346</v>
      </c>
      <c r="E157" s="6" t="b">
        <f t="shared" si="1"/>
        <v>1</v>
      </c>
      <c r="F157" s="6" t="b">
        <f>COUNTIFS('OLT DOWN Tickets'!$AB:$AB, "*" &amp; D157 &amp; "*", 'OLT DOWN Tickets'!$L:$L, "OLT DOWN") &gt; 0</f>
        <v>0</v>
      </c>
      <c r="G157" s="6" t="b">
        <f>COUNTIFS('OLT DOWN Tickets'!$AB:$AB, "*" &amp; D157 &amp; "*", 'OLT DOWN Tickets'!$L:$L, "OLT UPLINK LOW POWER") &gt; 0</f>
        <v>0</v>
      </c>
      <c r="H157" s="6" t="b">
        <f>COUNTIFS('OLT DOWN Tickets'!$AB:$AB, "*" &amp; D157 &amp; "*", 'OLT DOWN Tickets'!$L:$L, "OLT UPLINK DOWN") &gt; 0</f>
        <v>0</v>
      </c>
      <c r="I157" s="6" t="b">
        <f>COUNTIFS('OLT DOWN Tickets'!$AB:$AB, "*" &amp; D157 &amp; "*", 'OLT DOWN Tickets'!$L:$L, "OLT SERVICE DEGRADATION") &gt; 0</f>
        <v>0</v>
      </c>
      <c r="J157" s="32" t="str">
        <f>IFERROR(__xludf.DUMMYFUNCTION("IFERROR(INDEX(FILTER('OLT DOWN Tickets'!$F:$F, REGEXMATCH('OLT DOWN Tickets'!$AB:$AB, ""(?i)""&amp;TRIM(D157)), 'OLT DOWN Tickets'!$L:$L=""OLT DOWN""), 1), """")"),"")</f>
        <v/>
      </c>
      <c r="K157" s="32" t="str">
        <f>IFERROR(__xludf.DUMMYFUNCTION("IFERROR(INDEX(FILTER('OLT DOWN Tickets'!$F:$F, REGEXMATCH('OLT DOWN Tickets'!$AB:$AB, ""(?i)""&amp;TRIM(D157)), 'OLT DOWN Tickets'!$L:$L=""OLT UPLINK LOW POWER""), 1), """")"),"")</f>
        <v/>
      </c>
      <c r="L157" s="32" t="str">
        <f>IFERROR(__xludf.DUMMYFUNCTION("IFERROR(INDEX(FILTER('OLT DOWN Tickets'!$F:$F, REGEXMATCH('OLT DOWN Tickets'!$AB:$AB, ""(?i)""&amp;TRIM(D157)), 'OLT DOWN Tickets'!$L:$L=""OLT UPLINK DOWN""), 1), """")"),"")</f>
        <v/>
      </c>
      <c r="M157" s="32" t="str">
        <f>IFERROR(__xludf.DUMMYFUNCTION("IFERROR(INDEX(FILTER('OLT DOWN Tickets'!$F:$F, REGEXMATCH('OLT DOWN Tickets'!$AB:$AB, ""(?i)""&amp;TRIM(D157)), 'OLT DOWN Tickets'!$L:$L=""OLT SERVICE DEGRADATION""), 1), """")
"),"")</f>
        <v/>
      </c>
      <c r="N157" s="6" t="b">
        <v>0</v>
      </c>
      <c r="O157" s="6" t="b">
        <v>0</v>
      </c>
      <c r="P157" s="6" t="b">
        <v>0</v>
      </c>
      <c r="Q157" s="6" t="b">
        <v>0</v>
      </c>
      <c r="R157" s="6"/>
      <c r="S157" s="6"/>
      <c r="T157" s="6"/>
      <c r="U157" s="6"/>
    </row>
    <row r="158">
      <c r="A158" s="19"/>
      <c r="B158" s="26" t="s">
        <v>317</v>
      </c>
      <c r="C158" s="26" t="s">
        <v>345</v>
      </c>
      <c r="D158" s="27" t="s">
        <v>347</v>
      </c>
      <c r="E158" s="6" t="b">
        <f t="shared" si="1"/>
        <v>1</v>
      </c>
      <c r="F158" s="6" t="b">
        <f>COUNTIFS('OLT DOWN Tickets'!$AB:$AB, "*" &amp; D158 &amp; "*", 'OLT DOWN Tickets'!$L:$L, "OLT DOWN") &gt; 0</f>
        <v>0</v>
      </c>
      <c r="G158" s="6" t="b">
        <f>COUNTIFS('OLT DOWN Tickets'!$AB:$AB, "*" &amp; D158 &amp; "*", 'OLT DOWN Tickets'!$L:$L, "OLT UPLINK LOW POWER") &gt; 0</f>
        <v>0</v>
      </c>
      <c r="H158" s="6" t="b">
        <f>COUNTIFS('OLT DOWN Tickets'!$AB:$AB, "*" &amp; D158 &amp; "*", 'OLT DOWN Tickets'!$L:$L, "OLT UPLINK DOWN") &gt; 0</f>
        <v>0</v>
      </c>
      <c r="I158" s="6" t="b">
        <f>COUNTIFS('OLT DOWN Tickets'!$AB:$AB, "*" &amp; D158 &amp; "*", 'OLT DOWN Tickets'!$L:$L, "OLT SERVICE DEGRADATION") &gt; 0</f>
        <v>0</v>
      </c>
      <c r="J158" s="32" t="str">
        <f>IFERROR(__xludf.DUMMYFUNCTION("IFERROR(INDEX(FILTER('OLT DOWN Tickets'!$F:$F, REGEXMATCH('OLT DOWN Tickets'!$AB:$AB, ""(?i)""&amp;TRIM(D158)), 'OLT DOWN Tickets'!$L:$L=""OLT DOWN""), 1), """")"),"")</f>
        <v/>
      </c>
      <c r="K158" s="32" t="str">
        <f>IFERROR(__xludf.DUMMYFUNCTION("IFERROR(INDEX(FILTER('OLT DOWN Tickets'!$F:$F, REGEXMATCH('OLT DOWN Tickets'!$AB:$AB, ""(?i)""&amp;TRIM(D158)), 'OLT DOWN Tickets'!$L:$L=""OLT UPLINK LOW POWER""), 1), """")"),"")</f>
        <v/>
      </c>
      <c r="L158" s="32" t="str">
        <f>IFERROR(__xludf.DUMMYFUNCTION("IFERROR(INDEX(FILTER('OLT DOWN Tickets'!$F:$F, REGEXMATCH('OLT DOWN Tickets'!$AB:$AB, ""(?i)""&amp;TRIM(D158)), 'OLT DOWN Tickets'!$L:$L=""OLT UPLINK DOWN""), 1), """")"),"")</f>
        <v/>
      </c>
      <c r="M158" s="32" t="str">
        <f>IFERROR(__xludf.DUMMYFUNCTION("IFERROR(INDEX(FILTER('OLT DOWN Tickets'!$F:$F, REGEXMATCH('OLT DOWN Tickets'!$AB:$AB, ""(?i)""&amp;TRIM(D158)), 'OLT DOWN Tickets'!$L:$L=""OLT SERVICE DEGRADATION""), 1), """")
"),"")</f>
        <v/>
      </c>
      <c r="N158" s="6" t="b">
        <v>0</v>
      </c>
      <c r="O158" s="6" t="b">
        <v>0</v>
      </c>
      <c r="P158" s="6" t="b">
        <v>0</v>
      </c>
      <c r="Q158" s="6" t="b">
        <v>0</v>
      </c>
      <c r="R158" s="6"/>
      <c r="S158" s="6"/>
      <c r="T158" s="6"/>
      <c r="U158" s="6"/>
    </row>
    <row r="159">
      <c r="A159" s="19"/>
      <c r="B159" s="26" t="s">
        <v>317</v>
      </c>
      <c r="C159" s="26" t="s">
        <v>348</v>
      </c>
      <c r="D159" s="27" t="s">
        <v>349</v>
      </c>
      <c r="E159" s="6" t="b">
        <f t="shared" si="1"/>
        <v>1</v>
      </c>
      <c r="F159" s="6" t="b">
        <f>COUNTIFS('OLT DOWN Tickets'!$AB:$AB, "*" &amp; D159 &amp; "*", 'OLT DOWN Tickets'!$L:$L, "OLT DOWN") &gt; 0</f>
        <v>0</v>
      </c>
      <c r="G159" s="6" t="b">
        <f>COUNTIFS('OLT DOWN Tickets'!$AB:$AB, "*" &amp; D159 &amp; "*", 'OLT DOWN Tickets'!$L:$L, "OLT UPLINK LOW POWER") &gt; 0</f>
        <v>0</v>
      </c>
      <c r="H159" s="6" t="b">
        <f>COUNTIFS('OLT DOWN Tickets'!$AB:$AB, "*" &amp; D159 &amp; "*", 'OLT DOWN Tickets'!$L:$L, "OLT UPLINK DOWN") &gt; 0</f>
        <v>0</v>
      </c>
      <c r="I159" s="6" t="b">
        <f>COUNTIFS('OLT DOWN Tickets'!$AB:$AB, "*" &amp; D159 &amp; "*", 'OLT DOWN Tickets'!$L:$L, "OLT SERVICE DEGRADATION") &gt; 0</f>
        <v>0</v>
      </c>
      <c r="J159" s="32" t="str">
        <f>IFERROR(__xludf.DUMMYFUNCTION("IFERROR(INDEX(FILTER('OLT DOWN Tickets'!$F:$F, REGEXMATCH('OLT DOWN Tickets'!$AB:$AB, ""(?i)""&amp;TRIM(D159)), 'OLT DOWN Tickets'!$L:$L=""OLT DOWN""), 1), """")"),"")</f>
        <v/>
      </c>
      <c r="K159" s="32" t="str">
        <f>IFERROR(__xludf.DUMMYFUNCTION("IFERROR(INDEX(FILTER('OLT DOWN Tickets'!$F:$F, REGEXMATCH('OLT DOWN Tickets'!$AB:$AB, ""(?i)""&amp;TRIM(D159)), 'OLT DOWN Tickets'!$L:$L=""OLT UPLINK LOW POWER""), 1), """")"),"")</f>
        <v/>
      </c>
      <c r="L159" s="32" t="str">
        <f>IFERROR(__xludf.DUMMYFUNCTION("IFERROR(INDEX(FILTER('OLT DOWN Tickets'!$F:$F, REGEXMATCH('OLT DOWN Tickets'!$AB:$AB, ""(?i)""&amp;TRIM(D159)), 'OLT DOWN Tickets'!$L:$L=""OLT UPLINK DOWN""), 1), """")"),"")</f>
        <v/>
      </c>
      <c r="M159" s="32" t="str">
        <f>IFERROR(__xludf.DUMMYFUNCTION("IFERROR(INDEX(FILTER('OLT DOWN Tickets'!$F:$F, REGEXMATCH('OLT DOWN Tickets'!$AB:$AB, ""(?i)""&amp;TRIM(D159)), 'OLT DOWN Tickets'!$L:$L=""OLT SERVICE DEGRADATION""), 1), """")
"),"")</f>
        <v/>
      </c>
      <c r="N159" s="6" t="b">
        <v>0</v>
      </c>
      <c r="O159" s="6" t="b">
        <v>0</v>
      </c>
      <c r="P159" s="6" t="b">
        <v>0</v>
      </c>
      <c r="Q159" s="6" t="b">
        <v>0</v>
      </c>
      <c r="R159" s="6"/>
      <c r="S159" s="6"/>
      <c r="T159" s="6"/>
      <c r="U159" s="6"/>
    </row>
    <row r="160">
      <c r="A160" s="19"/>
      <c r="B160" s="26" t="s">
        <v>317</v>
      </c>
      <c r="C160" s="26" t="s">
        <v>350</v>
      </c>
      <c r="D160" s="27" t="s">
        <v>351</v>
      </c>
      <c r="E160" s="6" t="b">
        <f t="shared" si="1"/>
        <v>1</v>
      </c>
      <c r="F160" s="6" t="b">
        <f>COUNTIFS('OLT DOWN Tickets'!$AB:$AB, "*" &amp; D160 &amp; "*", 'OLT DOWN Tickets'!$L:$L, "OLT DOWN") &gt; 0</f>
        <v>0</v>
      </c>
      <c r="G160" s="6" t="b">
        <f>COUNTIFS('OLT DOWN Tickets'!$AB:$AB, "*" &amp; D160 &amp; "*", 'OLT DOWN Tickets'!$L:$L, "OLT UPLINK LOW POWER") &gt; 0</f>
        <v>0</v>
      </c>
      <c r="H160" s="6" t="b">
        <f>COUNTIFS('OLT DOWN Tickets'!$AB:$AB, "*" &amp; D160 &amp; "*", 'OLT DOWN Tickets'!$L:$L, "OLT UPLINK DOWN") &gt; 0</f>
        <v>0</v>
      </c>
      <c r="I160" s="6" t="b">
        <f>COUNTIFS('OLT DOWN Tickets'!$AB:$AB, "*" &amp; D160 &amp; "*", 'OLT DOWN Tickets'!$L:$L, "OLT SERVICE DEGRADATION") &gt; 0</f>
        <v>0</v>
      </c>
      <c r="J160" s="32" t="str">
        <f>IFERROR(__xludf.DUMMYFUNCTION("IFERROR(INDEX(FILTER('OLT DOWN Tickets'!$F:$F, REGEXMATCH('OLT DOWN Tickets'!$AB:$AB, ""(?i)""&amp;TRIM(D160)), 'OLT DOWN Tickets'!$L:$L=""OLT DOWN""), 1), """")"),"")</f>
        <v/>
      </c>
      <c r="K160" s="32" t="str">
        <f>IFERROR(__xludf.DUMMYFUNCTION("IFERROR(INDEX(FILTER('OLT DOWN Tickets'!$F:$F, REGEXMATCH('OLT DOWN Tickets'!$AB:$AB, ""(?i)""&amp;TRIM(D160)), 'OLT DOWN Tickets'!$L:$L=""OLT UPLINK LOW POWER""), 1), """")"),"")</f>
        <v/>
      </c>
      <c r="L160" s="32" t="str">
        <f>IFERROR(__xludf.DUMMYFUNCTION("IFERROR(INDEX(FILTER('OLT DOWN Tickets'!$F:$F, REGEXMATCH('OLT DOWN Tickets'!$AB:$AB, ""(?i)""&amp;TRIM(D160)), 'OLT DOWN Tickets'!$L:$L=""OLT UPLINK DOWN""), 1), """")"),"")</f>
        <v/>
      </c>
      <c r="M160" s="32" t="str">
        <f>IFERROR(__xludf.DUMMYFUNCTION("IFERROR(INDEX(FILTER('OLT DOWN Tickets'!$F:$F, REGEXMATCH('OLT DOWN Tickets'!$AB:$AB, ""(?i)""&amp;TRIM(D160)), 'OLT DOWN Tickets'!$L:$L=""OLT SERVICE DEGRADATION""), 1), """")
"),"")</f>
        <v/>
      </c>
      <c r="N160" s="6" t="b">
        <v>0</v>
      </c>
      <c r="O160" s="6" t="b">
        <v>0</v>
      </c>
      <c r="P160" s="6" t="b">
        <v>0</v>
      </c>
      <c r="Q160" s="6" t="b">
        <v>0</v>
      </c>
      <c r="R160" s="6"/>
      <c r="S160" s="6"/>
      <c r="T160" s="6"/>
      <c r="U160" s="6"/>
    </row>
    <row r="161">
      <c r="A161" s="19"/>
      <c r="B161" s="26" t="s">
        <v>317</v>
      </c>
      <c r="C161" s="26" t="s">
        <v>350</v>
      </c>
      <c r="D161" s="27" t="s">
        <v>352</v>
      </c>
      <c r="E161" s="6" t="b">
        <f t="shared" si="1"/>
        <v>1</v>
      </c>
      <c r="F161" s="6" t="b">
        <f>COUNTIFS('OLT DOWN Tickets'!$AB:$AB, "*" &amp; D161 &amp; "*", 'OLT DOWN Tickets'!$L:$L, "OLT DOWN") &gt; 0</f>
        <v>0</v>
      </c>
      <c r="G161" s="6" t="b">
        <f>COUNTIFS('OLT DOWN Tickets'!$AB:$AB, "*" &amp; D161 &amp; "*", 'OLT DOWN Tickets'!$L:$L, "OLT UPLINK LOW POWER") &gt; 0</f>
        <v>0</v>
      </c>
      <c r="H161" s="6" t="b">
        <f>COUNTIFS('OLT DOWN Tickets'!$AB:$AB, "*" &amp; D161 &amp; "*", 'OLT DOWN Tickets'!$L:$L, "OLT UPLINK DOWN") &gt; 0</f>
        <v>0</v>
      </c>
      <c r="I161" s="6" t="b">
        <f>COUNTIFS('OLT DOWN Tickets'!$AB:$AB, "*" &amp; D161 &amp; "*", 'OLT DOWN Tickets'!$L:$L, "OLT SERVICE DEGRADATION") &gt; 0</f>
        <v>0</v>
      </c>
      <c r="J161" s="32" t="str">
        <f>IFERROR(__xludf.DUMMYFUNCTION("IFERROR(INDEX(FILTER('OLT DOWN Tickets'!$F:$F, REGEXMATCH('OLT DOWN Tickets'!$AB:$AB, ""(?i)""&amp;TRIM(D161)), 'OLT DOWN Tickets'!$L:$L=""OLT DOWN""), 1), """")"),"")</f>
        <v/>
      </c>
      <c r="K161" s="32" t="str">
        <f>IFERROR(__xludf.DUMMYFUNCTION("IFERROR(INDEX(FILTER('OLT DOWN Tickets'!$F:$F, REGEXMATCH('OLT DOWN Tickets'!$AB:$AB, ""(?i)""&amp;TRIM(D161)), 'OLT DOWN Tickets'!$L:$L=""OLT UPLINK LOW POWER""), 1), """")"),"")</f>
        <v/>
      </c>
      <c r="L161" s="32" t="str">
        <f>IFERROR(__xludf.DUMMYFUNCTION("IFERROR(INDEX(FILTER('OLT DOWN Tickets'!$F:$F, REGEXMATCH('OLT DOWN Tickets'!$AB:$AB, ""(?i)""&amp;TRIM(D161)), 'OLT DOWN Tickets'!$L:$L=""OLT UPLINK DOWN""), 1), """")"),"")</f>
        <v/>
      </c>
      <c r="M161" s="32" t="str">
        <f>IFERROR(__xludf.DUMMYFUNCTION("IFERROR(INDEX(FILTER('OLT DOWN Tickets'!$F:$F, REGEXMATCH('OLT DOWN Tickets'!$AB:$AB, ""(?i)""&amp;TRIM(D161)), 'OLT DOWN Tickets'!$L:$L=""OLT SERVICE DEGRADATION""), 1), """")
"),"")</f>
        <v/>
      </c>
      <c r="N161" s="6" t="b">
        <v>0</v>
      </c>
      <c r="O161" s="6" t="b">
        <v>0</v>
      </c>
      <c r="P161" s="6" t="b">
        <v>0</v>
      </c>
      <c r="Q161" s="6" t="b">
        <v>0</v>
      </c>
      <c r="R161" s="6"/>
      <c r="S161" s="6"/>
      <c r="T161" s="6"/>
      <c r="U161" s="6"/>
    </row>
    <row r="162">
      <c r="A162" s="19"/>
      <c r="B162" s="26" t="s">
        <v>317</v>
      </c>
      <c r="C162" s="26" t="s">
        <v>353</v>
      </c>
      <c r="D162" s="27" t="s">
        <v>354</v>
      </c>
      <c r="E162" s="6" t="b">
        <f t="shared" si="1"/>
        <v>1</v>
      </c>
      <c r="F162" s="6" t="b">
        <f>COUNTIFS('OLT DOWN Tickets'!$AB:$AB, "*" &amp; D162 &amp; "*", 'OLT DOWN Tickets'!$L:$L, "OLT DOWN") &gt; 0</f>
        <v>0</v>
      </c>
      <c r="G162" s="6" t="b">
        <f>COUNTIFS('OLT DOWN Tickets'!$AB:$AB, "*" &amp; D162 &amp; "*", 'OLT DOWN Tickets'!$L:$L, "OLT UPLINK LOW POWER") &gt; 0</f>
        <v>0</v>
      </c>
      <c r="H162" s="6" t="b">
        <f>COUNTIFS('OLT DOWN Tickets'!$AB:$AB, "*" &amp; D162 &amp; "*", 'OLT DOWN Tickets'!$L:$L, "OLT UPLINK DOWN") &gt; 0</f>
        <v>0</v>
      </c>
      <c r="I162" s="6" t="b">
        <f>COUNTIFS('OLT DOWN Tickets'!$AB:$AB, "*" &amp; D162 &amp; "*", 'OLT DOWN Tickets'!$L:$L, "OLT SERVICE DEGRADATION") &gt; 0</f>
        <v>0</v>
      </c>
      <c r="J162" s="32" t="str">
        <f>IFERROR(__xludf.DUMMYFUNCTION("IFERROR(INDEX(FILTER('OLT DOWN Tickets'!$F:$F, REGEXMATCH('OLT DOWN Tickets'!$AB:$AB, ""(?i)""&amp;TRIM(D162)), 'OLT DOWN Tickets'!$L:$L=""OLT DOWN""), 1), """")"),"")</f>
        <v/>
      </c>
      <c r="K162" s="32" t="str">
        <f>IFERROR(__xludf.DUMMYFUNCTION("IFERROR(INDEX(FILTER('OLT DOWN Tickets'!$F:$F, REGEXMATCH('OLT DOWN Tickets'!$AB:$AB, ""(?i)""&amp;TRIM(D162)), 'OLT DOWN Tickets'!$L:$L=""OLT UPLINK LOW POWER""), 1), """")"),"")</f>
        <v/>
      </c>
      <c r="L162" s="32" t="str">
        <f>IFERROR(__xludf.DUMMYFUNCTION("IFERROR(INDEX(FILTER('OLT DOWN Tickets'!$F:$F, REGEXMATCH('OLT DOWN Tickets'!$AB:$AB, ""(?i)""&amp;TRIM(D162)), 'OLT DOWN Tickets'!$L:$L=""OLT UPLINK DOWN""), 1), """")"),"")</f>
        <v/>
      </c>
      <c r="M162" s="32" t="str">
        <f>IFERROR(__xludf.DUMMYFUNCTION("IFERROR(INDEX(FILTER('OLT DOWN Tickets'!$F:$F, REGEXMATCH('OLT DOWN Tickets'!$AB:$AB, ""(?i)""&amp;TRIM(D162)), 'OLT DOWN Tickets'!$L:$L=""OLT SERVICE DEGRADATION""), 1), """")
"),"")</f>
        <v/>
      </c>
      <c r="N162" s="6" t="b">
        <v>0</v>
      </c>
      <c r="O162" s="6" t="b">
        <v>0</v>
      </c>
      <c r="P162" s="6" t="b">
        <v>0</v>
      </c>
      <c r="Q162" s="6" t="b">
        <v>0</v>
      </c>
      <c r="R162" s="6"/>
      <c r="S162" s="6"/>
      <c r="T162" s="6"/>
      <c r="U162" s="6"/>
    </row>
    <row r="163">
      <c r="A163" s="19"/>
      <c r="B163" s="26" t="s">
        <v>317</v>
      </c>
      <c r="C163" s="26" t="s">
        <v>355</v>
      </c>
      <c r="D163" s="27" t="s">
        <v>356</v>
      </c>
      <c r="E163" s="6" t="b">
        <f t="shared" si="1"/>
        <v>1</v>
      </c>
      <c r="F163" s="6" t="b">
        <f>COUNTIFS('OLT DOWN Tickets'!$AB:$AB, "*" &amp; D163 &amp; "*", 'OLT DOWN Tickets'!$L:$L, "OLT DOWN") &gt; 0</f>
        <v>0</v>
      </c>
      <c r="G163" s="6" t="b">
        <f>COUNTIFS('OLT DOWN Tickets'!$AB:$AB, "*" &amp; D163 &amp; "*", 'OLT DOWN Tickets'!$L:$L, "OLT UPLINK LOW POWER") &gt; 0</f>
        <v>0</v>
      </c>
      <c r="H163" s="6" t="b">
        <f>COUNTIFS('OLT DOWN Tickets'!$AB:$AB, "*" &amp; D163 &amp; "*", 'OLT DOWN Tickets'!$L:$L, "OLT UPLINK DOWN") &gt; 0</f>
        <v>0</v>
      </c>
      <c r="I163" s="6" t="b">
        <f>COUNTIFS('OLT DOWN Tickets'!$AB:$AB, "*" &amp; D163 &amp; "*", 'OLT DOWN Tickets'!$L:$L, "OLT SERVICE DEGRADATION") &gt; 0</f>
        <v>0</v>
      </c>
      <c r="J163" s="32" t="str">
        <f>IFERROR(__xludf.DUMMYFUNCTION("IFERROR(INDEX(FILTER('OLT DOWN Tickets'!$F:$F, REGEXMATCH('OLT DOWN Tickets'!$AB:$AB, ""(?i)""&amp;TRIM(D163)), 'OLT DOWN Tickets'!$L:$L=""OLT DOWN""), 1), """")"),"")</f>
        <v/>
      </c>
      <c r="K163" s="32" t="str">
        <f>IFERROR(__xludf.DUMMYFUNCTION("IFERROR(INDEX(FILTER('OLT DOWN Tickets'!$F:$F, REGEXMATCH('OLT DOWN Tickets'!$AB:$AB, ""(?i)""&amp;TRIM(D163)), 'OLT DOWN Tickets'!$L:$L=""OLT UPLINK LOW POWER""), 1), """")"),"")</f>
        <v/>
      </c>
      <c r="L163" s="32" t="str">
        <f>IFERROR(__xludf.DUMMYFUNCTION("IFERROR(INDEX(FILTER('OLT DOWN Tickets'!$F:$F, REGEXMATCH('OLT DOWN Tickets'!$AB:$AB, ""(?i)""&amp;TRIM(D163)), 'OLT DOWN Tickets'!$L:$L=""OLT UPLINK DOWN""), 1), """")"),"")</f>
        <v/>
      </c>
      <c r="M163" s="32" t="str">
        <f>IFERROR(__xludf.DUMMYFUNCTION("IFERROR(INDEX(FILTER('OLT DOWN Tickets'!$F:$F, REGEXMATCH('OLT DOWN Tickets'!$AB:$AB, ""(?i)""&amp;TRIM(D163)), 'OLT DOWN Tickets'!$L:$L=""OLT SERVICE DEGRADATION""), 1), """")
"),"")</f>
        <v/>
      </c>
      <c r="N163" s="6" t="b">
        <v>0</v>
      </c>
      <c r="O163" s="6" t="b">
        <v>0</v>
      </c>
      <c r="P163" s="6" t="b">
        <v>0</v>
      </c>
      <c r="Q163" s="6" t="b">
        <v>0</v>
      </c>
      <c r="R163" s="6"/>
      <c r="S163" s="6"/>
      <c r="T163" s="6"/>
      <c r="U163" s="6"/>
    </row>
    <row r="164">
      <c r="A164" s="19"/>
      <c r="B164" s="26" t="s">
        <v>317</v>
      </c>
      <c r="C164" s="26" t="s">
        <v>357</v>
      </c>
      <c r="D164" s="27" t="s">
        <v>358</v>
      </c>
      <c r="E164" s="6" t="b">
        <f t="shared" si="1"/>
        <v>1</v>
      </c>
      <c r="F164" s="6" t="b">
        <f>COUNTIFS('OLT DOWN Tickets'!$AB:$AB, "*" &amp; D164 &amp; "*", 'OLT DOWN Tickets'!$L:$L, "OLT DOWN") &gt; 0</f>
        <v>0</v>
      </c>
      <c r="G164" s="6" t="b">
        <f>COUNTIFS('OLT DOWN Tickets'!$AB:$AB, "*" &amp; D164 &amp; "*", 'OLT DOWN Tickets'!$L:$L, "OLT UPLINK LOW POWER") &gt; 0</f>
        <v>0</v>
      </c>
      <c r="H164" s="6" t="b">
        <f>COUNTIFS('OLT DOWN Tickets'!$AB:$AB, "*" &amp; D164 &amp; "*", 'OLT DOWN Tickets'!$L:$L, "OLT UPLINK DOWN") &gt; 0</f>
        <v>0</v>
      </c>
      <c r="I164" s="6" t="b">
        <f>COUNTIFS('OLT DOWN Tickets'!$AB:$AB, "*" &amp; D164 &amp; "*", 'OLT DOWN Tickets'!$L:$L, "OLT SERVICE DEGRADATION") &gt; 0</f>
        <v>0</v>
      </c>
      <c r="J164" s="32" t="str">
        <f>IFERROR(__xludf.DUMMYFUNCTION("IFERROR(INDEX(FILTER('OLT DOWN Tickets'!$F:$F, REGEXMATCH('OLT DOWN Tickets'!$AB:$AB, ""(?i)""&amp;TRIM(D164)), 'OLT DOWN Tickets'!$L:$L=""OLT DOWN""), 1), """")"),"")</f>
        <v/>
      </c>
      <c r="K164" s="32" t="str">
        <f>IFERROR(__xludf.DUMMYFUNCTION("IFERROR(INDEX(FILTER('OLT DOWN Tickets'!$F:$F, REGEXMATCH('OLT DOWN Tickets'!$AB:$AB, ""(?i)""&amp;TRIM(D164)), 'OLT DOWN Tickets'!$L:$L=""OLT UPLINK LOW POWER""), 1), """")"),"")</f>
        <v/>
      </c>
      <c r="L164" s="32" t="str">
        <f>IFERROR(__xludf.DUMMYFUNCTION("IFERROR(INDEX(FILTER('OLT DOWN Tickets'!$F:$F, REGEXMATCH('OLT DOWN Tickets'!$AB:$AB, ""(?i)""&amp;TRIM(D164)), 'OLT DOWN Tickets'!$L:$L=""OLT UPLINK DOWN""), 1), """")"),"")</f>
        <v/>
      </c>
      <c r="M164" s="32" t="str">
        <f>IFERROR(__xludf.DUMMYFUNCTION("IFERROR(INDEX(FILTER('OLT DOWN Tickets'!$F:$F, REGEXMATCH('OLT DOWN Tickets'!$AB:$AB, ""(?i)""&amp;TRIM(D164)), 'OLT DOWN Tickets'!$L:$L=""OLT SERVICE DEGRADATION""), 1), """")
"),"")</f>
        <v/>
      </c>
      <c r="N164" s="6" t="b">
        <v>0</v>
      </c>
      <c r="O164" s="6" t="b">
        <v>0</v>
      </c>
      <c r="P164" s="6" t="b">
        <v>0</v>
      </c>
      <c r="Q164" s="6" t="b">
        <v>0</v>
      </c>
      <c r="R164" s="6"/>
      <c r="S164" s="6"/>
      <c r="T164" s="6"/>
      <c r="U164" s="6"/>
    </row>
    <row r="165">
      <c r="A165" s="19"/>
      <c r="B165" s="26" t="s">
        <v>317</v>
      </c>
      <c r="C165" s="26" t="s">
        <v>359</v>
      </c>
      <c r="D165" s="27" t="s">
        <v>360</v>
      </c>
      <c r="E165" s="6" t="b">
        <f t="shared" si="1"/>
        <v>1</v>
      </c>
      <c r="F165" s="6" t="b">
        <f>COUNTIFS('OLT DOWN Tickets'!$AB:$AB, "*" &amp; D165 &amp; "*", 'OLT DOWN Tickets'!$L:$L, "OLT DOWN") &gt; 0</f>
        <v>0</v>
      </c>
      <c r="G165" s="6" t="b">
        <f>COUNTIFS('OLT DOWN Tickets'!$AB:$AB, "*" &amp; D165 &amp; "*", 'OLT DOWN Tickets'!$L:$L, "OLT UPLINK LOW POWER") &gt; 0</f>
        <v>0</v>
      </c>
      <c r="H165" s="6" t="b">
        <f>COUNTIFS('OLT DOWN Tickets'!$AB:$AB, "*" &amp; D165 &amp; "*", 'OLT DOWN Tickets'!$L:$L, "OLT UPLINK DOWN") &gt; 0</f>
        <v>0</v>
      </c>
      <c r="I165" s="6" t="b">
        <f>COUNTIFS('OLT DOWN Tickets'!$AB:$AB, "*" &amp; D165 &amp; "*", 'OLT DOWN Tickets'!$L:$L, "OLT SERVICE DEGRADATION") &gt; 0</f>
        <v>0</v>
      </c>
      <c r="J165" s="32" t="str">
        <f>IFERROR(__xludf.DUMMYFUNCTION("IFERROR(INDEX(FILTER('OLT DOWN Tickets'!$F:$F, REGEXMATCH('OLT DOWN Tickets'!$AB:$AB, ""(?i)""&amp;TRIM(D165)), 'OLT DOWN Tickets'!$L:$L=""OLT DOWN""), 1), """")"),"")</f>
        <v/>
      </c>
      <c r="K165" s="32" t="str">
        <f>IFERROR(__xludf.DUMMYFUNCTION("IFERROR(INDEX(FILTER('OLT DOWN Tickets'!$F:$F, REGEXMATCH('OLT DOWN Tickets'!$AB:$AB, ""(?i)""&amp;TRIM(D165)), 'OLT DOWN Tickets'!$L:$L=""OLT UPLINK LOW POWER""), 1), """")"),"")</f>
        <v/>
      </c>
      <c r="L165" s="32" t="str">
        <f>IFERROR(__xludf.DUMMYFUNCTION("IFERROR(INDEX(FILTER('OLT DOWN Tickets'!$F:$F, REGEXMATCH('OLT DOWN Tickets'!$AB:$AB, ""(?i)""&amp;TRIM(D165)), 'OLT DOWN Tickets'!$L:$L=""OLT UPLINK DOWN""), 1), """")"),"")</f>
        <v/>
      </c>
      <c r="M165" s="32" t="str">
        <f>IFERROR(__xludf.DUMMYFUNCTION("IFERROR(INDEX(FILTER('OLT DOWN Tickets'!$F:$F, REGEXMATCH('OLT DOWN Tickets'!$AB:$AB, ""(?i)""&amp;TRIM(D165)), 'OLT DOWN Tickets'!$L:$L=""OLT SERVICE DEGRADATION""), 1), """")
"),"")</f>
        <v/>
      </c>
      <c r="N165" s="6" t="b">
        <v>0</v>
      </c>
      <c r="O165" s="6" t="b">
        <v>0</v>
      </c>
      <c r="P165" s="6" t="b">
        <v>0</v>
      </c>
      <c r="Q165" s="6" t="b">
        <v>0</v>
      </c>
      <c r="R165" s="6"/>
      <c r="S165" s="6"/>
      <c r="T165" s="6"/>
      <c r="U165" s="6"/>
    </row>
    <row r="166">
      <c r="A166" s="19"/>
      <c r="B166" s="26" t="s">
        <v>317</v>
      </c>
      <c r="C166" s="26" t="s">
        <v>359</v>
      </c>
      <c r="D166" s="27" t="s">
        <v>361</v>
      </c>
      <c r="E166" s="6" t="b">
        <f t="shared" si="1"/>
        <v>1</v>
      </c>
      <c r="F166" s="6" t="b">
        <f>COUNTIFS('OLT DOWN Tickets'!$AB:$AB, "*" &amp; D166 &amp; "*", 'OLT DOWN Tickets'!$L:$L, "OLT DOWN") &gt; 0</f>
        <v>0</v>
      </c>
      <c r="G166" s="6" t="b">
        <f>COUNTIFS('OLT DOWN Tickets'!$AB:$AB, "*" &amp; D166 &amp; "*", 'OLT DOWN Tickets'!$L:$L, "OLT UPLINK LOW POWER") &gt; 0</f>
        <v>0</v>
      </c>
      <c r="H166" s="6" t="b">
        <f>COUNTIFS('OLT DOWN Tickets'!$AB:$AB, "*" &amp; D166 &amp; "*", 'OLT DOWN Tickets'!$L:$L, "OLT UPLINK DOWN") &gt; 0</f>
        <v>0</v>
      </c>
      <c r="I166" s="6" t="b">
        <f>COUNTIFS('OLT DOWN Tickets'!$AB:$AB, "*" &amp; D166 &amp; "*", 'OLT DOWN Tickets'!$L:$L, "OLT SERVICE DEGRADATION") &gt; 0</f>
        <v>0</v>
      </c>
      <c r="J166" s="32" t="str">
        <f>IFERROR(__xludf.DUMMYFUNCTION("IFERROR(INDEX(FILTER('OLT DOWN Tickets'!$F:$F, REGEXMATCH('OLT DOWN Tickets'!$AB:$AB, ""(?i)""&amp;TRIM(D166)), 'OLT DOWN Tickets'!$L:$L=""OLT DOWN""), 1), """")"),"")</f>
        <v/>
      </c>
      <c r="K166" s="32" t="str">
        <f>IFERROR(__xludf.DUMMYFUNCTION("IFERROR(INDEX(FILTER('OLT DOWN Tickets'!$F:$F, REGEXMATCH('OLT DOWN Tickets'!$AB:$AB, ""(?i)""&amp;TRIM(D166)), 'OLT DOWN Tickets'!$L:$L=""OLT UPLINK LOW POWER""), 1), """")"),"")</f>
        <v/>
      </c>
      <c r="L166" s="32" t="str">
        <f>IFERROR(__xludf.DUMMYFUNCTION("IFERROR(INDEX(FILTER('OLT DOWN Tickets'!$F:$F, REGEXMATCH('OLT DOWN Tickets'!$AB:$AB, ""(?i)""&amp;TRIM(D166)), 'OLT DOWN Tickets'!$L:$L=""OLT UPLINK DOWN""), 1), """")"),"")</f>
        <v/>
      </c>
      <c r="M166" s="32" t="str">
        <f>IFERROR(__xludf.DUMMYFUNCTION("IFERROR(INDEX(FILTER('OLT DOWN Tickets'!$F:$F, REGEXMATCH('OLT DOWN Tickets'!$AB:$AB, ""(?i)""&amp;TRIM(D166)), 'OLT DOWN Tickets'!$L:$L=""OLT SERVICE DEGRADATION""), 1), """")
"),"")</f>
        <v/>
      </c>
      <c r="N166" s="6" t="b">
        <v>0</v>
      </c>
      <c r="O166" s="6" t="b">
        <v>0</v>
      </c>
      <c r="P166" s="6" t="b">
        <v>0</v>
      </c>
      <c r="Q166" s="6" t="b">
        <v>0</v>
      </c>
      <c r="R166" s="6"/>
      <c r="S166" s="6"/>
      <c r="T166" s="6"/>
      <c r="U166" s="6"/>
    </row>
    <row r="167">
      <c r="A167" s="19"/>
      <c r="B167" s="26" t="s">
        <v>317</v>
      </c>
      <c r="C167" s="26" t="s">
        <v>359</v>
      </c>
      <c r="D167" s="27" t="s">
        <v>362</v>
      </c>
      <c r="E167" s="6" t="b">
        <f t="shared" si="1"/>
        <v>1</v>
      </c>
      <c r="F167" s="6" t="b">
        <f>COUNTIFS('OLT DOWN Tickets'!$AB:$AB, "*" &amp; D167 &amp; "*", 'OLT DOWN Tickets'!$L:$L, "OLT DOWN") &gt; 0</f>
        <v>0</v>
      </c>
      <c r="G167" s="6" t="b">
        <f>COUNTIFS('OLT DOWN Tickets'!$AB:$AB, "*" &amp; D167 &amp; "*", 'OLT DOWN Tickets'!$L:$L, "OLT UPLINK LOW POWER") &gt; 0</f>
        <v>0</v>
      </c>
      <c r="H167" s="6" t="b">
        <f>COUNTIFS('OLT DOWN Tickets'!$AB:$AB, "*" &amp; D167 &amp; "*", 'OLT DOWN Tickets'!$L:$L, "OLT UPLINK DOWN") &gt; 0</f>
        <v>0</v>
      </c>
      <c r="I167" s="6" t="b">
        <f>COUNTIFS('OLT DOWN Tickets'!$AB:$AB, "*" &amp; D167 &amp; "*", 'OLT DOWN Tickets'!$L:$L, "OLT SERVICE DEGRADATION") &gt; 0</f>
        <v>0</v>
      </c>
      <c r="J167" s="32" t="str">
        <f>IFERROR(__xludf.DUMMYFUNCTION("IFERROR(INDEX(FILTER('OLT DOWN Tickets'!$F:$F, REGEXMATCH('OLT DOWN Tickets'!$AB:$AB, ""(?i)""&amp;TRIM(D167)), 'OLT DOWN Tickets'!$L:$L=""OLT DOWN""), 1), """")"),"")</f>
        <v/>
      </c>
      <c r="K167" s="32" t="str">
        <f>IFERROR(__xludf.DUMMYFUNCTION("IFERROR(INDEX(FILTER('OLT DOWN Tickets'!$F:$F, REGEXMATCH('OLT DOWN Tickets'!$AB:$AB, ""(?i)""&amp;TRIM(D167)), 'OLT DOWN Tickets'!$L:$L=""OLT UPLINK LOW POWER""), 1), """")"),"")</f>
        <v/>
      </c>
      <c r="L167" s="32" t="str">
        <f>IFERROR(__xludf.DUMMYFUNCTION("IFERROR(INDEX(FILTER('OLT DOWN Tickets'!$F:$F, REGEXMATCH('OLT DOWN Tickets'!$AB:$AB, ""(?i)""&amp;TRIM(D167)), 'OLT DOWN Tickets'!$L:$L=""OLT UPLINK DOWN""), 1), """")"),"")</f>
        <v/>
      </c>
      <c r="M167" s="32" t="str">
        <f>IFERROR(__xludf.DUMMYFUNCTION("IFERROR(INDEX(FILTER('OLT DOWN Tickets'!$F:$F, REGEXMATCH('OLT DOWN Tickets'!$AB:$AB, ""(?i)""&amp;TRIM(D167)), 'OLT DOWN Tickets'!$L:$L=""OLT SERVICE DEGRADATION""), 1), """")
"),"")</f>
        <v/>
      </c>
      <c r="N167" s="6" t="b">
        <v>0</v>
      </c>
      <c r="O167" s="6" t="b">
        <v>0</v>
      </c>
      <c r="P167" s="6" t="b">
        <v>0</v>
      </c>
      <c r="Q167" s="6" t="b">
        <v>0</v>
      </c>
      <c r="R167" s="6"/>
      <c r="S167" s="6"/>
      <c r="T167" s="6"/>
      <c r="U167" s="6"/>
    </row>
    <row r="168">
      <c r="A168" s="19"/>
      <c r="B168" s="26" t="s">
        <v>152</v>
      </c>
      <c r="C168" s="26" t="s">
        <v>363</v>
      </c>
      <c r="D168" s="27" t="s">
        <v>364</v>
      </c>
      <c r="E168" s="6" t="b">
        <f t="shared" si="1"/>
        <v>1</v>
      </c>
      <c r="F168" s="6" t="b">
        <f>COUNTIFS('OLT DOWN Tickets'!$AB:$AB, "*" &amp; D168 &amp; "*", 'OLT DOWN Tickets'!$L:$L, "OLT DOWN") &gt; 0</f>
        <v>0</v>
      </c>
      <c r="G168" s="6" t="b">
        <f>COUNTIFS('OLT DOWN Tickets'!$AB:$AB, "*" &amp; D168 &amp; "*", 'OLT DOWN Tickets'!$L:$L, "OLT UPLINK LOW POWER") &gt; 0</f>
        <v>0</v>
      </c>
      <c r="H168" s="6" t="b">
        <f>COUNTIFS('OLT DOWN Tickets'!$AB:$AB, "*" &amp; D168 &amp; "*", 'OLT DOWN Tickets'!$L:$L, "OLT UPLINK DOWN") &gt; 0</f>
        <v>0</v>
      </c>
      <c r="I168" s="6" t="b">
        <f>COUNTIFS('OLT DOWN Tickets'!$AB:$AB, "*" &amp; D168 &amp; "*", 'OLT DOWN Tickets'!$L:$L, "OLT SERVICE DEGRADATION") &gt; 0</f>
        <v>0</v>
      </c>
      <c r="J168" s="32" t="str">
        <f>IFERROR(__xludf.DUMMYFUNCTION("IFERROR(INDEX(FILTER('OLT DOWN Tickets'!$F:$F, REGEXMATCH('OLT DOWN Tickets'!$AB:$AB, ""(?i)""&amp;TRIM(D168)), 'OLT DOWN Tickets'!$L:$L=""OLT DOWN""), 1), """")"),"")</f>
        <v/>
      </c>
      <c r="K168" s="32" t="str">
        <f>IFERROR(__xludf.DUMMYFUNCTION("IFERROR(INDEX(FILTER('OLT DOWN Tickets'!$F:$F, REGEXMATCH('OLT DOWN Tickets'!$AB:$AB, ""(?i)""&amp;TRIM(D168)), 'OLT DOWN Tickets'!$L:$L=""OLT UPLINK LOW POWER""), 1), """")"),"")</f>
        <v/>
      </c>
      <c r="L168" s="32" t="str">
        <f>IFERROR(__xludf.DUMMYFUNCTION("IFERROR(INDEX(FILTER('OLT DOWN Tickets'!$F:$F, REGEXMATCH('OLT DOWN Tickets'!$AB:$AB, ""(?i)""&amp;TRIM(D168)), 'OLT DOWN Tickets'!$L:$L=""OLT UPLINK DOWN""), 1), """")"),"")</f>
        <v/>
      </c>
      <c r="M168" s="32" t="str">
        <f>IFERROR(__xludf.DUMMYFUNCTION("IFERROR(INDEX(FILTER('OLT DOWN Tickets'!$F:$F, REGEXMATCH('OLT DOWN Tickets'!$AB:$AB, ""(?i)""&amp;TRIM(D168)), 'OLT DOWN Tickets'!$L:$L=""OLT SERVICE DEGRADATION""), 1), """")
"),"")</f>
        <v/>
      </c>
      <c r="N168" s="6" t="b">
        <v>0</v>
      </c>
      <c r="O168" s="6" t="b">
        <v>0</v>
      </c>
      <c r="P168" s="6" t="b">
        <v>0</v>
      </c>
      <c r="Q168" s="6" t="b">
        <v>0</v>
      </c>
      <c r="R168" s="6"/>
      <c r="S168" s="6"/>
      <c r="T168" s="6"/>
      <c r="U168" s="6"/>
    </row>
    <row r="169">
      <c r="A169" s="19"/>
      <c r="B169" s="26" t="s">
        <v>152</v>
      </c>
      <c r="C169" s="26" t="s">
        <v>363</v>
      </c>
      <c r="D169" s="27" t="s">
        <v>365</v>
      </c>
      <c r="E169" s="6" t="b">
        <f t="shared" si="1"/>
        <v>1</v>
      </c>
      <c r="F169" s="6" t="b">
        <f>COUNTIFS('OLT DOWN Tickets'!$AB:$AB, "*" &amp; D169 &amp; "*", 'OLT DOWN Tickets'!$L:$L, "OLT DOWN") &gt; 0</f>
        <v>0</v>
      </c>
      <c r="G169" s="6" t="b">
        <f>COUNTIFS('OLT DOWN Tickets'!$AB:$AB, "*" &amp; D169 &amp; "*", 'OLT DOWN Tickets'!$L:$L, "OLT UPLINK LOW POWER") &gt; 0</f>
        <v>0</v>
      </c>
      <c r="H169" s="6" t="b">
        <f>COUNTIFS('OLT DOWN Tickets'!$AB:$AB, "*" &amp; D169 &amp; "*", 'OLT DOWN Tickets'!$L:$L, "OLT UPLINK DOWN") &gt; 0</f>
        <v>0</v>
      </c>
      <c r="I169" s="6" t="b">
        <f>COUNTIFS('OLT DOWN Tickets'!$AB:$AB, "*" &amp; D169 &amp; "*", 'OLT DOWN Tickets'!$L:$L, "OLT SERVICE DEGRADATION") &gt; 0</f>
        <v>0</v>
      </c>
      <c r="J169" s="32" t="str">
        <f>IFERROR(__xludf.DUMMYFUNCTION("IFERROR(INDEX(FILTER('OLT DOWN Tickets'!$F:$F, REGEXMATCH('OLT DOWN Tickets'!$AB:$AB, ""(?i)""&amp;TRIM(D169)), 'OLT DOWN Tickets'!$L:$L=""OLT DOWN""), 1), """")"),"")</f>
        <v/>
      </c>
      <c r="K169" s="32" t="str">
        <f>IFERROR(__xludf.DUMMYFUNCTION("IFERROR(INDEX(FILTER('OLT DOWN Tickets'!$F:$F, REGEXMATCH('OLT DOWN Tickets'!$AB:$AB, ""(?i)""&amp;TRIM(D169)), 'OLT DOWN Tickets'!$L:$L=""OLT UPLINK LOW POWER""), 1), """")"),"")</f>
        <v/>
      </c>
      <c r="L169" s="32" t="str">
        <f>IFERROR(__xludf.DUMMYFUNCTION("IFERROR(INDEX(FILTER('OLT DOWN Tickets'!$F:$F, REGEXMATCH('OLT DOWN Tickets'!$AB:$AB, ""(?i)""&amp;TRIM(D169)), 'OLT DOWN Tickets'!$L:$L=""OLT UPLINK DOWN""), 1), """")"),"")</f>
        <v/>
      </c>
      <c r="M169" s="32" t="str">
        <f>IFERROR(__xludf.DUMMYFUNCTION("IFERROR(INDEX(FILTER('OLT DOWN Tickets'!$F:$F, REGEXMATCH('OLT DOWN Tickets'!$AB:$AB, ""(?i)""&amp;TRIM(D169)), 'OLT DOWN Tickets'!$L:$L=""OLT SERVICE DEGRADATION""), 1), """")
"),"")</f>
        <v/>
      </c>
      <c r="N169" s="6" t="b">
        <v>0</v>
      </c>
      <c r="O169" s="6" t="b">
        <v>0</v>
      </c>
      <c r="P169" s="6" t="b">
        <v>0</v>
      </c>
      <c r="Q169" s="6" t="b">
        <v>0</v>
      </c>
      <c r="R169" s="6"/>
      <c r="S169" s="6"/>
      <c r="T169" s="6"/>
      <c r="U169" s="6"/>
    </row>
    <row r="170">
      <c r="A170" s="19"/>
      <c r="B170" s="26" t="s">
        <v>152</v>
      </c>
      <c r="C170" s="26" t="s">
        <v>363</v>
      </c>
      <c r="D170" s="27" t="s">
        <v>366</v>
      </c>
      <c r="E170" s="6" t="b">
        <f t="shared" si="1"/>
        <v>1</v>
      </c>
      <c r="F170" s="6" t="b">
        <f>COUNTIFS('OLT DOWN Tickets'!$AB:$AB, "*" &amp; D170 &amp; "*", 'OLT DOWN Tickets'!$L:$L, "OLT DOWN") &gt; 0</f>
        <v>0</v>
      </c>
      <c r="G170" s="6" t="b">
        <f>COUNTIFS('OLT DOWN Tickets'!$AB:$AB, "*" &amp; D170 &amp; "*", 'OLT DOWN Tickets'!$L:$L, "OLT UPLINK LOW POWER") &gt; 0</f>
        <v>0</v>
      </c>
      <c r="H170" s="6" t="b">
        <f>COUNTIFS('OLT DOWN Tickets'!$AB:$AB, "*" &amp; D170 &amp; "*", 'OLT DOWN Tickets'!$L:$L, "OLT UPLINK DOWN") &gt; 0</f>
        <v>0</v>
      </c>
      <c r="I170" s="6" t="b">
        <f>COUNTIFS('OLT DOWN Tickets'!$AB:$AB, "*" &amp; D170 &amp; "*", 'OLT DOWN Tickets'!$L:$L, "OLT SERVICE DEGRADATION") &gt; 0</f>
        <v>0</v>
      </c>
      <c r="J170" s="32" t="str">
        <f>IFERROR(__xludf.DUMMYFUNCTION("IFERROR(INDEX(FILTER('OLT DOWN Tickets'!$F:$F, REGEXMATCH('OLT DOWN Tickets'!$AB:$AB, ""(?i)""&amp;TRIM(D170)), 'OLT DOWN Tickets'!$L:$L=""OLT DOWN""), 1), """")"),"")</f>
        <v/>
      </c>
      <c r="K170" s="32" t="str">
        <f>IFERROR(__xludf.DUMMYFUNCTION("IFERROR(INDEX(FILTER('OLT DOWN Tickets'!$F:$F, REGEXMATCH('OLT DOWN Tickets'!$AB:$AB, ""(?i)""&amp;TRIM(D170)), 'OLT DOWN Tickets'!$L:$L=""OLT UPLINK LOW POWER""), 1), """")"),"")</f>
        <v/>
      </c>
      <c r="L170" s="32" t="str">
        <f>IFERROR(__xludf.DUMMYFUNCTION("IFERROR(INDEX(FILTER('OLT DOWN Tickets'!$F:$F, REGEXMATCH('OLT DOWN Tickets'!$AB:$AB, ""(?i)""&amp;TRIM(D170)), 'OLT DOWN Tickets'!$L:$L=""OLT UPLINK DOWN""), 1), """")"),"")</f>
        <v/>
      </c>
      <c r="M170" s="32" t="str">
        <f>IFERROR(__xludf.DUMMYFUNCTION("IFERROR(INDEX(FILTER('OLT DOWN Tickets'!$F:$F, REGEXMATCH('OLT DOWN Tickets'!$AB:$AB, ""(?i)""&amp;TRIM(D170)), 'OLT DOWN Tickets'!$L:$L=""OLT SERVICE DEGRADATION""), 1), """")
"),"")</f>
        <v/>
      </c>
      <c r="N170" s="6" t="b">
        <v>0</v>
      </c>
      <c r="O170" s="6" t="b">
        <v>0</v>
      </c>
      <c r="P170" s="6" t="b">
        <v>0</v>
      </c>
      <c r="Q170" s="6" t="b">
        <v>0</v>
      </c>
      <c r="R170" s="6"/>
      <c r="S170" s="6"/>
      <c r="T170" s="6"/>
      <c r="U170" s="6"/>
    </row>
    <row r="171">
      <c r="A171" s="19"/>
      <c r="B171" s="26" t="s">
        <v>152</v>
      </c>
      <c r="C171" s="26" t="s">
        <v>367</v>
      </c>
      <c r="D171" s="27" t="s">
        <v>368</v>
      </c>
      <c r="E171" s="6" t="b">
        <f t="shared" si="1"/>
        <v>1</v>
      </c>
      <c r="F171" s="6" t="b">
        <f>COUNTIFS('OLT DOWN Tickets'!$AB:$AB, "*" &amp; D171 &amp; "*", 'OLT DOWN Tickets'!$L:$L, "OLT DOWN") &gt; 0</f>
        <v>0</v>
      </c>
      <c r="G171" s="6" t="b">
        <f>COUNTIFS('OLT DOWN Tickets'!$AB:$AB, "*" &amp; D171 &amp; "*", 'OLT DOWN Tickets'!$L:$L, "OLT UPLINK LOW POWER") &gt; 0</f>
        <v>0</v>
      </c>
      <c r="H171" s="6" t="b">
        <f>COUNTIFS('OLT DOWN Tickets'!$AB:$AB, "*" &amp; D171 &amp; "*", 'OLT DOWN Tickets'!$L:$L, "OLT UPLINK DOWN") &gt; 0</f>
        <v>0</v>
      </c>
      <c r="I171" s="6" t="b">
        <f>COUNTIFS('OLT DOWN Tickets'!$AB:$AB, "*" &amp; D171 &amp; "*", 'OLT DOWN Tickets'!$L:$L, "OLT SERVICE DEGRADATION") &gt; 0</f>
        <v>0</v>
      </c>
      <c r="J171" s="32" t="str">
        <f>IFERROR(__xludf.DUMMYFUNCTION("IFERROR(INDEX(FILTER('OLT DOWN Tickets'!$F:$F, REGEXMATCH('OLT DOWN Tickets'!$AB:$AB, ""(?i)""&amp;TRIM(D171)), 'OLT DOWN Tickets'!$L:$L=""OLT DOWN""), 1), """")"),"")</f>
        <v/>
      </c>
      <c r="K171" s="32" t="str">
        <f>IFERROR(__xludf.DUMMYFUNCTION("IFERROR(INDEX(FILTER('OLT DOWN Tickets'!$F:$F, REGEXMATCH('OLT DOWN Tickets'!$AB:$AB, ""(?i)""&amp;TRIM(D171)), 'OLT DOWN Tickets'!$L:$L=""OLT UPLINK LOW POWER""), 1), """")"),"")</f>
        <v/>
      </c>
      <c r="L171" s="32" t="str">
        <f>IFERROR(__xludf.DUMMYFUNCTION("IFERROR(INDEX(FILTER('OLT DOWN Tickets'!$F:$F, REGEXMATCH('OLT DOWN Tickets'!$AB:$AB, ""(?i)""&amp;TRIM(D171)), 'OLT DOWN Tickets'!$L:$L=""OLT UPLINK DOWN""), 1), """")"),"")</f>
        <v/>
      </c>
      <c r="M171" s="32" t="str">
        <f>IFERROR(__xludf.DUMMYFUNCTION("IFERROR(INDEX(FILTER('OLT DOWN Tickets'!$F:$F, REGEXMATCH('OLT DOWN Tickets'!$AB:$AB, ""(?i)""&amp;TRIM(D171)), 'OLT DOWN Tickets'!$L:$L=""OLT SERVICE DEGRADATION""), 1), """")
"),"")</f>
        <v/>
      </c>
      <c r="N171" s="6" t="b">
        <v>0</v>
      </c>
      <c r="O171" s="6" t="b">
        <v>0</v>
      </c>
      <c r="P171" s="6" t="b">
        <v>0</v>
      </c>
      <c r="Q171" s="6" t="b">
        <v>0</v>
      </c>
      <c r="R171" s="6"/>
      <c r="S171" s="6"/>
      <c r="T171" s="6"/>
      <c r="U171" s="6"/>
    </row>
    <row r="172">
      <c r="A172" s="19"/>
      <c r="B172" s="26" t="s">
        <v>152</v>
      </c>
      <c r="C172" s="26" t="s">
        <v>367</v>
      </c>
      <c r="D172" s="27" t="s">
        <v>369</v>
      </c>
      <c r="E172" s="6" t="b">
        <f t="shared" si="1"/>
        <v>1</v>
      </c>
      <c r="F172" s="6" t="b">
        <f>COUNTIFS('OLT DOWN Tickets'!$AB:$AB, "*" &amp; D172 &amp; "*", 'OLT DOWN Tickets'!$L:$L, "OLT DOWN") &gt; 0</f>
        <v>0</v>
      </c>
      <c r="G172" s="6" t="b">
        <f>COUNTIFS('OLT DOWN Tickets'!$AB:$AB, "*" &amp; D172 &amp; "*", 'OLT DOWN Tickets'!$L:$L, "OLT UPLINK LOW POWER") &gt; 0</f>
        <v>0</v>
      </c>
      <c r="H172" s="6" t="b">
        <f>COUNTIFS('OLT DOWN Tickets'!$AB:$AB, "*" &amp; D172 &amp; "*", 'OLT DOWN Tickets'!$L:$L, "OLT UPLINK DOWN") &gt; 0</f>
        <v>0</v>
      </c>
      <c r="I172" s="6" t="b">
        <f>COUNTIFS('OLT DOWN Tickets'!$AB:$AB, "*" &amp; D172 &amp; "*", 'OLT DOWN Tickets'!$L:$L, "OLT SERVICE DEGRADATION") &gt; 0</f>
        <v>0</v>
      </c>
      <c r="J172" s="32" t="str">
        <f>IFERROR(__xludf.DUMMYFUNCTION("IFERROR(INDEX(FILTER('OLT DOWN Tickets'!$F:$F, REGEXMATCH('OLT DOWN Tickets'!$AB:$AB, ""(?i)""&amp;TRIM(D172)), 'OLT DOWN Tickets'!$L:$L=""OLT DOWN""), 1), """")"),"")</f>
        <v/>
      </c>
      <c r="K172" s="32" t="str">
        <f>IFERROR(__xludf.DUMMYFUNCTION("IFERROR(INDEX(FILTER('OLT DOWN Tickets'!$F:$F, REGEXMATCH('OLT DOWN Tickets'!$AB:$AB, ""(?i)""&amp;TRIM(D172)), 'OLT DOWN Tickets'!$L:$L=""OLT UPLINK LOW POWER""), 1), """")"),"")</f>
        <v/>
      </c>
      <c r="L172" s="32" t="str">
        <f>IFERROR(__xludf.DUMMYFUNCTION("IFERROR(INDEX(FILTER('OLT DOWN Tickets'!$F:$F, REGEXMATCH('OLT DOWN Tickets'!$AB:$AB, ""(?i)""&amp;TRIM(D172)), 'OLT DOWN Tickets'!$L:$L=""OLT UPLINK DOWN""), 1), """")"),"")</f>
        <v/>
      </c>
      <c r="M172" s="32" t="str">
        <f>IFERROR(__xludf.DUMMYFUNCTION("IFERROR(INDEX(FILTER('OLT DOWN Tickets'!$F:$F, REGEXMATCH('OLT DOWN Tickets'!$AB:$AB, ""(?i)""&amp;TRIM(D172)), 'OLT DOWN Tickets'!$L:$L=""OLT SERVICE DEGRADATION""), 1), """")
"),"")</f>
        <v/>
      </c>
      <c r="N172" s="6" t="b">
        <v>0</v>
      </c>
      <c r="O172" s="6" t="b">
        <v>0</v>
      </c>
      <c r="P172" s="6" t="b">
        <v>0</v>
      </c>
      <c r="Q172" s="6" t="b">
        <v>0</v>
      </c>
      <c r="R172" s="6"/>
      <c r="S172" s="6"/>
      <c r="T172" s="6"/>
      <c r="U172" s="6"/>
    </row>
    <row r="173">
      <c r="A173" s="19"/>
      <c r="B173" s="26" t="s">
        <v>152</v>
      </c>
      <c r="C173" s="26" t="s">
        <v>367</v>
      </c>
      <c r="D173" s="27" t="s">
        <v>370</v>
      </c>
      <c r="E173" s="6" t="b">
        <f t="shared" si="1"/>
        <v>1</v>
      </c>
      <c r="F173" s="6" t="b">
        <f>COUNTIFS('OLT DOWN Tickets'!$AB:$AB, "*" &amp; D173 &amp; "*", 'OLT DOWN Tickets'!$L:$L, "OLT DOWN") &gt; 0</f>
        <v>0</v>
      </c>
      <c r="G173" s="6" t="b">
        <f>COUNTIFS('OLT DOWN Tickets'!$AB:$AB, "*" &amp; D173 &amp; "*", 'OLT DOWN Tickets'!$L:$L, "OLT UPLINK LOW POWER") &gt; 0</f>
        <v>0</v>
      </c>
      <c r="H173" s="6" t="b">
        <f>COUNTIFS('OLT DOWN Tickets'!$AB:$AB, "*" &amp; D173 &amp; "*", 'OLT DOWN Tickets'!$L:$L, "OLT UPLINK DOWN") &gt; 0</f>
        <v>0</v>
      </c>
      <c r="I173" s="6" t="b">
        <f>COUNTIFS('OLT DOWN Tickets'!$AB:$AB, "*" &amp; D173 &amp; "*", 'OLT DOWN Tickets'!$L:$L, "OLT SERVICE DEGRADATION") &gt; 0</f>
        <v>0</v>
      </c>
      <c r="J173" s="32" t="str">
        <f>IFERROR(__xludf.DUMMYFUNCTION("IFERROR(INDEX(FILTER('OLT DOWN Tickets'!$F:$F, REGEXMATCH('OLT DOWN Tickets'!$AB:$AB, ""(?i)""&amp;TRIM(D173)), 'OLT DOWN Tickets'!$L:$L=""OLT DOWN""), 1), """")"),"")</f>
        <v/>
      </c>
      <c r="K173" s="32" t="str">
        <f>IFERROR(__xludf.DUMMYFUNCTION("IFERROR(INDEX(FILTER('OLT DOWN Tickets'!$F:$F, REGEXMATCH('OLT DOWN Tickets'!$AB:$AB, ""(?i)""&amp;TRIM(D173)), 'OLT DOWN Tickets'!$L:$L=""OLT UPLINK LOW POWER""), 1), """")"),"")</f>
        <v/>
      </c>
      <c r="L173" s="32" t="str">
        <f>IFERROR(__xludf.DUMMYFUNCTION("IFERROR(INDEX(FILTER('OLT DOWN Tickets'!$F:$F, REGEXMATCH('OLT DOWN Tickets'!$AB:$AB, ""(?i)""&amp;TRIM(D173)), 'OLT DOWN Tickets'!$L:$L=""OLT UPLINK DOWN""), 1), """")"),"")</f>
        <v/>
      </c>
      <c r="M173" s="32" t="str">
        <f>IFERROR(__xludf.DUMMYFUNCTION("IFERROR(INDEX(FILTER('OLT DOWN Tickets'!$F:$F, REGEXMATCH('OLT DOWN Tickets'!$AB:$AB, ""(?i)""&amp;TRIM(D173)), 'OLT DOWN Tickets'!$L:$L=""OLT SERVICE DEGRADATION""), 1), """")
"),"")</f>
        <v/>
      </c>
      <c r="N173" s="6" t="b">
        <v>0</v>
      </c>
      <c r="O173" s="6" t="b">
        <v>0</v>
      </c>
      <c r="P173" s="6" t="b">
        <v>0</v>
      </c>
      <c r="Q173" s="6" t="b">
        <v>0</v>
      </c>
      <c r="R173" s="6"/>
      <c r="S173" s="6"/>
      <c r="T173" s="6"/>
      <c r="U173" s="6"/>
    </row>
    <row r="174">
      <c r="A174" s="19"/>
      <c r="B174" s="26" t="s">
        <v>152</v>
      </c>
      <c r="C174" s="26" t="s">
        <v>367</v>
      </c>
      <c r="D174" s="27" t="s">
        <v>371</v>
      </c>
      <c r="E174" s="6" t="b">
        <f t="shared" si="1"/>
        <v>1</v>
      </c>
      <c r="F174" s="6" t="b">
        <f>COUNTIFS('OLT DOWN Tickets'!$AB:$AB, "*" &amp; D174 &amp; "*", 'OLT DOWN Tickets'!$L:$L, "OLT DOWN") &gt; 0</f>
        <v>0</v>
      </c>
      <c r="G174" s="6" t="b">
        <f>COUNTIFS('OLT DOWN Tickets'!$AB:$AB, "*" &amp; D174 &amp; "*", 'OLT DOWN Tickets'!$L:$L, "OLT UPLINK LOW POWER") &gt; 0</f>
        <v>0</v>
      </c>
      <c r="H174" s="6" t="b">
        <f>COUNTIFS('OLT DOWN Tickets'!$AB:$AB, "*" &amp; D174 &amp; "*", 'OLT DOWN Tickets'!$L:$L, "OLT UPLINK DOWN") &gt; 0</f>
        <v>0</v>
      </c>
      <c r="I174" s="6" t="b">
        <f>COUNTIFS('OLT DOWN Tickets'!$AB:$AB, "*" &amp; D174 &amp; "*", 'OLT DOWN Tickets'!$L:$L, "OLT SERVICE DEGRADATION") &gt; 0</f>
        <v>0</v>
      </c>
      <c r="J174" s="32" t="str">
        <f>IFERROR(__xludf.DUMMYFUNCTION("IFERROR(INDEX(FILTER('OLT DOWN Tickets'!$F:$F, REGEXMATCH('OLT DOWN Tickets'!$AB:$AB, ""(?i)""&amp;TRIM(D174)), 'OLT DOWN Tickets'!$L:$L=""OLT DOWN""), 1), """")"),"")</f>
        <v/>
      </c>
      <c r="K174" s="32" t="str">
        <f>IFERROR(__xludf.DUMMYFUNCTION("IFERROR(INDEX(FILTER('OLT DOWN Tickets'!$F:$F, REGEXMATCH('OLT DOWN Tickets'!$AB:$AB, ""(?i)""&amp;TRIM(D174)), 'OLT DOWN Tickets'!$L:$L=""OLT UPLINK LOW POWER""), 1), """")"),"")</f>
        <v/>
      </c>
      <c r="L174" s="32" t="str">
        <f>IFERROR(__xludf.DUMMYFUNCTION("IFERROR(INDEX(FILTER('OLT DOWN Tickets'!$F:$F, REGEXMATCH('OLT DOWN Tickets'!$AB:$AB, ""(?i)""&amp;TRIM(D174)), 'OLT DOWN Tickets'!$L:$L=""OLT UPLINK DOWN""), 1), """")"),"")</f>
        <v/>
      </c>
      <c r="M174" s="32" t="str">
        <f>IFERROR(__xludf.DUMMYFUNCTION("IFERROR(INDEX(FILTER('OLT DOWN Tickets'!$F:$F, REGEXMATCH('OLT DOWN Tickets'!$AB:$AB, ""(?i)""&amp;TRIM(D174)), 'OLT DOWN Tickets'!$L:$L=""OLT SERVICE DEGRADATION""), 1), """")
"),"")</f>
        <v/>
      </c>
      <c r="N174" s="6" t="b">
        <v>0</v>
      </c>
      <c r="O174" s="6" t="b">
        <v>0</v>
      </c>
      <c r="P174" s="6" t="b">
        <v>0</v>
      </c>
      <c r="Q174" s="6" t="b">
        <v>0</v>
      </c>
      <c r="R174" s="6"/>
      <c r="S174" s="6"/>
      <c r="T174" s="6"/>
      <c r="U174" s="6"/>
    </row>
    <row r="175">
      <c r="A175" s="19"/>
      <c r="B175" s="26" t="s">
        <v>152</v>
      </c>
      <c r="C175" s="26" t="s">
        <v>372</v>
      </c>
      <c r="D175" s="27" t="s">
        <v>373</v>
      </c>
      <c r="E175" s="6" t="b">
        <f t="shared" si="1"/>
        <v>1</v>
      </c>
      <c r="F175" s="6" t="b">
        <f>COUNTIFS('OLT DOWN Tickets'!$AB:$AB, "*" &amp; D175 &amp; "*", 'OLT DOWN Tickets'!$L:$L, "OLT DOWN") &gt; 0</f>
        <v>0</v>
      </c>
      <c r="G175" s="6" t="b">
        <f>COUNTIFS('OLT DOWN Tickets'!$AB:$AB, "*" &amp; D175 &amp; "*", 'OLT DOWN Tickets'!$L:$L, "OLT UPLINK LOW POWER") &gt; 0</f>
        <v>0</v>
      </c>
      <c r="H175" s="6" t="b">
        <f>COUNTIFS('OLT DOWN Tickets'!$AB:$AB, "*" &amp; D175 &amp; "*", 'OLT DOWN Tickets'!$L:$L, "OLT UPLINK DOWN") &gt; 0</f>
        <v>0</v>
      </c>
      <c r="I175" s="6" t="b">
        <f>COUNTIFS('OLT DOWN Tickets'!$AB:$AB, "*" &amp; D175 &amp; "*", 'OLT DOWN Tickets'!$L:$L, "OLT SERVICE DEGRADATION") &gt; 0</f>
        <v>0</v>
      </c>
      <c r="J175" s="32" t="str">
        <f>IFERROR(__xludf.DUMMYFUNCTION("IFERROR(INDEX(FILTER('OLT DOWN Tickets'!$F:$F, REGEXMATCH('OLT DOWN Tickets'!$AB:$AB, ""(?i)""&amp;TRIM(D175)), 'OLT DOWN Tickets'!$L:$L=""OLT DOWN""), 1), """")"),"")</f>
        <v/>
      </c>
      <c r="K175" s="32" t="str">
        <f>IFERROR(__xludf.DUMMYFUNCTION("IFERROR(INDEX(FILTER('OLT DOWN Tickets'!$F:$F, REGEXMATCH('OLT DOWN Tickets'!$AB:$AB, ""(?i)""&amp;TRIM(D175)), 'OLT DOWN Tickets'!$L:$L=""OLT UPLINK LOW POWER""), 1), """")"),"")</f>
        <v/>
      </c>
      <c r="L175" s="32" t="str">
        <f>IFERROR(__xludf.DUMMYFUNCTION("IFERROR(INDEX(FILTER('OLT DOWN Tickets'!$F:$F, REGEXMATCH('OLT DOWN Tickets'!$AB:$AB, ""(?i)""&amp;TRIM(D175)), 'OLT DOWN Tickets'!$L:$L=""OLT UPLINK DOWN""), 1), """")"),"")</f>
        <v/>
      </c>
      <c r="M175" s="32" t="str">
        <f>IFERROR(__xludf.DUMMYFUNCTION("IFERROR(INDEX(FILTER('OLT DOWN Tickets'!$F:$F, REGEXMATCH('OLT DOWN Tickets'!$AB:$AB, ""(?i)""&amp;TRIM(D175)), 'OLT DOWN Tickets'!$L:$L=""OLT SERVICE DEGRADATION""), 1), """")
"),"")</f>
        <v/>
      </c>
      <c r="N175" s="6" t="b">
        <v>0</v>
      </c>
      <c r="O175" s="6" t="b">
        <v>0</v>
      </c>
      <c r="P175" s="6" t="b">
        <v>0</v>
      </c>
      <c r="Q175" s="6" t="b">
        <v>0</v>
      </c>
      <c r="R175" s="6"/>
      <c r="S175" s="6"/>
      <c r="T175" s="6"/>
      <c r="U175" s="6"/>
    </row>
    <row r="176">
      <c r="A176" s="19"/>
      <c r="B176" s="26" t="s">
        <v>152</v>
      </c>
      <c r="C176" s="26" t="s">
        <v>372</v>
      </c>
      <c r="D176" s="27" t="s">
        <v>374</v>
      </c>
      <c r="E176" s="6" t="b">
        <f t="shared" si="1"/>
        <v>1</v>
      </c>
      <c r="F176" s="6" t="b">
        <f>COUNTIFS('OLT DOWN Tickets'!$AB:$AB, "*" &amp; D176 &amp; "*", 'OLT DOWN Tickets'!$L:$L, "OLT DOWN") &gt; 0</f>
        <v>0</v>
      </c>
      <c r="G176" s="6" t="b">
        <f>COUNTIFS('OLT DOWN Tickets'!$AB:$AB, "*" &amp; D176 &amp; "*", 'OLT DOWN Tickets'!$L:$L, "OLT UPLINK LOW POWER") &gt; 0</f>
        <v>0</v>
      </c>
      <c r="H176" s="6" t="b">
        <f>COUNTIFS('OLT DOWN Tickets'!$AB:$AB, "*" &amp; D176 &amp; "*", 'OLT DOWN Tickets'!$L:$L, "OLT UPLINK DOWN") &gt; 0</f>
        <v>0</v>
      </c>
      <c r="I176" s="6" t="b">
        <f>COUNTIFS('OLT DOWN Tickets'!$AB:$AB, "*" &amp; D176 &amp; "*", 'OLT DOWN Tickets'!$L:$L, "OLT SERVICE DEGRADATION") &gt; 0</f>
        <v>0</v>
      </c>
      <c r="J176" s="32" t="str">
        <f>IFERROR(__xludf.DUMMYFUNCTION("IFERROR(INDEX(FILTER('OLT DOWN Tickets'!$F:$F, REGEXMATCH('OLT DOWN Tickets'!$AB:$AB, ""(?i)""&amp;TRIM(D176)), 'OLT DOWN Tickets'!$L:$L=""OLT DOWN""), 1), """")"),"")</f>
        <v/>
      </c>
      <c r="K176" s="32" t="str">
        <f>IFERROR(__xludf.DUMMYFUNCTION("IFERROR(INDEX(FILTER('OLT DOWN Tickets'!$F:$F, REGEXMATCH('OLT DOWN Tickets'!$AB:$AB, ""(?i)""&amp;TRIM(D176)), 'OLT DOWN Tickets'!$L:$L=""OLT UPLINK LOW POWER""), 1), """")"),"")</f>
        <v/>
      </c>
      <c r="L176" s="32" t="str">
        <f>IFERROR(__xludf.DUMMYFUNCTION("IFERROR(INDEX(FILTER('OLT DOWN Tickets'!$F:$F, REGEXMATCH('OLT DOWN Tickets'!$AB:$AB, ""(?i)""&amp;TRIM(D176)), 'OLT DOWN Tickets'!$L:$L=""OLT UPLINK DOWN""), 1), """")"),"")</f>
        <v/>
      </c>
      <c r="M176" s="32" t="str">
        <f>IFERROR(__xludf.DUMMYFUNCTION("IFERROR(INDEX(FILTER('OLT DOWN Tickets'!$F:$F, REGEXMATCH('OLT DOWN Tickets'!$AB:$AB, ""(?i)""&amp;TRIM(D176)), 'OLT DOWN Tickets'!$L:$L=""OLT SERVICE DEGRADATION""), 1), """")
"),"")</f>
        <v/>
      </c>
      <c r="N176" s="6" t="b">
        <v>0</v>
      </c>
      <c r="O176" s="6" t="b">
        <v>0</v>
      </c>
      <c r="P176" s="6" t="b">
        <v>0</v>
      </c>
      <c r="Q176" s="6" t="b">
        <v>0</v>
      </c>
      <c r="R176" s="6"/>
      <c r="S176" s="6"/>
      <c r="T176" s="6"/>
      <c r="U176" s="6"/>
    </row>
    <row r="177">
      <c r="A177" s="19"/>
      <c r="B177" s="26" t="s">
        <v>152</v>
      </c>
      <c r="C177" s="26" t="s">
        <v>372</v>
      </c>
      <c r="D177" s="27" t="s">
        <v>375</v>
      </c>
      <c r="E177" s="6" t="b">
        <f t="shared" si="1"/>
        <v>1</v>
      </c>
      <c r="F177" s="6" t="b">
        <f>COUNTIFS('OLT DOWN Tickets'!$AB:$AB, "*" &amp; D177 &amp; "*", 'OLT DOWN Tickets'!$L:$L, "OLT DOWN") &gt; 0</f>
        <v>0</v>
      </c>
      <c r="G177" s="6" t="b">
        <f>COUNTIFS('OLT DOWN Tickets'!$AB:$AB, "*" &amp; D177 &amp; "*", 'OLT DOWN Tickets'!$L:$L, "OLT UPLINK LOW POWER") &gt; 0</f>
        <v>0</v>
      </c>
      <c r="H177" s="6" t="b">
        <f>COUNTIFS('OLT DOWN Tickets'!$AB:$AB, "*" &amp; D177 &amp; "*", 'OLT DOWN Tickets'!$L:$L, "OLT UPLINK DOWN") &gt; 0</f>
        <v>0</v>
      </c>
      <c r="I177" s="6" t="b">
        <f>COUNTIFS('OLT DOWN Tickets'!$AB:$AB, "*" &amp; D177 &amp; "*", 'OLT DOWN Tickets'!$L:$L, "OLT SERVICE DEGRADATION") &gt; 0</f>
        <v>0</v>
      </c>
      <c r="J177" s="32" t="str">
        <f>IFERROR(__xludf.DUMMYFUNCTION("IFERROR(INDEX(FILTER('OLT DOWN Tickets'!$F:$F, REGEXMATCH('OLT DOWN Tickets'!$AB:$AB, ""(?i)""&amp;TRIM(D177)), 'OLT DOWN Tickets'!$L:$L=""OLT DOWN""), 1), """")"),"")</f>
        <v/>
      </c>
      <c r="K177" s="32" t="str">
        <f>IFERROR(__xludf.DUMMYFUNCTION("IFERROR(INDEX(FILTER('OLT DOWN Tickets'!$F:$F, REGEXMATCH('OLT DOWN Tickets'!$AB:$AB, ""(?i)""&amp;TRIM(D177)), 'OLT DOWN Tickets'!$L:$L=""OLT UPLINK LOW POWER""), 1), """")"),"")</f>
        <v/>
      </c>
      <c r="L177" s="32" t="str">
        <f>IFERROR(__xludf.DUMMYFUNCTION("IFERROR(INDEX(FILTER('OLT DOWN Tickets'!$F:$F, REGEXMATCH('OLT DOWN Tickets'!$AB:$AB, ""(?i)""&amp;TRIM(D177)), 'OLT DOWN Tickets'!$L:$L=""OLT UPLINK DOWN""), 1), """")"),"")</f>
        <v/>
      </c>
      <c r="M177" s="32" t="str">
        <f>IFERROR(__xludf.DUMMYFUNCTION("IFERROR(INDEX(FILTER('OLT DOWN Tickets'!$F:$F, REGEXMATCH('OLT DOWN Tickets'!$AB:$AB, ""(?i)""&amp;TRIM(D177)), 'OLT DOWN Tickets'!$L:$L=""OLT SERVICE DEGRADATION""), 1), """")
"),"")</f>
        <v/>
      </c>
      <c r="N177" s="6" t="b">
        <v>0</v>
      </c>
      <c r="O177" s="6" t="b">
        <v>0</v>
      </c>
      <c r="P177" s="6" t="b">
        <v>0</v>
      </c>
      <c r="Q177" s="6" t="b">
        <v>0</v>
      </c>
      <c r="R177" s="6"/>
      <c r="S177" s="6"/>
      <c r="T177" s="6"/>
      <c r="U177" s="6"/>
    </row>
    <row r="178">
      <c r="A178" s="19"/>
      <c r="B178" s="26" t="s">
        <v>152</v>
      </c>
      <c r="C178" s="26" t="s">
        <v>153</v>
      </c>
      <c r="D178" s="27" t="s">
        <v>376</v>
      </c>
      <c r="E178" s="6" t="b">
        <f t="shared" si="1"/>
        <v>1</v>
      </c>
      <c r="F178" s="6" t="b">
        <f>COUNTIFS('OLT DOWN Tickets'!$AB:$AB, "*" &amp; D178 &amp; "*", 'OLT DOWN Tickets'!$L:$L, "OLT DOWN") &gt; 0</f>
        <v>0</v>
      </c>
      <c r="G178" s="6" t="b">
        <f>COUNTIFS('OLT DOWN Tickets'!$AB:$AB, "*" &amp; D178 &amp; "*", 'OLT DOWN Tickets'!$L:$L, "OLT UPLINK LOW POWER") &gt; 0</f>
        <v>0</v>
      </c>
      <c r="H178" s="6" t="b">
        <f>COUNTIFS('OLT DOWN Tickets'!$AB:$AB, "*" &amp; D178 &amp; "*", 'OLT DOWN Tickets'!$L:$L, "OLT UPLINK DOWN") &gt; 0</f>
        <v>0</v>
      </c>
      <c r="I178" s="6" t="b">
        <f>COUNTIFS('OLT DOWN Tickets'!$AB:$AB, "*" &amp; D178 &amp; "*", 'OLT DOWN Tickets'!$L:$L, "OLT SERVICE DEGRADATION") &gt; 0</f>
        <v>0</v>
      </c>
      <c r="J178" s="32" t="str">
        <f>IFERROR(__xludf.DUMMYFUNCTION("IFERROR(INDEX(FILTER('OLT DOWN Tickets'!$F:$F, REGEXMATCH('OLT DOWN Tickets'!$AB:$AB, ""(?i)""&amp;TRIM(D178)), 'OLT DOWN Tickets'!$L:$L=""OLT DOWN""), 1), """")"),"")</f>
        <v/>
      </c>
      <c r="K178" s="32" t="str">
        <f>IFERROR(__xludf.DUMMYFUNCTION("IFERROR(INDEX(FILTER('OLT DOWN Tickets'!$F:$F, REGEXMATCH('OLT DOWN Tickets'!$AB:$AB, ""(?i)""&amp;TRIM(D178)), 'OLT DOWN Tickets'!$L:$L=""OLT UPLINK LOW POWER""), 1), """")"),"")</f>
        <v/>
      </c>
      <c r="L178" s="32" t="str">
        <f>IFERROR(__xludf.DUMMYFUNCTION("IFERROR(INDEX(FILTER('OLT DOWN Tickets'!$F:$F, REGEXMATCH('OLT DOWN Tickets'!$AB:$AB, ""(?i)""&amp;TRIM(D178)), 'OLT DOWN Tickets'!$L:$L=""OLT UPLINK DOWN""), 1), """")"),"")</f>
        <v/>
      </c>
      <c r="M178" s="32" t="str">
        <f>IFERROR(__xludf.DUMMYFUNCTION("IFERROR(INDEX(FILTER('OLT DOWN Tickets'!$F:$F, REGEXMATCH('OLT DOWN Tickets'!$AB:$AB, ""(?i)""&amp;TRIM(D178)), 'OLT DOWN Tickets'!$L:$L=""OLT SERVICE DEGRADATION""), 1), """")
"),"")</f>
        <v/>
      </c>
      <c r="N178" s="6" t="b">
        <v>0</v>
      </c>
      <c r="O178" s="6" t="b">
        <v>0</v>
      </c>
      <c r="P178" s="6" t="b">
        <v>0</v>
      </c>
      <c r="Q178" s="6" t="b">
        <v>0</v>
      </c>
      <c r="R178" s="6"/>
      <c r="S178" s="6"/>
      <c r="T178" s="6"/>
      <c r="U178" s="6"/>
    </row>
    <row r="179">
      <c r="A179" s="19"/>
      <c r="B179" s="26" t="s">
        <v>152</v>
      </c>
      <c r="C179" s="26" t="s">
        <v>377</v>
      </c>
      <c r="D179" s="27" t="s">
        <v>378</v>
      </c>
      <c r="E179" s="6" t="b">
        <f t="shared" si="1"/>
        <v>1</v>
      </c>
      <c r="F179" s="6" t="b">
        <f>COUNTIFS('OLT DOWN Tickets'!$AB:$AB, "*" &amp; D179 &amp; "*", 'OLT DOWN Tickets'!$L:$L, "OLT DOWN") &gt; 0</f>
        <v>0</v>
      </c>
      <c r="G179" s="6" t="b">
        <f>COUNTIFS('OLT DOWN Tickets'!$AB:$AB, "*" &amp; D179 &amp; "*", 'OLT DOWN Tickets'!$L:$L, "OLT UPLINK LOW POWER") &gt; 0</f>
        <v>0</v>
      </c>
      <c r="H179" s="6" t="b">
        <f>COUNTIFS('OLT DOWN Tickets'!$AB:$AB, "*" &amp; D179 &amp; "*", 'OLT DOWN Tickets'!$L:$L, "OLT UPLINK DOWN") &gt; 0</f>
        <v>0</v>
      </c>
      <c r="I179" s="6" t="b">
        <f>COUNTIFS('OLT DOWN Tickets'!$AB:$AB, "*" &amp; D179 &amp; "*", 'OLT DOWN Tickets'!$L:$L, "OLT SERVICE DEGRADATION") &gt; 0</f>
        <v>0</v>
      </c>
      <c r="J179" s="32" t="str">
        <f>IFERROR(__xludf.DUMMYFUNCTION("IFERROR(INDEX(FILTER('OLT DOWN Tickets'!$F:$F, REGEXMATCH('OLT DOWN Tickets'!$AB:$AB, ""(?i)""&amp;TRIM(D179)), 'OLT DOWN Tickets'!$L:$L=""OLT DOWN""), 1), """")"),"")</f>
        <v/>
      </c>
      <c r="K179" s="32" t="str">
        <f>IFERROR(__xludf.DUMMYFUNCTION("IFERROR(INDEX(FILTER('OLT DOWN Tickets'!$F:$F, REGEXMATCH('OLT DOWN Tickets'!$AB:$AB, ""(?i)""&amp;TRIM(D179)), 'OLT DOWN Tickets'!$L:$L=""OLT UPLINK LOW POWER""), 1), """")"),"")</f>
        <v/>
      </c>
      <c r="L179" s="32" t="str">
        <f>IFERROR(__xludf.DUMMYFUNCTION("IFERROR(INDEX(FILTER('OLT DOWN Tickets'!$F:$F, REGEXMATCH('OLT DOWN Tickets'!$AB:$AB, ""(?i)""&amp;TRIM(D179)), 'OLT DOWN Tickets'!$L:$L=""OLT UPLINK DOWN""), 1), """")"),"")</f>
        <v/>
      </c>
      <c r="M179" s="32" t="str">
        <f>IFERROR(__xludf.DUMMYFUNCTION("IFERROR(INDEX(FILTER('OLT DOWN Tickets'!$F:$F, REGEXMATCH('OLT DOWN Tickets'!$AB:$AB, ""(?i)""&amp;TRIM(D179)), 'OLT DOWN Tickets'!$L:$L=""OLT SERVICE DEGRADATION""), 1), """")
"),"")</f>
        <v/>
      </c>
      <c r="N179" s="6" t="b">
        <v>0</v>
      </c>
      <c r="O179" s="6" t="b">
        <v>0</v>
      </c>
      <c r="P179" s="6" t="b">
        <v>0</v>
      </c>
      <c r="Q179" s="6" t="b">
        <v>0</v>
      </c>
      <c r="R179" s="6"/>
      <c r="S179" s="6"/>
      <c r="T179" s="6"/>
      <c r="U179" s="6"/>
    </row>
    <row r="180">
      <c r="A180" s="19"/>
      <c r="B180" s="26" t="s">
        <v>152</v>
      </c>
      <c r="C180" s="26" t="s">
        <v>379</v>
      </c>
      <c r="D180" s="27" t="s">
        <v>380</v>
      </c>
      <c r="E180" s="6" t="b">
        <f t="shared" si="1"/>
        <v>1</v>
      </c>
      <c r="F180" s="6" t="b">
        <f>COUNTIFS('OLT DOWN Tickets'!$AB:$AB, "*" &amp; D180 &amp; "*", 'OLT DOWN Tickets'!$L:$L, "OLT DOWN") &gt; 0</f>
        <v>0</v>
      </c>
      <c r="G180" s="6" t="b">
        <f>COUNTIFS('OLT DOWN Tickets'!$AB:$AB, "*" &amp; D180 &amp; "*", 'OLT DOWN Tickets'!$L:$L, "OLT UPLINK LOW POWER") &gt; 0</f>
        <v>0</v>
      </c>
      <c r="H180" s="6" t="b">
        <f>COUNTIFS('OLT DOWN Tickets'!$AB:$AB, "*" &amp; D180 &amp; "*", 'OLT DOWN Tickets'!$L:$L, "OLT UPLINK DOWN") &gt; 0</f>
        <v>0</v>
      </c>
      <c r="I180" s="6" t="b">
        <f>COUNTIFS('OLT DOWN Tickets'!$AB:$AB, "*" &amp; D180 &amp; "*", 'OLT DOWN Tickets'!$L:$L, "OLT SERVICE DEGRADATION") &gt; 0</f>
        <v>0</v>
      </c>
      <c r="J180" s="32" t="str">
        <f>IFERROR(__xludf.DUMMYFUNCTION("IFERROR(INDEX(FILTER('OLT DOWN Tickets'!$F:$F, REGEXMATCH('OLT DOWN Tickets'!$AB:$AB, ""(?i)""&amp;TRIM(D180)), 'OLT DOWN Tickets'!$L:$L=""OLT DOWN""), 1), """")"),"")</f>
        <v/>
      </c>
      <c r="K180" s="32" t="str">
        <f>IFERROR(__xludf.DUMMYFUNCTION("IFERROR(INDEX(FILTER('OLT DOWN Tickets'!$F:$F, REGEXMATCH('OLT DOWN Tickets'!$AB:$AB, ""(?i)""&amp;TRIM(D180)), 'OLT DOWN Tickets'!$L:$L=""OLT UPLINK LOW POWER""), 1), """")"),"")</f>
        <v/>
      </c>
      <c r="L180" s="32" t="str">
        <f>IFERROR(__xludf.DUMMYFUNCTION("IFERROR(INDEX(FILTER('OLT DOWN Tickets'!$F:$F, REGEXMATCH('OLT DOWN Tickets'!$AB:$AB, ""(?i)""&amp;TRIM(D180)), 'OLT DOWN Tickets'!$L:$L=""OLT UPLINK DOWN""), 1), """")"),"")</f>
        <v/>
      </c>
      <c r="M180" s="32" t="str">
        <f>IFERROR(__xludf.DUMMYFUNCTION("IFERROR(INDEX(FILTER('OLT DOWN Tickets'!$F:$F, REGEXMATCH('OLT DOWN Tickets'!$AB:$AB, ""(?i)""&amp;TRIM(D180)), 'OLT DOWN Tickets'!$L:$L=""OLT SERVICE DEGRADATION""), 1), """")
"),"")</f>
        <v/>
      </c>
      <c r="N180" s="6" t="b">
        <v>0</v>
      </c>
      <c r="O180" s="6" t="b">
        <v>0</v>
      </c>
      <c r="P180" s="6" t="b">
        <v>0</v>
      </c>
      <c r="Q180" s="6" t="b">
        <v>0</v>
      </c>
      <c r="R180" s="6"/>
      <c r="S180" s="6"/>
      <c r="T180" s="6"/>
      <c r="U180" s="6"/>
    </row>
    <row r="181">
      <c r="A181" s="19"/>
      <c r="B181" s="26" t="s">
        <v>152</v>
      </c>
      <c r="C181" s="26" t="s">
        <v>379</v>
      </c>
      <c r="D181" s="27" t="s">
        <v>381</v>
      </c>
      <c r="E181" s="6" t="b">
        <f t="shared" si="1"/>
        <v>1</v>
      </c>
      <c r="F181" s="6" t="b">
        <f>COUNTIFS('OLT DOWN Tickets'!$AB:$AB, "*" &amp; D181 &amp; "*", 'OLT DOWN Tickets'!$L:$L, "OLT DOWN") &gt; 0</f>
        <v>0</v>
      </c>
      <c r="G181" s="6" t="b">
        <f>COUNTIFS('OLT DOWN Tickets'!$AB:$AB, "*" &amp; D181 &amp; "*", 'OLT DOWN Tickets'!$L:$L, "OLT UPLINK LOW POWER") &gt; 0</f>
        <v>0</v>
      </c>
      <c r="H181" s="6" t="b">
        <f>COUNTIFS('OLT DOWN Tickets'!$AB:$AB, "*" &amp; D181 &amp; "*", 'OLT DOWN Tickets'!$L:$L, "OLT UPLINK DOWN") &gt; 0</f>
        <v>0</v>
      </c>
      <c r="I181" s="6" t="b">
        <f>COUNTIFS('OLT DOWN Tickets'!$AB:$AB, "*" &amp; D181 &amp; "*", 'OLT DOWN Tickets'!$L:$L, "OLT SERVICE DEGRADATION") &gt; 0</f>
        <v>0</v>
      </c>
      <c r="J181" s="32" t="str">
        <f>IFERROR(__xludf.DUMMYFUNCTION("IFERROR(INDEX(FILTER('OLT DOWN Tickets'!$F:$F, REGEXMATCH('OLT DOWN Tickets'!$AB:$AB, ""(?i)""&amp;TRIM(D181)), 'OLT DOWN Tickets'!$L:$L=""OLT DOWN""), 1), """")"),"")</f>
        <v/>
      </c>
      <c r="K181" s="32" t="str">
        <f>IFERROR(__xludf.DUMMYFUNCTION("IFERROR(INDEX(FILTER('OLT DOWN Tickets'!$F:$F, REGEXMATCH('OLT DOWN Tickets'!$AB:$AB, ""(?i)""&amp;TRIM(D181)), 'OLT DOWN Tickets'!$L:$L=""OLT UPLINK LOW POWER""), 1), """")"),"")</f>
        <v/>
      </c>
      <c r="L181" s="32" t="str">
        <f>IFERROR(__xludf.DUMMYFUNCTION("IFERROR(INDEX(FILTER('OLT DOWN Tickets'!$F:$F, REGEXMATCH('OLT DOWN Tickets'!$AB:$AB, ""(?i)""&amp;TRIM(D181)), 'OLT DOWN Tickets'!$L:$L=""OLT UPLINK DOWN""), 1), """")"),"")</f>
        <v/>
      </c>
      <c r="M181" s="32" t="str">
        <f>IFERROR(__xludf.DUMMYFUNCTION("IFERROR(INDEX(FILTER('OLT DOWN Tickets'!$F:$F, REGEXMATCH('OLT DOWN Tickets'!$AB:$AB, ""(?i)""&amp;TRIM(D181)), 'OLT DOWN Tickets'!$L:$L=""OLT SERVICE DEGRADATION""), 1), """")
"),"")</f>
        <v/>
      </c>
      <c r="N181" s="6" t="b">
        <v>0</v>
      </c>
      <c r="O181" s="6" t="b">
        <v>0</v>
      </c>
      <c r="P181" s="6" t="b">
        <v>0</v>
      </c>
      <c r="Q181" s="6" t="b">
        <v>0</v>
      </c>
      <c r="R181" s="6"/>
      <c r="S181" s="6"/>
      <c r="T181" s="6"/>
      <c r="U181" s="6"/>
    </row>
    <row r="182">
      <c r="A182" s="19"/>
      <c r="B182" s="26" t="s">
        <v>152</v>
      </c>
      <c r="C182" s="26" t="s">
        <v>379</v>
      </c>
      <c r="D182" s="27" t="s">
        <v>382</v>
      </c>
      <c r="E182" s="6" t="b">
        <f t="shared" si="1"/>
        <v>1</v>
      </c>
      <c r="F182" s="6" t="b">
        <f>COUNTIFS('OLT DOWN Tickets'!$AB:$AB, "*" &amp; D182 &amp; "*", 'OLT DOWN Tickets'!$L:$L, "OLT DOWN") &gt; 0</f>
        <v>0</v>
      </c>
      <c r="G182" s="6" t="b">
        <f>COUNTIFS('OLT DOWN Tickets'!$AB:$AB, "*" &amp; D182 &amp; "*", 'OLT DOWN Tickets'!$L:$L, "OLT UPLINK LOW POWER") &gt; 0</f>
        <v>0</v>
      </c>
      <c r="H182" s="6" t="b">
        <f>COUNTIFS('OLT DOWN Tickets'!$AB:$AB, "*" &amp; D182 &amp; "*", 'OLT DOWN Tickets'!$L:$L, "OLT UPLINK DOWN") &gt; 0</f>
        <v>0</v>
      </c>
      <c r="I182" s="6" t="b">
        <f>COUNTIFS('OLT DOWN Tickets'!$AB:$AB, "*" &amp; D182 &amp; "*", 'OLT DOWN Tickets'!$L:$L, "OLT SERVICE DEGRADATION") &gt; 0</f>
        <v>0</v>
      </c>
      <c r="J182" s="32" t="str">
        <f>IFERROR(__xludf.DUMMYFUNCTION("IFERROR(INDEX(FILTER('OLT DOWN Tickets'!$F:$F, REGEXMATCH('OLT DOWN Tickets'!$AB:$AB, ""(?i)""&amp;TRIM(D182)), 'OLT DOWN Tickets'!$L:$L=""OLT DOWN""), 1), """")"),"")</f>
        <v/>
      </c>
      <c r="K182" s="32" t="str">
        <f>IFERROR(__xludf.DUMMYFUNCTION("IFERROR(INDEX(FILTER('OLT DOWN Tickets'!$F:$F, REGEXMATCH('OLT DOWN Tickets'!$AB:$AB, ""(?i)""&amp;TRIM(D182)), 'OLT DOWN Tickets'!$L:$L=""OLT UPLINK LOW POWER""), 1), """")"),"")</f>
        <v/>
      </c>
      <c r="L182" s="32" t="str">
        <f>IFERROR(__xludf.DUMMYFUNCTION("IFERROR(INDEX(FILTER('OLT DOWN Tickets'!$F:$F, REGEXMATCH('OLT DOWN Tickets'!$AB:$AB, ""(?i)""&amp;TRIM(D182)), 'OLT DOWN Tickets'!$L:$L=""OLT UPLINK DOWN""), 1), """")"),"")</f>
        <v/>
      </c>
      <c r="M182" s="32" t="str">
        <f>IFERROR(__xludf.DUMMYFUNCTION("IFERROR(INDEX(FILTER('OLT DOWN Tickets'!$F:$F, REGEXMATCH('OLT DOWN Tickets'!$AB:$AB, ""(?i)""&amp;TRIM(D182)), 'OLT DOWN Tickets'!$L:$L=""OLT SERVICE DEGRADATION""), 1), """")
"),"")</f>
        <v/>
      </c>
      <c r="N182" s="6" t="b">
        <v>0</v>
      </c>
      <c r="O182" s="6" t="b">
        <v>0</v>
      </c>
      <c r="P182" s="6" t="b">
        <v>0</v>
      </c>
      <c r="Q182" s="6" t="b">
        <v>0</v>
      </c>
      <c r="R182" s="6"/>
      <c r="S182" s="6"/>
      <c r="T182" s="6"/>
      <c r="U182" s="6"/>
    </row>
    <row r="183">
      <c r="A183" s="19"/>
      <c r="B183" s="26" t="s">
        <v>152</v>
      </c>
      <c r="C183" s="26" t="s">
        <v>383</v>
      </c>
      <c r="D183" s="27" t="s">
        <v>384</v>
      </c>
      <c r="E183" s="6" t="b">
        <f t="shared" si="1"/>
        <v>1</v>
      </c>
      <c r="F183" s="6" t="b">
        <f>COUNTIFS('OLT DOWN Tickets'!$AB:$AB, "*" &amp; D183 &amp; "*", 'OLT DOWN Tickets'!$L:$L, "OLT DOWN") &gt; 0</f>
        <v>0</v>
      </c>
      <c r="G183" s="6" t="b">
        <f>COUNTIFS('OLT DOWN Tickets'!$AB:$AB, "*" &amp; D183 &amp; "*", 'OLT DOWN Tickets'!$L:$L, "OLT UPLINK LOW POWER") &gt; 0</f>
        <v>0</v>
      </c>
      <c r="H183" s="6" t="b">
        <f>COUNTIFS('OLT DOWN Tickets'!$AB:$AB, "*" &amp; D183 &amp; "*", 'OLT DOWN Tickets'!$L:$L, "OLT UPLINK DOWN") &gt; 0</f>
        <v>0</v>
      </c>
      <c r="I183" s="6" t="b">
        <f>COUNTIFS('OLT DOWN Tickets'!$AB:$AB, "*" &amp; D183 &amp; "*", 'OLT DOWN Tickets'!$L:$L, "OLT SERVICE DEGRADATION") &gt; 0</f>
        <v>0</v>
      </c>
      <c r="J183" s="32" t="str">
        <f>IFERROR(__xludf.DUMMYFUNCTION("IFERROR(INDEX(FILTER('OLT DOWN Tickets'!$F:$F, REGEXMATCH('OLT DOWN Tickets'!$AB:$AB, ""(?i)""&amp;TRIM(D183)), 'OLT DOWN Tickets'!$L:$L=""OLT DOWN""), 1), """")"),"")</f>
        <v/>
      </c>
      <c r="K183" s="32" t="str">
        <f>IFERROR(__xludf.DUMMYFUNCTION("IFERROR(INDEX(FILTER('OLT DOWN Tickets'!$F:$F, REGEXMATCH('OLT DOWN Tickets'!$AB:$AB, ""(?i)""&amp;TRIM(D183)), 'OLT DOWN Tickets'!$L:$L=""OLT UPLINK LOW POWER""), 1), """")"),"")</f>
        <v/>
      </c>
      <c r="L183" s="32" t="str">
        <f>IFERROR(__xludf.DUMMYFUNCTION("IFERROR(INDEX(FILTER('OLT DOWN Tickets'!$F:$F, REGEXMATCH('OLT DOWN Tickets'!$AB:$AB, ""(?i)""&amp;TRIM(D183)), 'OLT DOWN Tickets'!$L:$L=""OLT UPLINK DOWN""), 1), """")"),"")</f>
        <v/>
      </c>
      <c r="M183" s="32" t="str">
        <f>IFERROR(__xludf.DUMMYFUNCTION("IFERROR(INDEX(FILTER('OLT DOWN Tickets'!$F:$F, REGEXMATCH('OLT DOWN Tickets'!$AB:$AB, ""(?i)""&amp;TRIM(D183)), 'OLT DOWN Tickets'!$L:$L=""OLT SERVICE DEGRADATION""), 1), """")
"),"")</f>
        <v/>
      </c>
      <c r="N183" s="6" t="b">
        <v>0</v>
      </c>
      <c r="O183" s="6" t="b">
        <v>0</v>
      </c>
      <c r="P183" s="6" t="b">
        <v>0</v>
      </c>
      <c r="Q183" s="6" t="b">
        <v>0</v>
      </c>
      <c r="R183" s="6"/>
      <c r="S183" s="6"/>
      <c r="T183" s="6"/>
      <c r="U183" s="6"/>
    </row>
    <row r="184">
      <c r="A184" s="19"/>
      <c r="B184" s="26" t="s">
        <v>152</v>
      </c>
      <c r="C184" s="26" t="s">
        <v>385</v>
      </c>
      <c r="D184" s="27" t="s">
        <v>386</v>
      </c>
      <c r="E184" s="6" t="b">
        <f t="shared" si="1"/>
        <v>1</v>
      </c>
      <c r="F184" s="6" t="b">
        <f>COUNTIFS('OLT DOWN Tickets'!$AB:$AB, "*" &amp; D184 &amp; "*", 'OLT DOWN Tickets'!$L:$L, "OLT DOWN") &gt; 0</f>
        <v>0</v>
      </c>
      <c r="G184" s="6" t="b">
        <f>COUNTIFS('OLT DOWN Tickets'!$AB:$AB, "*" &amp; D184 &amp; "*", 'OLT DOWN Tickets'!$L:$L, "OLT UPLINK LOW POWER") &gt; 0</f>
        <v>0</v>
      </c>
      <c r="H184" s="6" t="b">
        <f>COUNTIFS('OLT DOWN Tickets'!$AB:$AB, "*" &amp; D184 &amp; "*", 'OLT DOWN Tickets'!$L:$L, "OLT UPLINK DOWN") &gt; 0</f>
        <v>0</v>
      </c>
      <c r="I184" s="6" t="b">
        <f>COUNTIFS('OLT DOWN Tickets'!$AB:$AB, "*" &amp; D184 &amp; "*", 'OLT DOWN Tickets'!$L:$L, "OLT SERVICE DEGRADATION") &gt; 0</f>
        <v>0</v>
      </c>
      <c r="J184" s="32" t="str">
        <f>IFERROR(__xludf.DUMMYFUNCTION("IFERROR(INDEX(FILTER('OLT DOWN Tickets'!$F:$F, REGEXMATCH('OLT DOWN Tickets'!$AB:$AB, ""(?i)""&amp;TRIM(D184)), 'OLT DOWN Tickets'!$L:$L=""OLT DOWN""), 1), """")"),"")</f>
        <v/>
      </c>
      <c r="K184" s="32" t="str">
        <f>IFERROR(__xludf.DUMMYFUNCTION("IFERROR(INDEX(FILTER('OLT DOWN Tickets'!$F:$F, REGEXMATCH('OLT DOWN Tickets'!$AB:$AB, ""(?i)""&amp;TRIM(D184)), 'OLT DOWN Tickets'!$L:$L=""OLT UPLINK LOW POWER""), 1), """")"),"")</f>
        <v/>
      </c>
      <c r="L184" s="32" t="str">
        <f>IFERROR(__xludf.DUMMYFUNCTION("IFERROR(INDEX(FILTER('OLT DOWN Tickets'!$F:$F, REGEXMATCH('OLT DOWN Tickets'!$AB:$AB, ""(?i)""&amp;TRIM(D184)), 'OLT DOWN Tickets'!$L:$L=""OLT UPLINK DOWN""), 1), """")"),"")</f>
        <v/>
      </c>
      <c r="M184" s="32" t="str">
        <f>IFERROR(__xludf.DUMMYFUNCTION("IFERROR(INDEX(FILTER('OLT DOWN Tickets'!$F:$F, REGEXMATCH('OLT DOWN Tickets'!$AB:$AB, ""(?i)""&amp;TRIM(D184)), 'OLT DOWN Tickets'!$L:$L=""OLT SERVICE DEGRADATION""), 1), """")
"),"")</f>
        <v/>
      </c>
      <c r="N184" s="6" t="b">
        <v>0</v>
      </c>
      <c r="O184" s="6" t="b">
        <v>0</v>
      </c>
      <c r="P184" s="6" t="b">
        <v>0</v>
      </c>
      <c r="Q184" s="6" t="b">
        <v>0</v>
      </c>
      <c r="R184" s="6"/>
      <c r="S184" s="6"/>
      <c r="T184" s="6"/>
      <c r="U184" s="6"/>
    </row>
    <row r="185">
      <c r="A185" s="19"/>
      <c r="B185" s="26" t="s">
        <v>152</v>
      </c>
      <c r="C185" s="26" t="s">
        <v>385</v>
      </c>
      <c r="D185" s="27" t="s">
        <v>387</v>
      </c>
      <c r="E185" s="6" t="b">
        <f t="shared" si="1"/>
        <v>1</v>
      </c>
      <c r="F185" s="6" t="b">
        <f>COUNTIFS('OLT DOWN Tickets'!$AB:$AB, "*" &amp; D185 &amp; "*", 'OLT DOWN Tickets'!$L:$L, "OLT DOWN") &gt; 0</f>
        <v>0</v>
      </c>
      <c r="G185" s="6" t="b">
        <f>COUNTIFS('OLT DOWN Tickets'!$AB:$AB, "*" &amp; D185 &amp; "*", 'OLT DOWN Tickets'!$L:$L, "OLT UPLINK LOW POWER") &gt; 0</f>
        <v>0</v>
      </c>
      <c r="H185" s="6" t="b">
        <f>COUNTIFS('OLT DOWN Tickets'!$AB:$AB, "*" &amp; D185 &amp; "*", 'OLT DOWN Tickets'!$L:$L, "OLT UPLINK DOWN") &gt; 0</f>
        <v>0</v>
      </c>
      <c r="I185" s="6" t="b">
        <f>COUNTIFS('OLT DOWN Tickets'!$AB:$AB, "*" &amp; D185 &amp; "*", 'OLT DOWN Tickets'!$L:$L, "OLT SERVICE DEGRADATION") &gt; 0</f>
        <v>0</v>
      </c>
      <c r="J185" s="32" t="str">
        <f>IFERROR(__xludf.DUMMYFUNCTION("IFERROR(INDEX(FILTER('OLT DOWN Tickets'!$F:$F, REGEXMATCH('OLT DOWN Tickets'!$AB:$AB, ""(?i)""&amp;TRIM(D185)), 'OLT DOWN Tickets'!$L:$L=""OLT DOWN""), 1), """")"),"")</f>
        <v/>
      </c>
      <c r="K185" s="32" t="str">
        <f>IFERROR(__xludf.DUMMYFUNCTION("IFERROR(INDEX(FILTER('OLT DOWN Tickets'!$F:$F, REGEXMATCH('OLT DOWN Tickets'!$AB:$AB, ""(?i)""&amp;TRIM(D185)), 'OLT DOWN Tickets'!$L:$L=""OLT UPLINK LOW POWER""), 1), """")"),"")</f>
        <v/>
      </c>
      <c r="L185" s="32" t="str">
        <f>IFERROR(__xludf.DUMMYFUNCTION("IFERROR(INDEX(FILTER('OLT DOWN Tickets'!$F:$F, REGEXMATCH('OLT DOWN Tickets'!$AB:$AB, ""(?i)""&amp;TRIM(D185)), 'OLT DOWN Tickets'!$L:$L=""OLT UPLINK DOWN""), 1), """")"),"")</f>
        <v/>
      </c>
      <c r="M185" s="32" t="str">
        <f>IFERROR(__xludf.DUMMYFUNCTION("IFERROR(INDEX(FILTER('OLT DOWN Tickets'!$F:$F, REGEXMATCH('OLT DOWN Tickets'!$AB:$AB, ""(?i)""&amp;TRIM(D185)), 'OLT DOWN Tickets'!$L:$L=""OLT SERVICE DEGRADATION""), 1), """")
"),"")</f>
        <v/>
      </c>
      <c r="N185" s="6" t="b">
        <v>0</v>
      </c>
      <c r="O185" s="6" t="b">
        <v>0</v>
      </c>
      <c r="P185" s="6" t="b">
        <v>0</v>
      </c>
      <c r="Q185" s="6" t="b">
        <v>0</v>
      </c>
      <c r="R185" s="6"/>
      <c r="S185" s="6"/>
      <c r="T185" s="6"/>
      <c r="U185" s="6"/>
    </row>
    <row r="186">
      <c r="A186" s="19"/>
      <c r="B186" s="26" t="s">
        <v>152</v>
      </c>
      <c r="C186" s="26" t="s">
        <v>385</v>
      </c>
      <c r="D186" s="27" t="s">
        <v>388</v>
      </c>
      <c r="E186" s="6" t="b">
        <f t="shared" si="1"/>
        <v>1</v>
      </c>
      <c r="F186" s="6" t="b">
        <f>COUNTIFS('OLT DOWN Tickets'!$AB:$AB, "*" &amp; D186 &amp; "*", 'OLT DOWN Tickets'!$L:$L, "OLT DOWN") &gt; 0</f>
        <v>0</v>
      </c>
      <c r="G186" s="6" t="b">
        <f>COUNTIFS('OLT DOWN Tickets'!$AB:$AB, "*" &amp; D186 &amp; "*", 'OLT DOWN Tickets'!$L:$L, "OLT UPLINK LOW POWER") &gt; 0</f>
        <v>0</v>
      </c>
      <c r="H186" s="6" t="b">
        <f>COUNTIFS('OLT DOWN Tickets'!$AB:$AB, "*" &amp; D186 &amp; "*", 'OLT DOWN Tickets'!$L:$L, "OLT UPLINK DOWN") &gt; 0</f>
        <v>0</v>
      </c>
      <c r="I186" s="6" t="b">
        <f>COUNTIFS('OLT DOWN Tickets'!$AB:$AB, "*" &amp; D186 &amp; "*", 'OLT DOWN Tickets'!$L:$L, "OLT SERVICE DEGRADATION") &gt; 0</f>
        <v>0</v>
      </c>
      <c r="J186" s="32" t="str">
        <f>IFERROR(__xludf.DUMMYFUNCTION("IFERROR(INDEX(FILTER('OLT DOWN Tickets'!$F:$F, REGEXMATCH('OLT DOWN Tickets'!$AB:$AB, ""(?i)""&amp;TRIM(D186)), 'OLT DOWN Tickets'!$L:$L=""OLT DOWN""), 1), """")"),"")</f>
        <v/>
      </c>
      <c r="K186" s="32" t="str">
        <f>IFERROR(__xludf.DUMMYFUNCTION("IFERROR(INDEX(FILTER('OLT DOWN Tickets'!$F:$F, REGEXMATCH('OLT DOWN Tickets'!$AB:$AB, ""(?i)""&amp;TRIM(D186)), 'OLT DOWN Tickets'!$L:$L=""OLT UPLINK LOW POWER""), 1), """")"),"")</f>
        <v/>
      </c>
      <c r="L186" s="32" t="str">
        <f>IFERROR(__xludf.DUMMYFUNCTION("IFERROR(INDEX(FILTER('OLT DOWN Tickets'!$F:$F, REGEXMATCH('OLT DOWN Tickets'!$AB:$AB, ""(?i)""&amp;TRIM(D186)), 'OLT DOWN Tickets'!$L:$L=""OLT UPLINK DOWN""), 1), """")"),"")</f>
        <v/>
      </c>
      <c r="M186" s="32" t="str">
        <f>IFERROR(__xludf.DUMMYFUNCTION("IFERROR(INDEX(FILTER('OLT DOWN Tickets'!$F:$F, REGEXMATCH('OLT DOWN Tickets'!$AB:$AB, ""(?i)""&amp;TRIM(D186)), 'OLT DOWN Tickets'!$L:$L=""OLT SERVICE DEGRADATION""), 1), """")
"),"")</f>
        <v/>
      </c>
      <c r="N186" s="6" t="b">
        <v>0</v>
      </c>
      <c r="O186" s="6" t="b">
        <v>0</v>
      </c>
      <c r="P186" s="6" t="b">
        <v>0</v>
      </c>
      <c r="Q186" s="6" t="b">
        <v>0</v>
      </c>
      <c r="R186" s="6"/>
      <c r="S186" s="6"/>
      <c r="T186" s="6"/>
      <c r="U186" s="6"/>
    </row>
    <row r="187">
      <c r="A187" s="19"/>
      <c r="B187" s="26" t="s">
        <v>152</v>
      </c>
      <c r="C187" s="26" t="s">
        <v>385</v>
      </c>
      <c r="D187" s="27" t="s">
        <v>389</v>
      </c>
      <c r="E187" s="6" t="b">
        <f t="shared" si="1"/>
        <v>1</v>
      </c>
      <c r="F187" s="6" t="b">
        <f>COUNTIFS('OLT DOWN Tickets'!$AB:$AB, "*" &amp; D187 &amp; "*", 'OLT DOWN Tickets'!$L:$L, "OLT DOWN") &gt; 0</f>
        <v>0</v>
      </c>
      <c r="G187" s="6" t="b">
        <f>COUNTIFS('OLT DOWN Tickets'!$AB:$AB, "*" &amp; D187 &amp; "*", 'OLT DOWN Tickets'!$L:$L, "OLT UPLINK LOW POWER") &gt; 0</f>
        <v>0</v>
      </c>
      <c r="H187" s="6" t="b">
        <f>COUNTIFS('OLT DOWN Tickets'!$AB:$AB, "*" &amp; D187 &amp; "*", 'OLT DOWN Tickets'!$L:$L, "OLT UPLINK DOWN") &gt; 0</f>
        <v>0</v>
      </c>
      <c r="I187" s="6" t="b">
        <f>COUNTIFS('OLT DOWN Tickets'!$AB:$AB, "*" &amp; D187 &amp; "*", 'OLT DOWN Tickets'!$L:$L, "OLT SERVICE DEGRADATION") &gt; 0</f>
        <v>0</v>
      </c>
      <c r="J187" s="32" t="str">
        <f>IFERROR(__xludf.DUMMYFUNCTION("IFERROR(INDEX(FILTER('OLT DOWN Tickets'!$F:$F, REGEXMATCH('OLT DOWN Tickets'!$AB:$AB, ""(?i)""&amp;TRIM(D187)), 'OLT DOWN Tickets'!$L:$L=""OLT DOWN""), 1), """")"),"")</f>
        <v/>
      </c>
      <c r="K187" s="32" t="str">
        <f>IFERROR(__xludf.DUMMYFUNCTION("IFERROR(INDEX(FILTER('OLT DOWN Tickets'!$F:$F, REGEXMATCH('OLT DOWN Tickets'!$AB:$AB, ""(?i)""&amp;TRIM(D187)), 'OLT DOWN Tickets'!$L:$L=""OLT UPLINK LOW POWER""), 1), """")"),"")</f>
        <v/>
      </c>
      <c r="L187" s="32" t="str">
        <f>IFERROR(__xludf.DUMMYFUNCTION("IFERROR(INDEX(FILTER('OLT DOWN Tickets'!$F:$F, REGEXMATCH('OLT DOWN Tickets'!$AB:$AB, ""(?i)""&amp;TRIM(D187)), 'OLT DOWN Tickets'!$L:$L=""OLT UPLINK DOWN""), 1), """")"),"")</f>
        <v/>
      </c>
      <c r="M187" s="32" t="str">
        <f>IFERROR(__xludf.DUMMYFUNCTION("IFERROR(INDEX(FILTER('OLT DOWN Tickets'!$F:$F, REGEXMATCH('OLT DOWN Tickets'!$AB:$AB, ""(?i)""&amp;TRIM(D187)), 'OLT DOWN Tickets'!$L:$L=""OLT SERVICE DEGRADATION""), 1), """")
"),"")</f>
        <v/>
      </c>
      <c r="N187" s="6" t="b">
        <v>0</v>
      </c>
      <c r="O187" s="6" t="b">
        <v>0</v>
      </c>
      <c r="P187" s="6" t="b">
        <v>0</v>
      </c>
      <c r="Q187" s="6" t="b">
        <v>0</v>
      </c>
      <c r="R187" s="6"/>
      <c r="S187" s="6"/>
      <c r="T187" s="6"/>
      <c r="U187" s="6"/>
    </row>
    <row r="188">
      <c r="A188" s="19"/>
      <c r="B188" s="26" t="s">
        <v>152</v>
      </c>
      <c r="C188" s="26" t="s">
        <v>390</v>
      </c>
      <c r="D188" s="27" t="s">
        <v>391</v>
      </c>
      <c r="E188" s="6" t="b">
        <f t="shared" si="1"/>
        <v>1</v>
      </c>
      <c r="F188" s="6" t="b">
        <f>COUNTIFS('OLT DOWN Tickets'!$AB:$AB, "*" &amp; D188 &amp; "*", 'OLT DOWN Tickets'!$L:$L, "OLT DOWN") &gt; 0</f>
        <v>0</v>
      </c>
      <c r="G188" s="6" t="b">
        <f>COUNTIFS('OLT DOWN Tickets'!$AB:$AB, "*" &amp; D188 &amp; "*", 'OLT DOWN Tickets'!$L:$L, "OLT UPLINK LOW POWER") &gt; 0</f>
        <v>0</v>
      </c>
      <c r="H188" s="6" t="b">
        <f>COUNTIFS('OLT DOWN Tickets'!$AB:$AB, "*" &amp; D188 &amp; "*", 'OLT DOWN Tickets'!$L:$L, "OLT UPLINK DOWN") &gt; 0</f>
        <v>0</v>
      </c>
      <c r="I188" s="6" t="b">
        <f>COUNTIFS('OLT DOWN Tickets'!$AB:$AB, "*" &amp; D188 &amp; "*", 'OLT DOWN Tickets'!$L:$L, "OLT SERVICE DEGRADATION") &gt; 0</f>
        <v>0</v>
      </c>
      <c r="J188" s="32" t="str">
        <f>IFERROR(__xludf.DUMMYFUNCTION("IFERROR(INDEX(FILTER('OLT DOWN Tickets'!$F:$F, REGEXMATCH('OLT DOWN Tickets'!$AB:$AB, ""(?i)""&amp;TRIM(D188)), 'OLT DOWN Tickets'!$L:$L=""OLT DOWN""), 1), """")"),"")</f>
        <v/>
      </c>
      <c r="K188" s="32" t="str">
        <f>IFERROR(__xludf.DUMMYFUNCTION("IFERROR(INDEX(FILTER('OLT DOWN Tickets'!$F:$F, REGEXMATCH('OLT DOWN Tickets'!$AB:$AB, ""(?i)""&amp;TRIM(D188)), 'OLT DOWN Tickets'!$L:$L=""OLT UPLINK LOW POWER""), 1), """")"),"")</f>
        <v/>
      </c>
      <c r="L188" s="32" t="str">
        <f>IFERROR(__xludf.DUMMYFUNCTION("IFERROR(INDEX(FILTER('OLT DOWN Tickets'!$F:$F, REGEXMATCH('OLT DOWN Tickets'!$AB:$AB, ""(?i)""&amp;TRIM(D188)), 'OLT DOWN Tickets'!$L:$L=""OLT UPLINK DOWN""), 1), """")"),"")</f>
        <v/>
      </c>
      <c r="M188" s="32" t="str">
        <f>IFERROR(__xludf.DUMMYFUNCTION("IFERROR(INDEX(FILTER('OLT DOWN Tickets'!$F:$F, REGEXMATCH('OLT DOWN Tickets'!$AB:$AB, ""(?i)""&amp;TRIM(D188)), 'OLT DOWN Tickets'!$L:$L=""OLT SERVICE DEGRADATION""), 1), """")
"),"")</f>
        <v/>
      </c>
      <c r="N188" s="6" t="b">
        <v>0</v>
      </c>
      <c r="O188" s="6" t="b">
        <v>0</v>
      </c>
      <c r="P188" s="6" t="b">
        <v>0</v>
      </c>
      <c r="Q188" s="6" t="b">
        <v>0</v>
      </c>
      <c r="R188" s="6"/>
      <c r="S188" s="6"/>
      <c r="T188" s="6"/>
      <c r="U188" s="6"/>
    </row>
    <row r="189">
      <c r="A189" s="19"/>
      <c r="B189" s="26" t="s">
        <v>152</v>
      </c>
      <c r="C189" s="26" t="s">
        <v>392</v>
      </c>
      <c r="D189" s="27" t="s">
        <v>393</v>
      </c>
      <c r="E189" s="6" t="b">
        <f t="shared" si="1"/>
        <v>1</v>
      </c>
      <c r="F189" s="6" t="b">
        <f>COUNTIFS('OLT DOWN Tickets'!$AB:$AB, "*" &amp; D189 &amp; "*", 'OLT DOWN Tickets'!$L:$L, "OLT DOWN") &gt; 0</f>
        <v>0</v>
      </c>
      <c r="G189" s="6" t="b">
        <f>COUNTIFS('OLT DOWN Tickets'!$AB:$AB, "*" &amp; D189 &amp; "*", 'OLT DOWN Tickets'!$L:$L, "OLT UPLINK LOW POWER") &gt; 0</f>
        <v>0</v>
      </c>
      <c r="H189" s="6" t="b">
        <f>COUNTIFS('OLT DOWN Tickets'!$AB:$AB, "*" &amp; D189 &amp; "*", 'OLT DOWN Tickets'!$L:$L, "OLT UPLINK DOWN") &gt; 0</f>
        <v>0</v>
      </c>
      <c r="I189" s="6" t="b">
        <f>COUNTIFS('OLT DOWN Tickets'!$AB:$AB, "*" &amp; D189 &amp; "*", 'OLT DOWN Tickets'!$L:$L, "OLT SERVICE DEGRADATION") &gt; 0</f>
        <v>0</v>
      </c>
      <c r="J189" s="32" t="str">
        <f>IFERROR(__xludf.DUMMYFUNCTION("IFERROR(INDEX(FILTER('OLT DOWN Tickets'!$F:$F, REGEXMATCH('OLT DOWN Tickets'!$AB:$AB, ""(?i)""&amp;TRIM(D189)), 'OLT DOWN Tickets'!$L:$L=""OLT DOWN""), 1), """")"),"")</f>
        <v/>
      </c>
      <c r="K189" s="32" t="str">
        <f>IFERROR(__xludf.DUMMYFUNCTION("IFERROR(INDEX(FILTER('OLT DOWN Tickets'!$F:$F, REGEXMATCH('OLT DOWN Tickets'!$AB:$AB, ""(?i)""&amp;TRIM(D189)), 'OLT DOWN Tickets'!$L:$L=""OLT UPLINK LOW POWER""), 1), """")"),"")</f>
        <v/>
      </c>
      <c r="L189" s="32" t="str">
        <f>IFERROR(__xludf.DUMMYFUNCTION("IFERROR(INDEX(FILTER('OLT DOWN Tickets'!$F:$F, REGEXMATCH('OLT DOWN Tickets'!$AB:$AB, ""(?i)""&amp;TRIM(D189)), 'OLT DOWN Tickets'!$L:$L=""OLT UPLINK DOWN""), 1), """")"),"")</f>
        <v/>
      </c>
      <c r="M189" s="32" t="str">
        <f>IFERROR(__xludf.DUMMYFUNCTION("IFERROR(INDEX(FILTER('OLT DOWN Tickets'!$F:$F, REGEXMATCH('OLT DOWN Tickets'!$AB:$AB, ""(?i)""&amp;TRIM(D189)), 'OLT DOWN Tickets'!$L:$L=""OLT SERVICE DEGRADATION""), 1), """")
"),"")</f>
        <v/>
      </c>
      <c r="N189" s="6" t="b">
        <v>0</v>
      </c>
      <c r="O189" s="6" t="b">
        <v>0</v>
      </c>
      <c r="P189" s="6" t="b">
        <v>0</v>
      </c>
      <c r="Q189" s="6" t="b">
        <v>0</v>
      </c>
      <c r="R189" s="6"/>
      <c r="S189" s="6"/>
      <c r="T189" s="6"/>
      <c r="U189" s="6"/>
    </row>
    <row r="190">
      <c r="A190" s="19"/>
      <c r="B190" s="26" t="s">
        <v>152</v>
      </c>
      <c r="C190" s="26" t="s">
        <v>392</v>
      </c>
      <c r="D190" s="27" t="s">
        <v>394</v>
      </c>
      <c r="E190" s="6" t="b">
        <f t="shared" si="1"/>
        <v>1</v>
      </c>
      <c r="F190" s="6" t="b">
        <f>COUNTIFS('OLT DOWN Tickets'!$AB:$AB, "*" &amp; D190 &amp; "*", 'OLT DOWN Tickets'!$L:$L, "OLT DOWN") &gt; 0</f>
        <v>0</v>
      </c>
      <c r="G190" s="6" t="b">
        <f>COUNTIFS('OLT DOWN Tickets'!$AB:$AB, "*" &amp; D190 &amp; "*", 'OLT DOWN Tickets'!$L:$L, "OLT UPLINK LOW POWER") &gt; 0</f>
        <v>0</v>
      </c>
      <c r="H190" s="6" t="b">
        <f>COUNTIFS('OLT DOWN Tickets'!$AB:$AB, "*" &amp; D190 &amp; "*", 'OLT DOWN Tickets'!$L:$L, "OLT UPLINK DOWN") &gt; 0</f>
        <v>0</v>
      </c>
      <c r="I190" s="6" t="b">
        <f>COUNTIFS('OLT DOWN Tickets'!$AB:$AB, "*" &amp; D190 &amp; "*", 'OLT DOWN Tickets'!$L:$L, "OLT SERVICE DEGRADATION") &gt; 0</f>
        <v>0</v>
      </c>
      <c r="J190" s="32" t="str">
        <f>IFERROR(__xludf.DUMMYFUNCTION("IFERROR(INDEX(FILTER('OLT DOWN Tickets'!$F:$F, REGEXMATCH('OLT DOWN Tickets'!$AB:$AB, ""(?i)""&amp;TRIM(D190)), 'OLT DOWN Tickets'!$L:$L=""OLT DOWN""), 1), """")"),"")</f>
        <v/>
      </c>
      <c r="K190" s="32" t="str">
        <f>IFERROR(__xludf.DUMMYFUNCTION("IFERROR(INDEX(FILTER('OLT DOWN Tickets'!$F:$F, REGEXMATCH('OLT DOWN Tickets'!$AB:$AB, ""(?i)""&amp;TRIM(D190)), 'OLT DOWN Tickets'!$L:$L=""OLT UPLINK LOW POWER""), 1), """")"),"")</f>
        <v/>
      </c>
      <c r="L190" s="32" t="str">
        <f>IFERROR(__xludf.DUMMYFUNCTION("IFERROR(INDEX(FILTER('OLT DOWN Tickets'!$F:$F, REGEXMATCH('OLT DOWN Tickets'!$AB:$AB, ""(?i)""&amp;TRIM(D190)), 'OLT DOWN Tickets'!$L:$L=""OLT UPLINK DOWN""), 1), """")"),"")</f>
        <v/>
      </c>
      <c r="M190" s="32" t="str">
        <f>IFERROR(__xludf.DUMMYFUNCTION("IFERROR(INDEX(FILTER('OLT DOWN Tickets'!$F:$F, REGEXMATCH('OLT DOWN Tickets'!$AB:$AB, ""(?i)""&amp;TRIM(D190)), 'OLT DOWN Tickets'!$L:$L=""OLT SERVICE DEGRADATION""), 1), """")
"),"")</f>
        <v/>
      </c>
      <c r="N190" s="6" t="b">
        <v>0</v>
      </c>
      <c r="O190" s="6" t="b">
        <v>0</v>
      </c>
      <c r="P190" s="6" t="b">
        <v>0</v>
      </c>
      <c r="Q190" s="6" t="b">
        <v>0</v>
      </c>
      <c r="R190" s="6"/>
      <c r="S190" s="6"/>
      <c r="T190" s="6"/>
      <c r="U190" s="6"/>
    </row>
    <row r="191">
      <c r="A191" s="19"/>
      <c r="B191" s="26" t="s">
        <v>152</v>
      </c>
      <c r="C191" s="26" t="s">
        <v>395</v>
      </c>
      <c r="D191" s="27" t="s">
        <v>396</v>
      </c>
      <c r="E191" s="6" t="b">
        <f t="shared" si="1"/>
        <v>1</v>
      </c>
      <c r="F191" s="6" t="b">
        <f>COUNTIFS('OLT DOWN Tickets'!$AB:$AB, "*" &amp; D191 &amp; "*", 'OLT DOWN Tickets'!$L:$L, "OLT DOWN") &gt; 0</f>
        <v>0</v>
      </c>
      <c r="G191" s="6" t="b">
        <f>COUNTIFS('OLT DOWN Tickets'!$AB:$AB, "*" &amp; D191 &amp; "*", 'OLT DOWN Tickets'!$L:$L, "OLT UPLINK LOW POWER") &gt; 0</f>
        <v>0</v>
      </c>
      <c r="H191" s="6" t="b">
        <f>COUNTIFS('OLT DOWN Tickets'!$AB:$AB, "*" &amp; D191 &amp; "*", 'OLT DOWN Tickets'!$L:$L, "OLT UPLINK DOWN") &gt; 0</f>
        <v>0</v>
      </c>
      <c r="I191" s="6" t="b">
        <f>COUNTIFS('OLT DOWN Tickets'!$AB:$AB, "*" &amp; D191 &amp; "*", 'OLT DOWN Tickets'!$L:$L, "OLT SERVICE DEGRADATION") &gt; 0</f>
        <v>0</v>
      </c>
      <c r="J191" s="32" t="str">
        <f>IFERROR(__xludf.DUMMYFUNCTION("IFERROR(INDEX(FILTER('OLT DOWN Tickets'!$F:$F, REGEXMATCH('OLT DOWN Tickets'!$AB:$AB, ""(?i)""&amp;TRIM(D191)), 'OLT DOWN Tickets'!$L:$L=""OLT DOWN""), 1), """")"),"")</f>
        <v/>
      </c>
      <c r="K191" s="32" t="str">
        <f>IFERROR(__xludf.DUMMYFUNCTION("IFERROR(INDEX(FILTER('OLT DOWN Tickets'!$F:$F, REGEXMATCH('OLT DOWN Tickets'!$AB:$AB, ""(?i)""&amp;TRIM(D191)), 'OLT DOWN Tickets'!$L:$L=""OLT UPLINK LOW POWER""), 1), """")"),"")</f>
        <v/>
      </c>
      <c r="L191" s="32" t="str">
        <f>IFERROR(__xludf.DUMMYFUNCTION("IFERROR(INDEX(FILTER('OLT DOWN Tickets'!$F:$F, REGEXMATCH('OLT DOWN Tickets'!$AB:$AB, ""(?i)""&amp;TRIM(D191)), 'OLT DOWN Tickets'!$L:$L=""OLT UPLINK DOWN""), 1), """")"),"")</f>
        <v/>
      </c>
      <c r="M191" s="32" t="str">
        <f>IFERROR(__xludf.DUMMYFUNCTION("IFERROR(INDEX(FILTER('OLT DOWN Tickets'!$F:$F, REGEXMATCH('OLT DOWN Tickets'!$AB:$AB, ""(?i)""&amp;TRIM(D191)), 'OLT DOWN Tickets'!$L:$L=""OLT SERVICE DEGRADATION""), 1), """")
"),"")</f>
        <v/>
      </c>
      <c r="N191" s="6" t="b">
        <v>0</v>
      </c>
      <c r="O191" s="6" t="b">
        <v>0</v>
      </c>
      <c r="P191" s="6" t="b">
        <v>0</v>
      </c>
      <c r="Q191" s="6" t="b">
        <v>0</v>
      </c>
      <c r="R191" s="6"/>
      <c r="S191" s="6"/>
      <c r="T191" s="6"/>
      <c r="U191" s="6"/>
    </row>
    <row r="192">
      <c r="A192" s="19"/>
      <c r="B192" s="26" t="s">
        <v>152</v>
      </c>
      <c r="C192" s="26" t="s">
        <v>397</v>
      </c>
      <c r="D192" s="27" t="s">
        <v>398</v>
      </c>
      <c r="E192" s="6" t="b">
        <f t="shared" si="1"/>
        <v>1</v>
      </c>
      <c r="F192" s="6" t="b">
        <f>COUNTIFS('OLT DOWN Tickets'!$AB:$AB, "*" &amp; D192 &amp; "*", 'OLT DOWN Tickets'!$L:$L, "OLT DOWN") &gt; 0</f>
        <v>0</v>
      </c>
      <c r="G192" s="6" t="b">
        <f>COUNTIFS('OLT DOWN Tickets'!$AB:$AB, "*" &amp; D192 &amp; "*", 'OLT DOWN Tickets'!$L:$L, "OLT UPLINK LOW POWER") &gt; 0</f>
        <v>0</v>
      </c>
      <c r="H192" s="6" t="b">
        <f>COUNTIFS('OLT DOWN Tickets'!$AB:$AB, "*" &amp; D192 &amp; "*", 'OLT DOWN Tickets'!$L:$L, "OLT UPLINK DOWN") &gt; 0</f>
        <v>0</v>
      </c>
      <c r="I192" s="6" t="b">
        <f>COUNTIFS('OLT DOWN Tickets'!$AB:$AB, "*" &amp; D192 &amp; "*", 'OLT DOWN Tickets'!$L:$L, "OLT SERVICE DEGRADATION") &gt; 0</f>
        <v>0</v>
      </c>
      <c r="J192" s="32" t="str">
        <f>IFERROR(__xludf.DUMMYFUNCTION("IFERROR(INDEX(FILTER('OLT DOWN Tickets'!$F:$F, REGEXMATCH('OLT DOWN Tickets'!$AB:$AB, ""(?i)""&amp;TRIM(D192)), 'OLT DOWN Tickets'!$L:$L=""OLT DOWN""), 1), """")"),"")</f>
        <v/>
      </c>
      <c r="K192" s="32" t="str">
        <f>IFERROR(__xludf.DUMMYFUNCTION("IFERROR(INDEX(FILTER('OLT DOWN Tickets'!$F:$F, REGEXMATCH('OLT DOWN Tickets'!$AB:$AB, ""(?i)""&amp;TRIM(D192)), 'OLT DOWN Tickets'!$L:$L=""OLT UPLINK LOW POWER""), 1), """")"),"")</f>
        <v/>
      </c>
      <c r="L192" s="32" t="str">
        <f>IFERROR(__xludf.DUMMYFUNCTION("IFERROR(INDEX(FILTER('OLT DOWN Tickets'!$F:$F, REGEXMATCH('OLT DOWN Tickets'!$AB:$AB, ""(?i)""&amp;TRIM(D192)), 'OLT DOWN Tickets'!$L:$L=""OLT UPLINK DOWN""), 1), """")"),"")</f>
        <v/>
      </c>
      <c r="M192" s="32" t="str">
        <f>IFERROR(__xludf.DUMMYFUNCTION("IFERROR(INDEX(FILTER('OLT DOWN Tickets'!$F:$F, REGEXMATCH('OLT DOWN Tickets'!$AB:$AB, ""(?i)""&amp;TRIM(D192)), 'OLT DOWN Tickets'!$L:$L=""OLT SERVICE DEGRADATION""), 1), """")
"),"")</f>
        <v/>
      </c>
      <c r="N192" s="6" t="b">
        <v>0</v>
      </c>
      <c r="O192" s="6" t="b">
        <v>0</v>
      </c>
      <c r="P192" s="6" t="b">
        <v>0</v>
      </c>
      <c r="Q192" s="6" t="b">
        <v>0</v>
      </c>
      <c r="R192" s="6"/>
      <c r="S192" s="6"/>
      <c r="T192" s="6"/>
      <c r="U192" s="6"/>
    </row>
    <row r="193">
      <c r="A193" s="19"/>
      <c r="B193" s="26" t="s">
        <v>152</v>
      </c>
      <c r="C193" s="26" t="s">
        <v>397</v>
      </c>
      <c r="D193" s="27" t="s">
        <v>399</v>
      </c>
      <c r="E193" s="6" t="b">
        <f t="shared" si="1"/>
        <v>1</v>
      </c>
      <c r="F193" s="6" t="b">
        <f>COUNTIFS('OLT DOWN Tickets'!$AB:$AB, "*" &amp; D193 &amp; "*", 'OLT DOWN Tickets'!$L:$L, "OLT DOWN") &gt; 0</f>
        <v>0</v>
      </c>
      <c r="G193" s="6" t="b">
        <f>COUNTIFS('OLT DOWN Tickets'!$AB:$AB, "*" &amp; D193 &amp; "*", 'OLT DOWN Tickets'!$L:$L, "OLT UPLINK LOW POWER") &gt; 0</f>
        <v>0</v>
      </c>
      <c r="H193" s="6" t="b">
        <f>COUNTIFS('OLT DOWN Tickets'!$AB:$AB, "*" &amp; D193 &amp; "*", 'OLT DOWN Tickets'!$L:$L, "OLT UPLINK DOWN") &gt; 0</f>
        <v>0</v>
      </c>
      <c r="I193" s="6" t="b">
        <f>COUNTIFS('OLT DOWN Tickets'!$AB:$AB, "*" &amp; D193 &amp; "*", 'OLT DOWN Tickets'!$L:$L, "OLT SERVICE DEGRADATION") &gt; 0</f>
        <v>0</v>
      </c>
      <c r="J193" s="32" t="str">
        <f>IFERROR(__xludf.DUMMYFUNCTION("IFERROR(INDEX(FILTER('OLT DOWN Tickets'!$F:$F, REGEXMATCH('OLT DOWN Tickets'!$AB:$AB, ""(?i)""&amp;TRIM(D193)), 'OLT DOWN Tickets'!$L:$L=""OLT DOWN""), 1), """")"),"")</f>
        <v/>
      </c>
      <c r="K193" s="32" t="str">
        <f>IFERROR(__xludf.DUMMYFUNCTION("IFERROR(INDEX(FILTER('OLT DOWN Tickets'!$F:$F, REGEXMATCH('OLT DOWN Tickets'!$AB:$AB, ""(?i)""&amp;TRIM(D193)), 'OLT DOWN Tickets'!$L:$L=""OLT UPLINK LOW POWER""), 1), """")"),"")</f>
        <v/>
      </c>
      <c r="L193" s="32" t="str">
        <f>IFERROR(__xludf.DUMMYFUNCTION("IFERROR(INDEX(FILTER('OLT DOWN Tickets'!$F:$F, REGEXMATCH('OLT DOWN Tickets'!$AB:$AB, ""(?i)""&amp;TRIM(D193)), 'OLT DOWN Tickets'!$L:$L=""OLT UPLINK DOWN""), 1), """")"),"")</f>
        <v/>
      </c>
      <c r="M193" s="32" t="str">
        <f>IFERROR(__xludf.DUMMYFUNCTION("IFERROR(INDEX(FILTER('OLT DOWN Tickets'!$F:$F, REGEXMATCH('OLT DOWN Tickets'!$AB:$AB, ""(?i)""&amp;TRIM(D193)), 'OLT DOWN Tickets'!$L:$L=""OLT SERVICE DEGRADATION""), 1), """")
"),"")</f>
        <v/>
      </c>
      <c r="N193" s="6" t="b">
        <v>0</v>
      </c>
      <c r="O193" s="6" t="b">
        <v>0</v>
      </c>
      <c r="P193" s="6" t="b">
        <v>0</v>
      </c>
      <c r="Q193" s="6" t="b">
        <v>0</v>
      </c>
      <c r="R193" s="6"/>
      <c r="S193" s="6"/>
      <c r="T193" s="6"/>
      <c r="U193" s="6"/>
    </row>
    <row r="194">
      <c r="A194" s="19"/>
      <c r="B194" s="26" t="s">
        <v>152</v>
      </c>
      <c r="C194" s="26" t="s">
        <v>397</v>
      </c>
      <c r="D194" s="27" t="s">
        <v>400</v>
      </c>
      <c r="E194" s="6" t="b">
        <f t="shared" si="1"/>
        <v>1</v>
      </c>
      <c r="F194" s="6" t="b">
        <f>COUNTIFS('OLT DOWN Tickets'!$AB:$AB, "*" &amp; D194 &amp; "*", 'OLT DOWN Tickets'!$L:$L, "OLT DOWN") &gt; 0</f>
        <v>0</v>
      </c>
      <c r="G194" s="6" t="b">
        <f>COUNTIFS('OLT DOWN Tickets'!$AB:$AB, "*" &amp; D194 &amp; "*", 'OLT DOWN Tickets'!$L:$L, "OLT UPLINK LOW POWER") &gt; 0</f>
        <v>0</v>
      </c>
      <c r="H194" s="6" t="b">
        <f>COUNTIFS('OLT DOWN Tickets'!$AB:$AB, "*" &amp; D194 &amp; "*", 'OLT DOWN Tickets'!$L:$L, "OLT UPLINK DOWN") &gt; 0</f>
        <v>0</v>
      </c>
      <c r="I194" s="6" t="b">
        <f>COUNTIFS('OLT DOWN Tickets'!$AB:$AB, "*" &amp; D194 &amp; "*", 'OLT DOWN Tickets'!$L:$L, "OLT SERVICE DEGRADATION") &gt; 0</f>
        <v>0</v>
      </c>
      <c r="J194" s="32" t="str">
        <f>IFERROR(__xludf.DUMMYFUNCTION("IFERROR(INDEX(FILTER('OLT DOWN Tickets'!$F:$F, REGEXMATCH('OLT DOWN Tickets'!$AB:$AB, ""(?i)""&amp;TRIM(D194)), 'OLT DOWN Tickets'!$L:$L=""OLT DOWN""), 1), """")"),"")</f>
        <v/>
      </c>
      <c r="K194" s="32" t="str">
        <f>IFERROR(__xludf.DUMMYFUNCTION("IFERROR(INDEX(FILTER('OLT DOWN Tickets'!$F:$F, REGEXMATCH('OLT DOWN Tickets'!$AB:$AB, ""(?i)""&amp;TRIM(D194)), 'OLT DOWN Tickets'!$L:$L=""OLT UPLINK LOW POWER""), 1), """")"),"")</f>
        <v/>
      </c>
      <c r="L194" s="32" t="str">
        <f>IFERROR(__xludf.DUMMYFUNCTION("IFERROR(INDEX(FILTER('OLT DOWN Tickets'!$F:$F, REGEXMATCH('OLT DOWN Tickets'!$AB:$AB, ""(?i)""&amp;TRIM(D194)), 'OLT DOWN Tickets'!$L:$L=""OLT UPLINK DOWN""), 1), """")"),"")</f>
        <v/>
      </c>
      <c r="M194" s="32" t="str">
        <f>IFERROR(__xludf.DUMMYFUNCTION("IFERROR(INDEX(FILTER('OLT DOWN Tickets'!$F:$F, REGEXMATCH('OLT DOWN Tickets'!$AB:$AB, ""(?i)""&amp;TRIM(D194)), 'OLT DOWN Tickets'!$L:$L=""OLT SERVICE DEGRADATION""), 1), """")
"),"")</f>
        <v/>
      </c>
      <c r="N194" s="6" t="b">
        <v>0</v>
      </c>
      <c r="O194" s="6" t="b">
        <v>0</v>
      </c>
      <c r="P194" s="6" t="b">
        <v>0</v>
      </c>
      <c r="Q194" s="6" t="b">
        <v>0</v>
      </c>
      <c r="R194" s="6"/>
      <c r="S194" s="6"/>
      <c r="T194" s="6"/>
      <c r="U194" s="6"/>
    </row>
    <row r="195">
      <c r="A195" s="19"/>
      <c r="B195" s="26" t="s">
        <v>152</v>
      </c>
      <c r="C195" s="26" t="s">
        <v>401</v>
      </c>
      <c r="D195" s="27" t="s">
        <v>402</v>
      </c>
      <c r="E195" s="6" t="b">
        <f t="shared" si="1"/>
        <v>1</v>
      </c>
      <c r="F195" s="6" t="b">
        <f>COUNTIFS('OLT DOWN Tickets'!$AB:$AB, "*" &amp; D195 &amp; "*", 'OLT DOWN Tickets'!$L:$L, "OLT DOWN") &gt; 0</f>
        <v>0</v>
      </c>
      <c r="G195" s="6" t="b">
        <f>COUNTIFS('OLT DOWN Tickets'!$AB:$AB, "*" &amp; D195 &amp; "*", 'OLT DOWN Tickets'!$L:$L, "OLT UPLINK LOW POWER") &gt; 0</f>
        <v>0</v>
      </c>
      <c r="H195" s="6" t="b">
        <f>COUNTIFS('OLT DOWN Tickets'!$AB:$AB, "*" &amp; D195 &amp; "*", 'OLT DOWN Tickets'!$L:$L, "OLT UPLINK DOWN") &gt; 0</f>
        <v>0</v>
      </c>
      <c r="I195" s="6" t="b">
        <f>COUNTIFS('OLT DOWN Tickets'!$AB:$AB, "*" &amp; D195 &amp; "*", 'OLT DOWN Tickets'!$L:$L, "OLT SERVICE DEGRADATION") &gt; 0</f>
        <v>0</v>
      </c>
      <c r="J195" s="32" t="str">
        <f>IFERROR(__xludf.DUMMYFUNCTION("IFERROR(INDEX(FILTER('OLT DOWN Tickets'!$F:$F, REGEXMATCH('OLT DOWN Tickets'!$AB:$AB, ""(?i)""&amp;TRIM(D195)), 'OLT DOWN Tickets'!$L:$L=""OLT DOWN""), 1), """")"),"")</f>
        <v/>
      </c>
      <c r="K195" s="32" t="str">
        <f>IFERROR(__xludf.DUMMYFUNCTION("IFERROR(INDEX(FILTER('OLT DOWN Tickets'!$F:$F, REGEXMATCH('OLT DOWN Tickets'!$AB:$AB, ""(?i)""&amp;TRIM(D195)), 'OLT DOWN Tickets'!$L:$L=""OLT UPLINK LOW POWER""), 1), """")"),"")</f>
        <v/>
      </c>
      <c r="L195" s="32" t="str">
        <f>IFERROR(__xludf.DUMMYFUNCTION("IFERROR(INDEX(FILTER('OLT DOWN Tickets'!$F:$F, REGEXMATCH('OLT DOWN Tickets'!$AB:$AB, ""(?i)""&amp;TRIM(D195)), 'OLT DOWN Tickets'!$L:$L=""OLT UPLINK DOWN""), 1), """")"),"")</f>
        <v/>
      </c>
      <c r="M195" s="32" t="str">
        <f>IFERROR(__xludf.DUMMYFUNCTION("IFERROR(INDEX(FILTER('OLT DOWN Tickets'!$F:$F, REGEXMATCH('OLT DOWN Tickets'!$AB:$AB, ""(?i)""&amp;TRIM(D195)), 'OLT DOWN Tickets'!$L:$L=""OLT SERVICE DEGRADATION""), 1), """")
"),"")</f>
        <v/>
      </c>
      <c r="N195" s="6" t="b">
        <v>0</v>
      </c>
      <c r="O195" s="6" t="b">
        <v>0</v>
      </c>
      <c r="P195" s="6" t="b">
        <v>0</v>
      </c>
      <c r="Q195" s="6" t="b">
        <v>0</v>
      </c>
      <c r="R195" s="6"/>
      <c r="S195" s="6"/>
      <c r="T195" s="6"/>
      <c r="U195" s="6"/>
    </row>
    <row r="196">
      <c r="A196" s="19"/>
      <c r="B196" s="26" t="s">
        <v>152</v>
      </c>
      <c r="C196" s="26" t="s">
        <v>401</v>
      </c>
      <c r="D196" s="27" t="s">
        <v>403</v>
      </c>
      <c r="E196" s="6" t="b">
        <f t="shared" si="1"/>
        <v>1</v>
      </c>
      <c r="F196" s="6" t="b">
        <f>COUNTIFS('OLT DOWN Tickets'!$AB:$AB, "*" &amp; D196 &amp; "*", 'OLT DOWN Tickets'!$L:$L, "OLT DOWN") &gt; 0</f>
        <v>0</v>
      </c>
      <c r="G196" s="6" t="b">
        <f>COUNTIFS('OLT DOWN Tickets'!$AB:$AB, "*" &amp; D196 &amp; "*", 'OLT DOWN Tickets'!$L:$L, "OLT UPLINK LOW POWER") &gt; 0</f>
        <v>0</v>
      </c>
      <c r="H196" s="6" t="b">
        <f>COUNTIFS('OLT DOWN Tickets'!$AB:$AB, "*" &amp; D196 &amp; "*", 'OLT DOWN Tickets'!$L:$L, "OLT UPLINK DOWN") &gt; 0</f>
        <v>0</v>
      </c>
      <c r="I196" s="6" t="b">
        <f>COUNTIFS('OLT DOWN Tickets'!$AB:$AB, "*" &amp; D196 &amp; "*", 'OLT DOWN Tickets'!$L:$L, "OLT SERVICE DEGRADATION") &gt; 0</f>
        <v>0</v>
      </c>
      <c r="J196" s="32" t="str">
        <f>IFERROR(__xludf.DUMMYFUNCTION("IFERROR(INDEX(FILTER('OLT DOWN Tickets'!$F:$F, REGEXMATCH('OLT DOWN Tickets'!$AB:$AB, ""(?i)""&amp;TRIM(D196)), 'OLT DOWN Tickets'!$L:$L=""OLT DOWN""), 1), """")"),"")</f>
        <v/>
      </c>
      <c r="K196" s="32" t="str">
        <f>IFERROR(__xludf.DUMMYFUNCTION("IFERROR(INDEX(FILTER('OLT DOWN Tickets'!$F:$F, REGEXMATCH('OLT DOWN Tickets'!$AB:$AB, ""(?i)""&amp;TRIM(D196)), 'OLT DOWN Tickets'!$L:$L=""OLT UPLINK LOW POWER""), 1), """")"),"")</f>
        <v/>
      </c>
      <c r="L196" s="32" t="str">
        <f>IFERROR(__xludf.DUMMYFUNCTION("IFERROR(INDEX(FILTER('OLT DOWN Tickets'!$F:$F, REGEXMATCH('OLT DOWN Tickets'!$AB:$AB, ""(?i)""&amp;TRIM(D196)), 'OLT DOWN Tickets'!$L:$L=""OLT UPLINK DOWN""), 1), """")"),"")</f>
        <v/>
      </c>
      <c r="M196" s="32" t="str">
        <f>IFERROR(__xludf.DUMMYFUNCTION("IFERROR(INDEX(FILTER('OLT DOWN Tickets'!$F:$F, REGEXMATCH('OLT DOWN Tickets'!$AB:$AB, ""(?i)""&amp;TRIM(D196)), 'OLT DOWN Tickets'!$L:$L=""OLT SERVICE DEGRADATION""), 1), """")
"),"")</f>
        <v/>
      </c>
      <c r="N196" s="6" t="b">
        <v>0</v>
      </c>
      <c r="O196" s="6" t="b">
        <v>0</v>
      </c>
      <c r="P196" s="6" t="b">
        <v>0</v>
      </c>
      <c r="Q196" s="6" t="b">
        <v>0</v>
      </c>
      <c r="R196" s="6"/>
      <c r="S196" s="6"/>
      <c r="T196" s="6"/>
      <c r="U196" s="6"/>
    </row>
    <row r="197">
      <c r="A197" s="19"/>
      <c r="B197" s="26" t="s">
        <v>152</v>
      </c>
      <c r="C197" s="26" t="s">
        <v>401</v>
      </c>
      <c r="D197" s="27" t="s">
        <v>404</v>
      </c>
      <c r="E197" s="6" t="b">
        <f t="shared" si="1"/>
        <v>1</v>
      </c>
      <c r="F197" s="6" t="b">
        <f>COUNTIFS('OLT DOWN Tickets'!$AB:$AB, "*" &amp; D197 &amp; "*", 'OLT DOWN Tickets'!$L:$L, "OLT DOWN") &gt; 0</f>
        <v>0</v>
      </c>
      <c r="G197" s="6" t="b">
        <f>COUNTIFS('OLT DOWN Tickets'!$AB:$AB, "*" &amp; D197 &amp; "*", 'OLT DOWN Tickets'!$L:$L, "OLT UPLINK LOW POWER") &gt; 0</f>
        <v>0</v>
      </c>
      <c r="H197" s="6" t="b">
        <f>COUNTIFS('OLT DOWN Tickets'!$AB:$AB, "*" &amp; D197 &amp; "*", 'OLT DOWN Tickets'!$L:$L, "OLT UPLINK DOWN") &gt; 0</f>
        <v>0</v>
      </c>
      <c r="I197" s="6" t="b">
        <f>COUNTIFS('OLT DOWN Tickets'!$AB:$AB, "*" &amp; D197 &amp; "*", 'OLT DOWN Tickets'!$L:$L, "OLT SERVICE DEGRADATION") &gt; 0</f>
        <v>0</v>
      </c>
      <c r="J197" s="32" t="str">
        <f>IFERROR(__xludf.DUMMYFUNCTION("IFERROR(INDEX(FILTER('OLT DOWN Tickets'!$F:$F, REGEXMATCH('OLT DOWN Tickets'!$AB:$AB, ""(?i)""&amp;TRIM(D197)), 'OLT DOWN Tickets'!$L:$L=""OLT DOWN""), 1), """")"),"")</f>
        <v/>
      </c>
      <c r="K197" s="32" t="str">
        <f>IFERROR(__xludf.DUMMYFUNCTION("IFERROR(INDEX(FILTER('OLT DOWN Tickets'!$F:$F, REGEXMATCH('OLT DOWN Tickets'!$AB:$AB, ""(?i)""&amp;TRIM(D197)), 'OLT DOWN Tickets'!$L:$L=""OLT UPLINK LOW POWER""), 1), """")"),"")</f>
        <v/>
      </c>
      <c r="L197" s="32" t="str">
        <f>IFERROR(__xludf.DUMMYFUNCTION("IFERROR(INDEX(FILTER('OLT DOWN Tickets'!$F:$F, REGEXMATCH('OLT DOWN Tickets'!$AB:$AB, ""(?i)""&amp;TRIM(D197)), 'OLT DOWN Tickets'!$L:$L=""OLT UPLINK DOWN""), 1), """")"),"")</f>
        <v/>
      </c>
      <c r="M197" s="32" t="str">
        <f>IFERROR(__xludf.DUMMYFUNCTION("IFERROR(INDEX(FILTER('OLT DOWN Tickets'!$F:$F, REGEXMATCH('OLT DOWN Tickets'!$AB:$AB, ""(?i)""&amp;TRIM(D197)), 'OLT DOWN Tickets'!$L:$L=""OLT SERVICE DEGRADATION""), 1), """")
"),"")</f>
        <v/>
      </c>
      <c r="N197" s="6" t="b">
        <v>0</v>
      </c>
      <c r="O197" s="6" t="b">
        <v>0</v>
      </c>
      <c r="P197" s="6" t="b">
        <v>0</v>
      </c>
      <c r="Q197" s="6" t="b">
        <v>0</v>
      </c>
      <c r="R197" s="6"/>
      <c r="S197" s="6"/>
      <c r="T197" s="6"/>
      <c r="U197" s="6"/>
    </row>
    <row r="198">
      <c r="A198" s="19"/>
      <c r="B198" s="26" t="s">
        <v>152</v>
      </c>
      <c r="C198" s="26" t="s">
        <v>405</v>
      </c>
      <c r="D198" s="27" t="s">
        <v>406</v>
      </c>
      <c r="E198" s="6" t="b">
        <f t="shared" si="1"/>
        <v>1</v>
      </c>
      <c r="F198" s="6" t="b">
        <f>COUNTIFS('OLT DOWN Tickets'!$AB:$AB, "*" &amp; D198 &amp; "*", 'OLT DOWN Tickets'!$L:$L, "OLT DOWN") &gt; 0</f>
        <v>0</v>
      </c>
      <c r="G198" s="6" t="b">
        <f>COUNTIFS('OLT DOWN Tickets'!$AB:$AB, "*" &amp; D198 &amp; "*", 'OLT DOWN Tickets'!$L:$L, "OLT UPLINK LOW POWER") &gt; 0</f>
        <v>0</v>
      </c>
      <c r="H198" s="6" t="b">
        <f>COUNTIFS('OLT DOWN Tickets'!$AB:$AB, "*" &amp; D198 &amp; "*", 'OLT DOWN Tickets'!$L:$L, "OLT UPLINK DOWN") &gt; 0</f>
        <v>0</v>
      </c>
      <c r="I198" s="6" t="b">
        <f>COUNTIFS('OLT DOWN Tickets'!$AB:$AB, "*" &amp; D198 &amp; "*", 'OLT DOWN Tickets'!$L:$L, "OLT SERVICE DEGRADATION") &gt; 0</f>
        <v>0</v>
      </c>
      <c r="J198" s="32" t="str">
        <f>IFERROR(__xludf.DUMMYFUNCTION("IFERROR(INDEX(FILTER('OLT DOWN Tickets'!$F:$F, REGEXMATCH('OLT DOWN Tickets'!$AB:$AB, ""(?i)""&amp;TRIM(D198)), 'OLT DOWN Tickets'!$L:$L=""OLT DOWN""), 1), """")"),"")</f>
        <v/>
      </c>
      <c r="K198" s="32" t="str">
        <f>IFERROR(__xludf.DUMMYFUNCTION("IFERROR(INDEX(FILTER('OLT DOWN Tickets'!$F:$F, REGEXMATCH('OLT DOWN Tickets'!$AB:$AB, ""(?i)""&amp;TRIM(D198)), 'OLT DOWN Tickets'!$L:$L=""OLT UPLINK LOW POWER""), 1), """")"),"")</f>
        <v/>
      </c>
      <c r="L198" s="32" t="str">
        <f>IFERROR(__xludf.DUMMYFUNCTION("IFERROR(INDEX(FILTER('OLT DOWN Tickets'!$F:$F, REGEXMATCH('OLT DOWN Tickets'!$AB:$AB, ""(?i)""&amp;TRIM(D198)), 'OLT DOWN Tickets'!$L:$L=""OLT UPLINK DOWN""), 1), """")"),"")</f>
        <v/>
      </c>
      <c r="M198" s="32" t="str">
        <f>IFERROR(__xludf.DUMMYFUNCTION("IFERROR(INDEX(FILTER('OLT DOWN Tickets'!$F:$F, REGEXMATCH('OLT DOWN Tickets'!$AB:$AB, ""(?i)""&amp;TRIM(D198)), 'OLT DOWN Tickets'!$L:$L=""OLT SERVICE DEGRADATION""), 1), """")
"),"")</f>
        <v/>
      </c>
      <c r="N198" s="6" t="b">
        <v>0</v>
      </c>
      <c r="O198" s="6" t="b">
        <v>0</v>
      </c>
      <c r="P198" s="6" t="b">
        <v>0</v>
      </c>
      <c r="Q198" s="6" t="b">
        <v>0</v>
      </c>
      <c r="R198" s="6"/>
      <c r="S198" s="6"/>
      <c r="T198" s="6"/>
      <c r="U198" s="6"/>
    </row>
    <row r="199">
      <c r="A199" s="19"/>
      <c r="B199" s="26" t="s">
        <v>152</v>
      </c>
      <c r="C199" s="26" t="s">
        <v>405</v>
      </c>
      <c r="D199" s="27" t="s">
        <v>407</v>
      </c>
      <c r="E199" s="6" t="b">
        <f t="shared" si="1"/>
        <v>1</v>
      </c>
      <c r="F199" s="6" t="b">
        <f>COUNTIFS('OLT DOWN Tickets'!$AB:$AB, "*" &amp; D199 &amp; "*", 'OLT DOWN Tickets'!$L:$L, "OLT DOWN") &gt; 0</f>
        <v>0</v>
      </c>
      <c r="G199" s="6" t="b">
        <f>COUNTIFS('OLT DOWN Tickets'!$AB:$AB, "*" &amp; D199 &amp; "*", 'OLT DOWN Tickets'!$L:$L, "OLT UPLINK LOW POWER") &gt; 0</f>
        <v>0</v>
      </c>
      <c r="H199" s="6" t="b">
        <f>COUNTIFS('OLT DOWN Tickets'!$AB:$AB, "*" &amp; D199 &amp; "*", 'OLT DOWN Tickets'!$L:$L, "OLT UPLINK DOWN") &gt; 0</f>
        <v>0</v>
      </c>
      <c r="I199" s="6" t="b">
        <f>COUNTIFS('OLT DOWN Tickets'!$AB:$AB, "*" &amp; D199 &amp; "*", 'OLT DOWN Tickets'!$L:$L, "OLT SERVICE DEGRADATION") &gt; 0</f>
        <v>0</v>
      </c>
      <c r="J199" s="32" t="str">
        <f>IFERROR(__xludf.DUMMYFUNCTION("IFERROR(INDEX(FILTER('OLT DOWN Tickets'!$F:$F, REGEXMATCH('OLT DOWN Tickets'!$AB:$AB, ""(?i)""&amp;TRIM(D199)), 'OLT DOWN Tickets'!$L:$L=""OLT DOWN""), 1), """")"),"")</f>
        <v/>
      </c>
      <c r="K199" s="32" t="str">
        <f>IFERROR(__xludf.DUMMYFUNCTION("IFERROR(INDEX(FILTER('OLT DOWN Tickets'!$F:$F, REGEXMATCH('OLT DOWN Tickets'!$AB:$AB, ""(?i)""&amp;TRIM(D199)), 'OLT DOWN Tickets'!$L:$L=""OLT UPLINK LOW POWER""), 1), """")"),"")</f>
        <v/>
      </c>
      <c r="L199" s="32" t="str">
        <f>IFERROR(__xludf.DUMMYFUNCTION("IFERROR(INDEX(FILTER('OLT DOWN Tickets'!$F:$F, REGEXMATCH('OLT DOWN Tickets'!$AB:$AB, ""(?i)""&amp;TRIM(D199)), 'OLT DOWN Tickets'!$L:$L=""OLT UPLINK DOWN""), 1), """")"),"")</f>
        <v/>
      </c>
      <c r="M199" s="32" t="str">
        <f>IFERROR(__xludf.DUMMYFUNCTION("IFERROR(INDEX(FILTER('OLT DOWN Tickets'!$F:$F, REGEXMATCH('OLT DOWN Tickets'!$AB:$AB, ""(?i)""&amp;TRIM(D199)), 'OLT DOWN Tickets'!$L:$L=""OLT SERVICE DEGRADATION""), 1), """")
"),"")</f>
        <v/>
      </c>
      <c r="N199" s="6" t="b">
        <v>0</v>
      </c>
      <c r="O199" s="6" t="b">
        <v>0</v>
      </c>
      <c r="P199" s="6" t="b">
        <v>0</v>
      </c>
      <c r="Q199" s="6" t="b">
        <v>0</v>
      </c>
      <c r="R199" s="6"/>
      <c r="S199" s="6"/>
      <c r="T199" s="6"/>
      <c r="U199" s="6"/>
    </row>
    <row r="200">
      <c r="A200" s="19"/>
      <c r="B200" s="26" t="s">
        <v>152</v>
      </c>
      <c r="C200" s="26" t="s">
        <v>405</v>
      </c>
      <c r="D200" s="27" t="s">
        <v>408</v>
      </c>
      <c r="E200" s="6" t="b">
        <f t="shared" si="1"/>
        <v>1</v>
      </c>
      <c r="F200" s="6" t="b">
        <f>COUNTIFS('OLT DOWN Tickets'!$AB:$AB, "*" &amp; D200 &amp; "*", 'OLT DOWN Tickets'!$L:$L, "OLT DOWN") &gt; 0</f>
        <v>0</v>
      </c>
      <c r="G200" s="6" t="b">
        <f>COUNTIFS('OLT DOWN Tickets'!$AB:$AB, "*" &amp; D200 &amp; "*", 'OLT DOWN Tickets'!$L:$L, "OLT UPLINK LOW POWER") &gt; 0</f>
        <v>0</v>
      </c>
      <c r="H200" s="6" t="b">
        <f>COUNTIFS('OLT DOWN Tickets'!$AB:$AB, "*" &amp; D200 &amp; "*", 'OLT DOWN Tickets'!$L:$L, "OLT UPLINK DOWN") &gt; 0</f>
        <v>0</v>
      </c>
      <c r="I200" s="6" t="b">
        <f>COUNTIFS('OLT DOWN Tickets'!$AB:$AB, "*" &amp; D200 &amp; "*", 'OLT DOWN Tickets'!$L:$L, "OLT SERVICE DEGRADATION") &gt; 0</f>
        <v>0</v>
      </c>
      <c r="J200" s="32" t="str">
        <f>IFERROR(__xludf.DUMMYFUNCTION("IFERROR(INDEX(FILTER('OLT DOWN Tickets'!$F:$F, REGEXMATCH('OLT DOWN Tickets'!$AB:$AB, ""(?i)""&amp;TRIM(D200)), 'OLT DOWN Tickets'!$L:$L=""OLT DOWN""), 1), """")"),"")</f>
        <v/>
      </c>
      <c r="K200" s="32" t="str">
        <f>IFERROR(__xludf.DUMMYFUNCTION("IFERROR(INDEX(FILTER('OLT DOWN Tickets'!$F:$F, REGEXMATCH('OLT DOWN Tickets'!$AB:$AB, ""(?i)""&amp;TRIM(D200)), 'OLT DOWN Tickets'!$L:$L=""OLT UPLINK LOW POWER""), 1), """")"),"")</f>
        <v/>
      </c>
      <c r="L200" s="32" t="str">
        <f>IFERROR(__xludf.DUMMYFUNCTION("IFERROR(INDEX(FILTER('OLT DOWN Tickets'!$F:$F, REGEXMATCH('OLT DOWN Tickets'!$AB:$AB, ""(?i)""&amp;TRIM(D200)), 'OLT DOWN Tickets'!$L:$L=""OLT UPLINK DOWN""), 1), """")"),"")</f>
        <v/>
      </c>
      <c r="M200" s="32" t="str">
        <f>IFERROR(__xludf.DUMMYFUNCTION("IFERROR(INDEX(FILTER('OLT DOWN Tickets'!$F:$F, REGEXMATCH('OLT DOWN Tickets'!$AB:$AB, ""(?i)""&amp;TRIM(D200)), 'OLT DOWN Tickets'!$L:$L=""OLT SERVICE DEGRADATION""), 1), """")
"),"")</f>
        <v/>
      </c>
      <c r="N200" s="6" t="b">
        <v>0</v>
      </c>
      <c r="O200" s="6" t="b">
        <v>0</v>
      </c>
      <c r="P200" s="6" t="b">
        <v>0</v>
      </c>
      <c r="Q200" s="6" t="b">
        <v>0</v>
      </c>
      <c r="R200" s="6"/>
      <c r="S200" s="6"/>
      <c r="T200" s="6"/>
      <c r="U200" s="6"/>
    </row>
    <row r="201">
      <c r="A201" s="19"/>
      <c r="B201" s="26" t="s">
        <v>152</v>
      </c>
      <c r="C201" s="26" t="s">
        <v>409</v>
      </c>
      <c r="D201" s="27" t="s">
        <v>410</v>
      </c>
      <c r="E201" s="6" t="b">
        <f t="shared" si="1"/>
        <v>1</v>
      </c>
      <c r="F201" s="6" t="b">
        <f>COUNTIFS('OLT DOWN Tickets'!$AB:$AB, "*" &amp; D201 &amp; "*", 'OLT DOWN Tickets'!$L:$L, "OLT DOWN") &gt; 0</f>
        <v>0</v>
      </c>
      <c r="G201" s="6" t="b">
        <f>COUNTIFS('OLT DOWN Tickets'!$AB:$AB, "*" &amp; D201 &amp; "*", 'OLT DOWN Tickets'!$L:$L, "OLT UPLINK LOW POWER") &gt; 0</f>
        <v>0</v>
      </c>
      <c r="H201" s="6" t="b">
        <f>COUNTIFS('OLT DOWN Tickets'!$AB:$AB, "*" &amp; D201 &amp; "*", 'OLT DOWN Tickets'!$L:$L, "OLT UPLINK DOWN") &gt; 0</f>
        <v>0</v>
      </c>
      <c r="I201" s="6" t="b">
        <f>COUNTIFS('OLT DOWN Tickets'!$AB:$AB, "*" &amp; D201 &amp; "*", 'OLT DOWN Tickets'!$L:$L, "OLT SERVICE DEGRADATION") &gt; 0</f>
        <v>0</v>
      </c>
      <c r="J201" s="32" t="str">
        <f>IFERROR(__xludf.DUMMYFUNCTION("IFERROR(INDEX(FILTER('OLT DOWN Tickets'!$F:$F, REGEXMATCH('OLT DOWN Tickets'!$AB:$AB, ""(?i)""&amp;TRIM(D201)), 'OLT DOWN Tickets'!$L:$L=""OLT DOWN""), 1), """")"),"")</f>
        <v/>
      </c>
      <c r="K201" s="32" t="str">
        <f>IFERROR(__xludf.DUMMYFUNCTION("IFERROR(INDEX(FILTER('OLT DOWN Tickets'!$F:$F, REGEXMATCH('OLT DOWN Tickets'!$AB:$AB, ""(?i)""&amp;TRIM(D201)), 'OLT DOWN Tickets'!$L:$L=""OLT UPLINK LOW POWER""), 1), """")"),"")</f>
        <v/>
      </c>
      <c r="L201" s="32" t="str">
        <f>IFERROR(__xludf.DUMMYFUNCTION("IFERROR(INDEX(FILTER('OLT DOWN Tickets'!$F:$F, REGEXMATCH('OLT DOWN Tickets'!$AB:$AB, ""(?i)""&amp;TRIM(D201)), 'OLT DOWN Tickets'!$L:$L=""OLT UPLINK DOWN""), 1), """")"),"")</f>
        <v/>
      </c>
      <c r="M201" s="32" t="str">
        <f>IFERROR(__xludf.DUMMYFUNCTION("IFERROR(INDEX(FILTER('OLT DOWN Tickets'!$F:$F, REGEXMATCH('OLT DOWN Tickets'!$AB:$AB, ""(?i)""&amp;TRIM(D201)), 'OLT DOWN Tickets'!$L:$L=""OLT SERVICE DEGRADATION""), 1), """")
"),"")</f>
        <v/>
      </c>
      <c r="N201" s="6" t="b">
        <v>0</v>
      </c>
      <c r="O201" s="6" t="b">
        <v>0</v>
      </c>
      <c r="P201" s="6" t="b">
        <v>0</v>
      </c>
      <c r="Q201" s="6" t="b">
        <v>0</v>
      </c>
      <c r="R201" s="6"/>
      <c r="S201" s="6"/>
      <c r="T201" s="6"/>
      <c r="U201" s="6"/>
    </row>
    <row r="202">
      <c r="A202" s="19"/>
      <c r="B202" s="26" t="s">
        <v>152</v>
      </c>
      <c r="C202" s="26" t="s">
        <v>409</v>
      </c>
      <c r="D202" s="27" t="s">
        <v>411</v>
      </c>
      <c r="E202" s="6" t="b">
        <f t="shared" si="1"/>
        <v>1</v>
      </c>
      <c r="F202" s="6" t="b">
        <f>COUNTIFS('OLT DOWN Tickets'!$AB:$AB, "*" &amp; D202 &amp; "*", 'OLT DOWN Tickets'!$L:$L, "OLT DOWN") &gt; 0</f>
        <v>0</v>
      </c>
      <c r="G202" s="6" t="b">
        <f>COUNTIFS('OLT DOWN Tickets'!$AB:$AB, "*" &amp; D202 &amp; "*", 'OLT DOWN Tickets'!$L:$L, "OLT UPLINK LOW POWER") &gt; 0</f>
        <v>0</v>
      </c>
      <c r="H202" s="6" t="b">
        <f>COUNTIFS('OLT DOWN Tickets'!$AB:$AB, "*" &amp; D202 &amp; "*", 'OLT DOWN Tickets'!$L:$L, "OLT UPLINK DOWN") &gt; 0</f>
        <v>0</v>
      </c>
      <c r="I202" s="6" t="b">
        <f>COUNTIFS('OLT DOWN Tickets'!$AB:$AB, "*" &amp; D202 &amp; "*", 'OLT DOWN Tickets'!$L:$L, "OLT SERVICE DEGRADATION") &gt; 0</f>
        <v>0</v>
      </c>
      <c r="J202" s="32" t="str">
        <f>IFERROR(__xludf.DUMMYFUNCTION("IFERROR(INDEX(FILTER('OLT DOWN Tickets'!$F:$F, REGEXMATCH('OLT DOWN Tickets'!$AB:$AB, ""(?i)""&amp;TRIM(D202)), 'OLT DOWN Tickets'!$L:$L=""OLT DOWN""), 1), """")"),"")</f>
        <v/>
      </c>
      <c r="K202" s="32" t="str">
        <f>IFERROR(__xludf.DUMMYFUNCTION("IFERROR(INDEX(FILTER('OLT DOWN Tickets'!$F:$F, REGEXMATCH('OLT DOWN Tickets'!$AB:$AB, ""(?i)""&amp;TRIM(D202)), 'OLT DOWN Tickets'!$L:$L=""OLT UPLINK LOW POWER""), 1), """")"),"")</f>
        <v/>
      </c>
      <c r="L202" s="32" t="str">
        <f>IFERROR(__xludf.DUMMYFUNCTION("IFERROR(INDEX(FILTER('OLT DOWN Tickets'!$F:$F, REGEXMATCH('OLT DOWN Tickets'!$AB:$AB, ""(?i)""&amp;TRIM(D202)), 'OLT DOWN Tickets'!$L:$L=""OLT UPLINK DOWN""), 1), """")"),"")</f>
        <v/>
      </c>
      <c r="M202" s="32" t="str">
        <f>IFERROR(__xludf.DUMMYFUNCTION("IFERROR(INDEX(FILTER('OLT DOWN Tickets'!$F:$F, REGEXMATCH('OLT DOWN Tickets'!$AB:$AB, ""(?i)""&amp;TRIM(D202)), 'OLT DOWN Tickets'!$L:$L=""OLT SERVICE DEGRADATION""), 1), """")
"),"")</f>
        <v/>
      </c>
      <c r="N202" s="6" t="b">
        <v>0</v>
      </c>
      <c r="O202" s="6" t="b">
        <v>0</v>
      </c>
      <c r="P202" s="6" t="b">
        <v>0</v>
      </c>
      <c r="Q202" s="6" t="b">
        <v>0</v>
      </c>
      <c r="R202" s="6"/>
      <c r="S202" s="6"/>
      <c r="T202" s="6"/>
      <c r="U202" s="6"/>
    </row>
    <row r="203">
      <c r="A203" s="19"/>
      <c r="B203" s="26" t="s">
        <v>152</v>
      </c>
      <c r="C203" s="26" t="s">
        <v>412</v>
      </c>
      <c r="D203" s="27" t="s">
        <v>413</v>
      </c>
      <c r="E203" s="6" t="b">
        <f t="shared" si="1"/>
        <v>1</v>
      </c>
      <c r="F203" s="6" t="b">
        <f>COUNTIFS('OLT DOWN Tickets'!$AB:$AB, "*" &amp; D203 &amp; "*", 'OLT DOWN Tickets'!$L:$L, "OLT DOWN") &gt; 0</f>
        <v>0</v>
      </c>
      <c r="G203" s="6" t="b">
        <f>COUNTIFS('OLT DOWN Tickets'!$AB:$AB, "*" &amp; D203 &amp; "*", 'OLT DOWN Tickets'!$L:$L, "OLT UPLINK LOW POWER") &gt; 0</f>
        <v>0</v>
      </c>
      <c r="H203" s="6" t="b">
        <f>COUNTIFS('OLT DOWN Tickets'!$AB:$AB, "*" &amp; D203 &amp; "*", 'OLT DOWN Tickets'!$L:$L, "OLT UPLINK DOWN") &gt; 0</f>
        <v>0</v>
      </c>
      <c r="I203" s="6" t="b">
        <f>COUNTIFS('OLT DOWN Tickets'!$AB:$AB, "*" &amp; D203 &amp; "*", 'OLT DOWN Tickets'!$L:$L, "OLT SERVICE DEGRADATION") &gt; 0</f>
        <v>0</v>
      </c>
      <c r="J203" s="32" t="str">
        <f>IFERROR(__xludf.DUMMYFUNCTION("IFERROR(INDEX(FILTER('OLT DOWN Tickets'!$F:$F, REGEXMATCH('OLT DOWN Tickets'!$AB:$AB, ""(?i)""&amp;TRIM(D203)), 'OLT DOWN Tickets'!$L:$L=""OLT DOWN""), 1), """")"),"")</f>
        <v/>
      </c>
      <c r="K203" s="32" t="str">
        <f>IFERROR(__xludf.DUMMYFUNCTION("IFERROR(INDEX(FILTER('OLT DOWN Tickets'!$F:$F, REGEXMATCH('OLT DOWN Tickets'!$AB:$AB, ""(?i)""&amp;TRIM(D203)), 'OLT DOWN Tickets'!$L:$L=""OLT UPLINK LOW POWER""), 1), """")"),"")</f>
        <v/>
      </c>
      <c r="L203" s="32" t="str">
        <f>IFERROR(__xludf.DUMMYFUNCTION("IFERROR(INDEX(FILTER('OLT DOWN Tickets'!$F:$F, REGEXMATCH('OLT DOWN Tickets'!$AB:$AB, ""(?i)""&amp;TRIM(D203)), 'OLT DOWN Tickets'!$L:$L=""OLT UPLINK DOWN""), 1), """")"),"")</f>
        <v/>
      </c>
      <c r="M203" s="32" t="str">
        <f>IFERROR(__xludf.DUMMYFUNCTION("IFERROR(INDEX(FILTER('OLT DOWN Tickets'!$F:$F, REGEXMATCH('OLT DOWN Tickets'!$AB:$AB, ""(?i)""&amp;TRIM(D203)), 'OLT DOWN Tickets'!$L:$L=""OLT SERVICE DEGRADATION""), 1), """")
"),"")</f>
        <v/>
      </c>
      <c r="N203" s="6" t="b">
        <v>0</v>
      </c>
      <c r="O203" s="6" t="b">
        <v>0</v>
      </c>
      <c r="P203" s="6" t="b">
        <v>0</v>
      </c>
      <c r="Q203" s="6" t="b">
        <v>0</v>
      </c>
      <c r="R203" s="6"/>
      <c r="S203" s="6"/>
      <c r="T203" s="6"/>
      <c r="U203" s="6"/>
    </row>
    <row r="204">
      <c r="A204" s="19"/>
      <c r="B204" s="26" t="s">
        <v>152</v>
      </c>
      <c r="C204" s="26" t="s">
        <v>414</v>
      </c>
      <c r="D204" s="27" t="s">
        <v>415</v>
      </c>
      <c r="E204" s="6" t="b">
        <f t="shared" si="1"/>
        <v>1</v>
      </c>
      <c r="F204" s="6" t="b">
        <f>COUNTIFS('OLT DOWN Tickets'!$AB:$AB, "*" &amp; D204 &amp; "*", 'OLT DOWN Tickets'!$L:$L, "OLT DOWN") &gt; 0</f>
        <v>0</v>
      </c>
      <c r="G204" s="6" t="b">
        <f>COUNTIFS('OLT DOWN Tickets'!$AB:$AB, "*" &amp; D204 &amp; "*", 'OLT DOWN Tickets'!$L:$L, "OLT UPLINK LOW POWER") &gt; 0</f>
        <v>0</v>
      </c>
      <c r="H204" s="6" t="b">
        <f>COUNTIFS('OLT DOWN Tickets'!$AB:$AB, "*" &amp; D204 &amp; "*", 'OLT DOWN Tickets'!$L:$L, "OLT UPLINK DOWN") &gt; 0</f>
        <v>0</v>
      </c>
      <c r="I204" s="6" t="b">
        <f>COUNTIFS('OLT DOWN Tickets'!$AB:$AB, "*" &amp; D204 &amp; "*", 'OLT DOWN Tickets'!$L:$L, "OLT SERVICE DEGRADATION") &gt; 0</f>
        <v>0</v>
      </c>
      <c r="J204" s="32" t="str">
        <f>IFERROR(__xludf.DUMMYFUNCTION("IFERROR(INDEX(FILTER('OLT DOWN Tickets'!$F:$F, REGEXMATCH('OLT DOWN Tickets'!$AB:$AB, ""(?i)""&amp;TRIM(D204)), 'OLT DOWN Tickets'!$L:$L=""OLT DOWN""), 1), """")"),"")</f>
        <v/>
      </c>
      <c r="K204" s="32" t="str">
        <f>IFERROR(__xludf.DUMMYFUNCTION("IFERROR(INDEX(FILTER('OLT DOWN Tickets'!$F:$F, REGEXMATCH('OLT DOWN Tickets'!$AB:$AB, ""(?i)""&amp;TRIM(D204)), 'OLT DOWN Tickets'!$L:$L=""OLT UPLINK LOW POWER""), 1), """")"),"")</f>
        <v/>
      </c>
      <c r="L204" s="32" t="str">
        <f>IFERROR(__xludf.DUMMYFUNCTION("IFERROR(INDEX(FILTER('OLT DOWN Tickets'!$F:$F, REGEXMATCH('OLT DOWN Tickets'!$AB:$AB, ""(?i)""&amp;TRIM(D204)), 'OLT DOWN Tickets'!$L:$L=""OLT UPLINK DOWN""), 1), """")"),"")</f>
        <v/>
      </c>
      <c r="M204" s="32" t="str">
        <f>IFERROR(__xludf.DUMMYFUNCTION("IFERROR(INDEX(FILTER('OLT DOWN Tickets'!$F:$F, REGEXMATCH('OLT DOWN Tickets'!$AB:$AB, ""(?i)""&amp;TRIM(D204)), 'OLT DOWN Tickets'!$L:$L=""OLT SERVICE DEGRADATION""), 1), """")
"),"")</f>
        <v/>
      </c>
      <c r="N204" s="6" t="b">
        <v>0</v>
      </c>
      <c r="O204" s="6" t="b">
        <v>0</v>
      </c>
      <c r="P204" s="6" t="b">
        <v>0</v>
      </c>
      <c r="Q204" s="6" t="b">
        <v>0</v>
      </c>
      <c r="R204" s="6"/>
      <c r="S204" s="6"/>
      <c r="T204" s="6"/>
      <c r="U204" s="6"/>
    </row>
    <row r="205">
      <c r="A205" s="19"/>
      <c r="B205" s="26" t="s">
        <v>152</v>
      </c>
      <c r="C205" s="26" t="s">
        <v>414</v>
      </c>
      <c r="D205" s="27" t="s">
        <v>416</v>
      </c>
      <c r="E205" s="6" t="b">
        <f t="shared" si="1"/>
        <v>1</v>
      </c>
      <c r="F205" s="6" t="b">
        <f>COUNTIFS('OLT DOWN Tickets'!$AB:$AB, "*" &amp; D205 &amp; "*", 'OLT DOWN Tickets'!$L:$L, "OLT DOWN") &gt; 0</f>
        <v>0</v>
      </c>
      <c r="G205" s="6" t="b">
        <f>COUNTIFS('OLT DOWN Tickets'!$AB:$AB, "*" &amp; D205 &amp; "*", 'OLT DOWN Tickets'!$L:$L, "OLT UPLINK LOW POWER") &gt; 0</f>
        <v>0</v>
      </c>
      <c r="H205" s="6" t="b">
        <f>COUNTIFS('OLT DOWN Tickets'!$AB:$AB, "*" &amp; D205 &amp; "*", 'OLT DOWN Tickets'!$L:$L, "OLT UPLINK DOWN") &gt; 0</f>
        <v>0</v>
      </c>
      <c r="I205" s="6" t="b">
        <f>COUNTIFS('OLT DOWN Tickets'!$AB:$AB, "*" &amp; D205 &amp; "*", 'OLT DOWN Tickets'!$L:$L, "OLT SERVICE DEGRADATION") &gt; 0</f>
        <v>0</v>
      </c>
      <c r="J205" s="32" t="str">
        <f>IFERROR(__xludf.DUMMYFUNCTION("IFERROR(INDEX(FILTER('OLT DOWN Tickets'!$F:$F, REGEXMATCH('OLT DOWN Tickets'!$AB:$AB, ""(?i)""&amp;TRIM(D205)), 'OLT DOWN Tickets'!$L:$L=""OLT DOWN""), 1), """")"),"")</f>
        <v/>
      </c>
      <c r="K205" s="32" t="str">
        <f>IFERROR(__xludf.DUMMYFUNCTION("IFERROR(INDEX(FILTER('OLT DOWN Tickets'!$F:$F, REGEXMATCH('OLT DOWN Tickets'!$AB:$AB, ""(?i)""&amp;TRIM(D205)), 'OLT DOWN Tickets'!$L:$L=""OLT UPLINK LOW POWER""), 1), """")"),"")</f>
        <v/>
      </c>
      <c r="L205" s="32" t="str">
        <f>IFERROR(__xludf.DUMMYFUNCTION("IFERROR(INDEX(FILTER('OLT DOWN Tickets'!$F:$F, REGEXMATCH('OLT DOWN Tickets'!$AB:$AB, ""(?i)""&amp;TRIM(D205)), 'OLT DOWN Tickets'!$L:$L=""OLT UPLINK DOWN""), 1), """")"),"")</f>
        <v/>
      </c>
      <c r="M205" s="32" t="str">
        <f>IFERROR(__xludf.DUMMYFUNCTION("IFERROR(INDEX(FILTER('OLT DOWN Tickets'!$F:$F, REGEXMATCH('OLT DOWN Tickets'!$AB:$AB, ""(?i)""&amp;TRIM(D205)), 'OLT DOWN Tickets'!$L:$L=""OLT SERVICE DEGRADATION""), 1), """")
"),"")</f>
        <v/>
      </c>
      <c r="N205" s="6" t="b">
        <v>0</v>
      </c>
      <c r="O205" s="6" t="b">
        <v>0</v>
      </c>
      <c r="P205" s="6" t="b">
        <v>0</v>
      </c>
      <c r="Q205" s="6" t="b">
        <v>0</v>
      </c>
      <c r="R205" s="6"/>
      <c r="S205" s="6"/>
      <c r="T205" s="6"/>
      <c r="U205" s="6"/>
    </row>
    <row r="206">
      <c r="A206" s="19"/>
      <c r="B206" s="26" t="s">
        <v>152</v>
      </c>
      <c r="C206" s="26" t="s">
        <v>414</v>
      </c>
      <c r="D206" s="27" t="s">
        <v>417</v>
      </c>
      <c r="E206" s="6" t="b">
        <f t="shared" si="1"/>
        <v>1</v>
      </c>
      <c r="F206" s="6" t="b">
        <f>COUNTIFS('OLT DOWN Tickets'!$AB:$AB, "*" &amp; D206 &amp; "*", 'OLT DOWN Tickets'!$L:$L, "OLT DOWN") &gt; 0</f>
        <v>0</v>
      </c>
      <c r="G206" s="6" t="b">
        <f>COUNTIFS('OLT DOWN Tickets'!$AB:$AB, "*" &amp; D206 &amp; "*", 'OLT DOWN Tickets'!$L:$L, "OLT UPLINK LOW POWER") &gt; 0</f>
        <v>0</v>
      </c>
      <c r="H206" s="6" t="b">
        <f>COUNTIFS('OLT DOWN Tickets'!$AB:$AB, "*" &amp; D206 &amp; "*", 'OLT DOWN Tickets'!$L:$L, "OLT UPLINK DOWN") &gt; 0</f>
        <v>0</v>
      </c>
      <c r="I206" s="6" t="b">
        <f>COUNTIFS('OLT DOWN Tickets'!$AB:$AB, "*" &amp; D206 &amp; "*", 'OLT DOWN Tickets'!$L:$L, "OLT SERVICE DEGRADATION") &gt; 0</f>
        <v>0</v>
      </c>
      <c r="J206" s="32" t="str">
        <f>IFERROR(__xludf.DUMMYFUNCTION("IFERROR(INDEX(FILTER('OLT DOWN Tickets'!$F:$F, REGEXMATCH('OLT DOWN Tickets'!$AB:$AB, ""(?i)""&amp;TRIM(D206)), 'OLT DOWN Tickets'!$L:$L=""OLT DOWN""), 1), """")"),"")</f>
        <v/>
      </c>
      <c r="K206" s="32" t="str">
        <f>IFERROR(__xludf.DUMMYFUNCTION("IFERROR(INDEX(FILTER('OLT DOWN Tickets'!$F:$F, REGEXMATCH('OLT DOWN Tickets'!$AB:$AB, ""(?i)""&amp;TRIM(D206)), 'OLT DOWN Tickets'!$L:$L=""OLT UPLINK LOW POWER""), 1), """")"),"")</f>
        <v/>
      </c>
      <c r="L206" s="32" t="str">
        <f>IFERROR(__xludf.DUMMYFUNCTION("IFERROR(INDEX(FILTER('OLT DOWN Tickets'!$F:$F, REGEXMATCH('OLT DOWN Tickets'!$AB:$AB, ""(?i)""&amp;TRIM(D206)), 'OLT DOWN Tickets'!$L:$L=""OLT UPLINK DOWN""), 1), """")"),"")</f>
        <v/>
      </c>
      <c r="M206" s="32" t="str">
        <f>IFERROR(__xludf.DUMMYFUNCTION("IFERROR(INDEX(FILTER('OLT DOWN Tickets'!$F:$F, REGEXMATCH('OLT DOWN Tickets'!$AB:$AB, ""(?i)""&amp;TRIM(D206)), 'OLT DOWN Tickets'!$L:$L=""OLT SERVICE DEGRADATION""), 1), """")
"),"")</f>
        <v/>
      </c>
      <c r="N206" s="6" t="b">
        <v>0</v>
      </c>
      <c r="O206" s="6" t="b">
        <v>0</v>
      </c>
      <c r="P206" s="6" t="b">
        <v>0</v>
      </c>
      <c r="Q206" s="6" t="b">
        <v>0</v>
      </c>
      <c r="R206" s="6"/>
      <c r="S206" s="6"/>
      <c r="T206" s="6"/>
      <c r="U206" s="6"/>
    </row>
    <row r="207">
      <c r="A207" s="19"/>
      <c r="B207" s="26" t="s">
        <v>418</v>
      </c>
      <c r="C207" s="26" t="s">
        <v>419</v>
      </c>
      <c r="D207" s="27" t="s">
        <v>420</v>
      </c>
      <c r="E207" s="6" t="b">
        <f t="shared" si="1"/>
        <v>1</v>
      </c>
      <c r="F207" s="6" t="b">
        <f>COUNTIFS('OLT DOWN Tickets'!$AB:$AB, "*" &amp; D207 &amp; "*", 'OLT DOWN Tickets'!$L:$L, "OLT DOWN") &gt; 0</f>
        <v>0</v>
      </c>
      <c r="G207" s="6" t="b">
        <f>COUNTIFS('OLT DOWN Tickets'!$AB:$AB, "*" &amp; D207 &amp; "*", 'OLT DOWN Tickets'!$L:$L, "OLT UPLINK LOW POWER") &gt; 0</f>
        <v>0</v>
      </c>
      <c r="H207" s="6" t="b">
        <f>COUNTIFS('OLT DOWN Tickets'!$AB:$AB, "*" &amp; D207 &amp; "*", 'OLT DOWN Tickets'!$L:$L, "OLT UPLINK DOWN") &gt; 0</f>
        <v>0</v>
      </c>
      <c r="I207" s="6" t="b">
        <f>COUNTIFS('OLT DOWN Tickets'!$AB:$AB, "*" &amp; D207 &amp; "*", 'OLT DOWN Tickets'!$L:$L, "OLT SERVICE DEGRADATION") &gt; 0</f>
        <v>0</v>
      </c>
      <c r="J207" s="32" t="str">
        <f>IFERROR(__xludf.DUMMYFUNCTION("IFERROR(INDEX(FILTER('OLT DOWN Tickets'!$F:$F, REGEXMATCH('OLT DOWN Tickets'!$AB:$AB, ""(?i)""&amp;TRIM(D207)), 'OLT DOWN Tickets'!$L:$L=""OLT DOWN""), 1), """")"),"")</f>
        <v/>
      </c>
      <c r="K207" s="32" t="str">
        <f>IFERROR(__xludf.DUMMYFUNCTION("IFERROR(INDEX(FILTER('OLT DOWN Tickets'!$F:$F, REGEXMATCH('OLT DOWN Tickets'!$AB:$AB, ""(?i)""&amp;TRIM(D207)), 'OLT DOWN Tickets'!$L:$L=""OLT UPLINK LOW POWER""), 1), """")"),"")</f>
        <v/>
      </c>
      <c r="L207" s="32" t="str">
        <f>IFERROR(__xludf.DUMMYFUNCTION("IFERROR(INDEX(FILTER('OLT DOWN Tickets'!$F:$F, REGEXMATCH('OLT DOWN Tickets'!$AB:$AB, ""(?i)""&amp;TRIM(D207)), 'OLT DOWN Tickets'!$L:$L=""OLT UPLINK DOWN""), 1), """")"),"")</f>
        <v/>
      </c>
      <c r="M207" s="32" t="str">
        <f>IFERROR(__xludf.DUMMYFUNCTION("IFERROR(INDEX(FILTER('OLT DOWN Tickets'!$F:$F, REGEXMATCH('OLT DOWN Tickets'!$AB:$AB, ""(?i)""&amp;TRIM(D207)), 'OLT DOWN Tickets'!$L:$L=""OLT SERVICE DEGRADATION""), 1), """")
"),"")</f>
        <v/>
      </c>
      <c r="N207" s="6" t="b">
        <v>0</v>
      </c>
      <c r="O207" s="6" t="b">
        <v>0</v>
      </c>
      <c r="P207" s="6" t="b">
        <v>0</v>
      </c>
      <c r="Q207" s="6" t="b">
        <v>0</v>
      </c>
      <c r="R207" s="6"/>
      <c r="S207" s="6"/>
      <c r="T207" s="6"/>
      <c r="U207" s="6"/>
    </row>
    <row r="208">
      <c r="A208" s="19"/>
      <c r="B208" s="26" t="s">
        <v>418</v>
      </c>
      <c r="C208" s="26" t="s">
        <v>419</v>
      </c>
      <c r="D208" s="27" t="s">
        <v>421</v>
      </c>
      <c r="E208" s="6" t="b">
        <f t="shared" si="1"/>
        <v>1</v>
      </c>
      <c r="F208" s="6" t="b">
        <f>COUNTIFS('OLT DOWN Tickets'!$AB:$AB, "*" &amp; D208 &amp; "*", 'OLT DOWN Tickets'!$L:$L, "OLT DOWN") &gt; 0</f>
        <v>0</v>
      </c>
      <c r="G208" s="6" t="b">
        <f>COUNTIFS('OLT DOWN Tickets'!$AB:$AB, "*" &amp; D208 &amp; "*", 'OLT DOWN Tickets'!$L:$L, "OLT UPLINK LOW POWER") &gt; 0</f>
        <v>0</v>
      </c>
      <c r="H208" s="6" t="b">
        <f>COUNTIFS('OLT DOWN Tickets'!$AB:$AB, "*" &amp; D208 &amp; "*", 'OLT DOWN Tickets'!$L:$L, "OLT UPLINK DOWN") &gt; 0</f>
        <v>0</v>
      </c>
      <c r="I208" s="6" t="b">
        <f>COUNTIFS('OLT DOWN Tickets'!$AB:$AB, "*" &amp; D208 &amp; "*", 'OLT DOWN Tickets'!$L:$L, "OLT SERVICE DEGRADATION") &gt; 0</f>
        <v>0</v>
      </c>
      <c r="J208" s="32" t="str">
        <f>IFERROR(__xludf.DUMMYFUNCTION("IFERROR(INDEX(FILTER('OLT DOWN Tickets'!$F:$F, REGEXMATCH('OLT DOWN Tickets'!$AB:$AB, ""(?i)""&amp;TRIM(D208)), 'OLT DOWN Tickets'!$L:$L=""OLT DOWN""), 1), """")"),"")</f>
        <v/>
      </c>
      <c r="K208" s="32" t="str">
        <f>IFERROR(__xludf.DUMMYFUNCTION("IFERROR(INDEX(FILTER('OLT DOWN Tickets'!$F:$F, REGEXMATCH('OLT DOWN Tickets'!$AB:$AB, ""(?i)""&amp;TRIM(D208)), 'OLT DOWN Tickets'!$L:$L=""OLT UPLINK LOW POWER""), 1), """")"),"")</f>
        <v/>
      </c>
      <c r="L208" s="32" t="str">
        <f>IFERROR(__xludf.DUMMYFUNCTION("IFERROR(INDEX(FILTER('OLT DOWN Tickets'!$F:$F, REGEXMATCH('OLT DOWN Tickets'!$AB:$AB, ""(?i)""&amp;TRIM(D208)), 'OLT DOWN Tickets'!$L:$L=""OLT UPLINK DOWN""), 1), """")"),"")</f>
        <v/>
      </c>
      <c r="M208" s="32" t="str">
        <f>IFERROR(__xludf.DUMMYFUNCTION("IFERROR(INDEX(FILTER('OLT DOWN Tickets'!$F:$F, REGEXMATCH('OLT DOWN Tickets'!$AB:$AB, ""(?i)""&amp;TRIM(D208)), 'OLT DOWN Tickets'!$L:$L=""OLT SERVICE DEGRADATION""), 1), """")
"),"")</f>
        <v/>
      </c>
      <c r="N208" s="6" t="b">
        <v>0</v>
      </c>
      <c r="O208" s="6" t="b">
        <v>0</v>
      </c>
      <c r="P208" s="6" t="b">
        <v>0</v>
      </c>
      <c r="Q208" s="6" t="b">
        <v>0</v>
      </c>
      <c r="R208" s="6"/>
      <c r="S208" s="6"/>
      <c r="T208" s="6"/>
      <c r="U208" s="6"/>
    </row>
    <row r="209">
      <c r="A209" s="19"/>
      <c r="B209" s="26" t="s">
        <v>418</v>
      </c>
      <c r="C209" s="26" t="s">
        <v>422</v>
      </c>
      <c r="D209" s="27" t="s">
        <v>423</v>
      </c>
      <c r="E209" s="6" t="b">
        <f t="shared" si="1"/>
        <v>1</v>
      </c>
      <c r="F209" s="6" t="b">
        <f>COUNTIFS('OLT DOWN Tickets'!$AB:$AB, "*" &amp; D209 &amp; "*", 'OLT DOWN Tickets'!$L:$L, "OLT DOWN") &gt; 0</f>
        <v>0</v>
      </c>
      <c r="G209" s="6" t="b">
        <f>COUNTIFS('OLT DOWN Tickets'!$AB:$AB, "*" &amp; D209 &amp; "*", 'OLT DOWN Tickets'!$L:$L, "OLT UPLINK LOW POWER") &gt; 0</f>
        <v>0</v>
      </c>
      <c r="H209" s="6" t="b">
        <f>COUNTIFS('OLT DOWN Tickets'!$AB:$AB, "*" &amp; D209 &amp; "*", 'OLT DOWN Tickets'!$L:$L, "OLT UPLINK DOWN") &gt; 0</f>
        <v>0</v>
      </c>
      <c r="I209" s="6" t="b">
        <f>COUNTIFS('OLT DOWN Tickets'!$AB:$AB, "*" &amp; D209 &amp; "*", 'OLT DOWN Tickets'!$L:$L, "OLT SERVICE DEGRADATION") &gt; 0</f>
        <v>0</v>
      </c>
      <c r="J209" s="32" t="str">
        <f>IFERROR(__xludf.DUMMYFUNCTION("IFERROR(INDEX(FILTER('OLT DOWN Tickets'!$F:$F, REGEXMATCH('OLT DOWN Tickets'!$AB:$AB, ""(?i)""&amp;TRIM(D209)), 'OLT DOWN Tickets'!$L:$L=""OLT DOWN""), 1), """")"),"")</f>
        <v/>
      </c>
      <c r="K209" s="32" t="str">
        <f>IFERROR(__xludf.DUMMYFUNCTION("IFERROR(INDEX(FILTER('OLT DOWN Tickets'!$F:$F, REGEXMATCH('OLT DOWN Tickets'!$AB:$AB, ""(?i)""&amp;TRIM(D209)), 'OLT DOWN Tickets'!$L:$L=""OLT UPLINK LOW POWER""), 1), """")"),"")</f>
        <v/>
      </c>
      <c r="L209" s="32" t="str">
        <f>IFERROR(__xludf.DUMMYFUNCTION("IFERROR(INDEX(FILTER('OLT DOWN Tickets'!$F:$F, REGEXMATCH('OLT DOWN Tickets'!$AB:$AB, ""(?i)""&amp;TRIM(D209)), 'OLT DOWN Tickets'!$L:$L=""OLT UPLINK DOWN""), 1), """")"),"")</f>
        <v/>
      </c>
      <c r="M209" s="32" t="str">
        <f>IFERROR(__xludf.DUMMYFUNCTION("IFERROR(INDEX(FILTER('OLT DOWN Tickets'!$F:$F, REGEXMATCH('OLT DOWN Tickets'!$AB:$AB, ""(?i)""&amp;TRIM(D209)), 'OLT DOWN Tickets'!$L:$L=""OLT SERVICE DEGRADATION""), 1), """")
"),"")</f>
        <v/>
      </c>
      <c r="N209" s="6" t="b">
        <v>0</v>
      </c>
      <c r="O209" s="6" t="b">
        <v>0</v>
      </c>
      <c r="P209" s="6" t="b">
        <v>0</v>
      </c>
      <c r="Q209" s="6" t="b">
        <v>0</v>
      </c>
      <c r="R209" s="6"/>
      <c r="S209" s="6"/>
      <c r="T209" s="6"/>
      <c r="U209" s="6"/>
    </row>
    <row r="210">
      <c r="A210" s="19"/>
      <c r="B210" s="26" t="s">
        <v>418</v>
      </c>
      <c r="C210" s="26" t="s">
        <v>422</v>
      </c>
      <c r="D210" s="27" t="s">
        <v>424</v>
      </c>
      <c r="E210" s="6" t="b">
        <f t="shared" si="1"/>
        <v>1</v>
      </c>
      <c r="F210" s="6" t="b">
        <f>COUNTIFS('OLT DOWN Tickets'!$AB:$AB, "*" &amp; D210 &amp; "*", 'OLT DOWN Tickets'!$L:$L, "OLT DOWN") &gt; 0</f>
        <v>0</v>
      </c>
      <c r="G210" s="6" t="b">
        <f>COUNTIFS('OLT DOWN Tickets'!$AB:$AB, "*" &amp; D210 &amp; "*", 'OLT DOWN Tickets'!$L:$L, "OLT UPLINK LOW POWER") &gt; 0</f>
        <v>0</v>
      </c>
      <c r="H210" s="6" t="b">
        <f>COUNTIFS('OLT DOWN Tickets'!$AB:$AB, "*" &amp; D210 &amp; "*", 'OLT DOWN Tickets'!$L:$L, "OLT UPLINK DOWN") &gt; 0</f>
        <v>0</v>
      </c>
      <c r="I210" s="6" t="b">
        <f>COUNTIFS('OLT DOWN Tickets'!$AB:$AB, "*" &amp; D210 &amp; "*", 'OLT DOWN Tickets'!$L:$L, "OLT SERVICE DEGRADATION") &gt; 0</f>
        <v>0</v>
      </c>
      <c r="J210" s="32" t="str">
        <f>IFERROR(__xludf.DUMMYFUNCTION("IFERROR(INDEX(FILTER('OLT DOWN Tickets'!$F:$F, REGEXMATCH('OLT DOWN Tickets'!$AB:$AB, ""(?i)""&amp;TRIM(D210)), 'OLT DOWN Tickets'!$L:$L=""OLT DOWN""), 1), """")"),"")</f>
        <v/>
      </c>
      <c r="K210" s="32" t="str">
        <f>IFERROR(__xludf.DUMMYFUNCTION("IFERROR(INDEX(FILTER('OLT DOWN Tickets'!$F:$F, REGEXMATCH('OLT DOWN Tickets'!$AB:$AB, ""(?i)""&amp;TRIM(D210)), 'OLT DOWN Tickets'!$L:$L=""OLT UPLINK LOW POWER""), 1), """")"),"")</f>
        <v/>
      </c>
      <c r="L210" s="32" t="str">
        <f>IFERROR(__xludf.DUMMYFUNCTION("IFERROR(INDEX(FILTER('OLT DOWN Tickets'!$F:$F, REGEXMATCH('OLT DOWN Tickets'!$AB:$AB, ""(?i)""&amp;TRIM(D210)), 'OLT DOWN Tickets'!$L:$L=""OLT UPLINK DOWN""), 1), """")"),"")</f>
        <v/>
      </c>
      <c r="M210" s="32" t="str">
        <f>IFERROR(__xludf.DUMMYFUNCTION("IFERROR(INDEX(FILTER('OLT DOWN Tickets'!$F:$F, REGEXMATCH('OLT DOWN Tickets'!$AB:$AB, ""(?i)""&amp;TRIM(D210)), 'OLT DOWN Tickets'!$L:$L=""OLT SERVICE DEGRADATION""), 1), """")
"),"")</f>
        <v/>
      </c>
      <c r="N210" s="6" t="b">
        <v>0</v>
      </c>
      <c r="O210" s="6" t="b">
        <v>0</v>
      </c>
      <c r="P210" s="6" t="b">
        <v>0</v>
      </c>
      <c r="Q210" s="6" t="b">
        <v>0</v>
      </c>
      <c r="R210" s="6"/>
      <c r="S210" s="6"/>
      <c r="T210" s="6"/>
      <c r="U210" s="6"/>
    </row>
    <row r="211">
      <c r="A211" s="19"/>
      <c r="B211" s="26" t="s">
        <v>418</v>
      </c>
      <c r="C211" s="26" t="s">
        <v>425</v>
      </c>
      <c r="D211" s="27" t="s">
        <v>426</v>
      </c>
      <c r="E211" s="6" t="b">
        <f t="shared" si="1"/>
        <v>1</v>
      </c>
      <c r="F211" s="6" t="b">
        <f>COUNTIFS('OLT DOWN Tickets'!$AB:$AB, "*" &amp; D211 &amp; "*", 'OLT DOWN Tickets'!$L:$L, "OLT DOWN") &gt; 0</f>
        <v>0</v>
      </c>
      <c r="G211" s="6" t="b">
        <f>COUNTIFS('OLT DOWN Tickets'!$AB:$AB, "*" &amp; D211 &amp; "*", 'OLT DOWN Tickets'!$L:$L, "OLT UPLINK LOW POWER") &gt; 0</f>
        <v>0</v>
      </c>
      <c r="H211" s="6" t="b">
        <f>COUNTIFS('OLT DOWN Tickets'!$AB:$AB, "*" &amp; D211 &amp; "*", 'OLT DOWN Tickets'!$L:$L, "OLT UPLINK DOWN") &gt; 0</f>
        <v>0</v>
      </c>
      <c r="I211" s="6" t="b">
        <f>COUNTIFS('OLT DOWN Tickets'!$AB:$AB, "*" &amp; D211 &amp; "*", 'OLT DOWN Tickets'!$L:$L, "OLT SERVICE DEGRADATION") &gt; 0</f>
        <v>0</v>
      </c>
      <c r="J211" s="32" t="str">
        <f>IFERROR(__xludf.DUMMYFUNCTION("IFERROR(INDEX(FILTER('OLT DOWN Tickets'!$F:$F, REGEXMATCH('OLT DOWN Tickets'!$AB:$AB, ""(?i)""&amp;TRIM(D211)), 'OLT DOWN Tickets'!$L:$L=""OLT DOWN""), 1), """")"),"")</f>
        <v/>
      </c>
      <c r="K211" s="32" t="str">
        <f>IFERROR(__xludf.DUMMYFUNCTION("IFERROR(INDEX(FILTER('OLT DOWN Tickets'!$F:$F, REGEXMATCH('OLT DOWN Tickets'!$AB:$AB, ""(?i)""&amp;TRIM(D211)), 'OLT DOWN Tickets'!$L:$L=""OLT UPLINK LOW POWER""), 1), """")"),"")</f>
        <v/>
      </c>
      <c r="L211" s="32" t="str">
        <f>IFERROR(__xludf.DUMMYFUNCTION("IFERROR(INDEX(FILTER('OLT DOWN Tickets'!$F:$F, REGEXMATCH('OLT DOWN Tickets'!$AB:$AB, ""(?i)""&amp;TRIM(D211)), 'OLT DOWN Tickets'!$L:$L=""OLT UPLINK DOWN""), 1), """")"),"")</f>
        <v/>
      </c>
      <c r="M211" s="32" t="str">
        <f>IFERROR(__xludf.DUMMYFUNCTION("IFERROR(INDEX(FILTER('OLT DOWN Tickets'!$F:$F, REGEXMATCH('OLT DOWN Tickets'!$AB:$AB, ""(?i)""&amp;TRIM(D211)), 'OLT DOWN Tickets'!$L:$L=""OLT SERVICE DEGRADATION""), 1), """")
"),"")</f>
        <v/>
      </c>
      <c r="N211" s="6" t="b">
        <v>0</v>
      </c>
      <c r="O211" s="6" t="b">
        <v>0</v>
      </c>
      <c r="P211" s="6" t="b">
        <v>0</v>
      </c>
      <c r="Q211" s="6" t="b">
        <v>0</v>
      </c>
      <c r="R211" s="6"/>
      <c r="S211" s="6"/>
      <c r="T211" s="6"/>
      <c r="U211" s="6"/>
    </row>
    <row r="212">
      <c r="A212" s="19"/>
      <c r="B212" s="26" t="s">
        <v>418</v>
      </c>
      <c r="C212" s="26" t="s">
        <v>425</v>
      </c>
      <c r="D212" s="27" t="s">
        <v>427</v>
      </c>
      <c r="E212" s="6" t="b">
        <f t="shared" si="1"/>
        <v>1</v>
      </c>
      <c r="F212" s="6" t="b">
        <f>COUNTIFS('OLT DOWN Tickets'!$AB:$AB, "*" &amp; D212 &amp; "*", 'OLT DOWN Tickets'!$L:$L, "OLT DOWN") &gt; 0</f>
        <v>0</v>
      </c>
      <c r="G212" s="6" t="b">
        <f>COUNTIFS('OLT DOWN Tickets'!$AB:$AB, "*" &amp; D212 &amp; "*", 'OLT DOWN Tickets'!$L:$L, "OLT UPLINK LOW POWER") &gt; 0</f>
        <v>0</v>
      </c>
      <c r="H212" s="6" t="b">
        <f>COUNTIFS('OLT DOWN Tickets'!$AB:$AB, "*" &amp; D212 &amp; "*", 'OLT DOWN Tickets'!$L:$L, "OLT UPLINK DOWN") &gt; 0</f>
        <v>0</v>
      </c>
      <c r="I212" s="6" t="b">
        <f>COUNTIFS('OLT DOWN Tickets'!$AB:$AB, "*" &amp; D212 &amp; "*", 'OLT DOWN Tickets'!$L:$L, "OLT SERVICE DEGRADATION") &gt; 0</f>
        <v>0</v>
      </c>
      <c r="J212" s="32" t="str">
        <f>IFERROR(__xludf.DUMMYFUNCTION("IFERROR(INDEX(FILTER('OLT DOWN Tickets'!$F:$F, REGEXMATCH('OLT DOWN Tickets'!$AB:$AB, ""(?i)""&amp;TRIM(D212)), 'OLT DOWN Tickets'!$L:$L=""OLT DOWN""), 1), """")"),"")</f>
        <v/>
      </c>
      <c r="K212" s="32" t="str">
        <f>IFERROR(__xludf.DUMMYFUNCTION("IFERROR(INDEX(FILTER('OLT DOWN Tickets'!$F:$F, REGEXMATCH('OLT DOWN Tickets'!$AB:$AB, ""(?i)""&amp;TRIM(D212)), 'OLT DOWN Tickets'!$L:$L=""OLT UPLINK LOW POWER""), 1), """")"),"")</f>
        <v/>
      </c>
      <c r="L212" s="32" t="str">
        <f>IFERROR(__xludf.DUMMYFUNCTION("IFERROR(INDEX(FILTER('OLT DOWN Tickets'!$F:$F, REGEXMATCH('OLT DOWN Tickets'!$AB:$AB, ""(?i)""&amp;TRIM(D212)), 'OLT DOWN Tickets'!$L:$L=""OLT UPLINK DOWN""), 1), """")"),"")</f>
        <v/>
      </c>
      <c r="M212" s="32" t="str">
        <f>IFERROR(__xludf.DUMMYFUNCTION("IFERROR(INDEX(FILTER('OLT DOWN Tickets'!$F:$F, REGEXMATCH('OLT DOWN Tickets'!$AB:$AB, ""(?i)""&amp;TRIM(D212)), 'OLT DOWN Tickets'!$L:$L=""OLT SERVICE DEGRADATION""), 1), """")
"),"")</f>
        <v/>
      </c>
      <c r="N212" s="6" t="b">
        <v>0</v>
      </c>
      <c r="O212" s="6" t="b">
        <v>0</v>
      </c>
      <c r="P212" s="6" t="b">
        <v>0</v>
      </c>
      <c r="Q212" s="6" t="b">
        <v>0</v>
      </c>
      <c r="R212" s="6"/>
      <c r="S212" s="6"/>
      <c r="T212" s="6"/>
      <c r="U212" s="6"/>
    </row>
    <row r="213">
      <c r="A213" s="19"/>
      <c r="B213" s="26" t="s">
        <v>418</v>
      </c>
      <c r="C213" s="26" t="s">
        <v>425</v>
      </c>
      <c r="D213" s="27" t="s">
        <v>428</v>
      </c>
      <c r="E213" s="6" t="b">
        <f t="shared" si="1"/>
        <v>1</v>
      </c>
      <c r="F213" s="6" t="b">
        <f>COUNTIFS('OLT DOWN Tickets'!$AB:$AB, "*" &amp; D213 &amp; "*", 'OLT DOWN Tickets'!$L:$L, "OLT DOWN") &gt; 0</f>
        <v>0</v>
      </c>
      <c r="G213" s="6" t="b">
        <f>COUNTIFS('OLT DOWN Tickets'!$AB:$AB, "*" &amp; D213 &amp; "*", 'OLT DOWN Tickets'!$L:$L, "OLT UPLINK LOW POWER") &gt; 0</f>
        <v>0</v>
      </c>
      <c r="H213" s="6" t="b">
        <f>COUNTIFS('OLT DOWN Tickets'!$AB:$AB, "*" &amp; D213 &amp; "*", 'OLT DOWN Tickets'!$L:$L, "OLT UPLINK DOWN") &gt; 0</f>
        <v>0</v>
      </c>
      <c r="I213" s="6" t="b">
        <f>COUNTIFS('OLT DOWN Tickets'!$AB:$AB, "*" &amp; D213 &amp; "*", 'OLT DOWN Tickets'!$L:$L, "OLT SERVICE DEGRADATION") &gt; 0</f>
        <v>0</v>
      </c>
      <c r="J213" s="32" t="str">
        <f>IFERROR(__xludf.DUMMYFUNCTION("IFERROR(INDEX(FILTER('OLT DOWN Tickets'!$F:$F, REGEXMATCH('OLT DOWN Tickets'!$AB:$AB, ""(?i)""&amp;TRIM(D213)), 'OLT DOWN Tickets'!$L:$L=""OLT DOWN""), 1), """")"),"")</f>
        <v/>
      </c>
      <c r="K213" s="32" t="str">
        <f>IFERROR(__xludf.DUMMYFUNCTION("IFERROR(INDEX(FILTER('OLT DOWN Tickets'!$F:$F, REGEXMATCH('OLT DOWN Tickets'!$AB:$AB, ""(?i)""&amp;TRIM(D213)), 'OLT DOWN Tickets'!$L:$L=""OLT UPLINK LOW POWER""), 1), """")"),"")</f>
        <v/>
      </c>
      <c r="L213" s="32" t="str">
        <f>IFERROR(__xludf.DUMMYFUNCTION("IFERROR(INDEX(FILTER('OLT DOWN Tickets'!$F:$F, REGEXMATCH('OLT DOWN Tickets'!$AB:$AB, ""(?i)""&amp;TRIM(D213)), 'OLT DOWN Tickets'!$L:$L=""OLT UPLINK DOWN""), 1), """")"),"")</f>
        <v/>
      </c>
      <c r="M213" s="32" t="str">
        <f>IFERROR(__xludf.DUMMYFUNCTION("IFERROR(INDEX(FILTER('OLT DOWN Tickets'!$F:$F, REGEXMATCH('OLT DOWN Tickets'!$AB:$AB, ""(?i)""&amp;TRIM(D213)), 'OLT DOWN Tickets'!$L:$L=""OLT SERVICE DEGRADATION""), 1), """")
"),"")</f>
        <v/>
      </c>
      <c r="N213" s="6" t="b">
        <v>0</v>
      </c>
      <c r="O213" s="6" t="b">
        <v>0</v>
      </c>
      <c r="P213" s="6" t="b">
        <v>0</v>
      </c>
      <c r="Q213" s="6" t="b">
        <v>0</v>
      </c>
      <c r="R213" s="6"/>
      <c r="S213" s="6"/>
      <c r="T213" s="6"/>
      <c r="U213" s="6"/>
    </row>
    <row r="214">
      <c r="A214" s="19"/>
      <c r="B214" s="26" t="s">
        <v>418</v>
      </c>
      <c r="C214" s="26" t="s">
        <v>81</v>
      </c>
      <c r="D214" s="27" t="s">
        <v>429</v>
      </c>
      <c r="E214" s="6" t="b">
        <f t="shared" si="1"/>
        <v>1</v>
      </c>
      <c r="F214" s="6" t="b">
        <f>COUNTIFS('OLT DOWN Tickets'!$AB:$AB, "*" &amp; D214 &amp; "*", 'OLT DOWN Tickets'!$L:$L, "OLT DOWN") &gt; 0</f>
        <v>0</v>
      </c>
      <c r="G214" s="6" t="b">
        <f>COUNTIFS('OLT DOWN Tickets'!$AB:$AB, "*" &amp; D214 &amp; "*", 'OLT DOWN Tickets'!$L:$L, "OLT UPLINK LOW POWER") &gt; 0</f>
        <v>0</v>
      </c>
      <c r="H214" s="6" t="b">
        <f>COUNTIFS('OLT DOWN Tickets'!$AB:$AB, "*" &amp; D214 &amp; "*", 'OLT DOWN Tickets'!$L:$L, "OLT UPLINK DOWN") &gt; 0</f>
        <v>0</v>
      </c>
      <c r="I214" s="6" t="b">
        <f>COUNTIFS('OLT DOWN Tickets'!$AB:$AB, "*" &amp; D214 &amp; "*", 'OLT DOWN Tickets'!$L:$L, "OLT SERVICE DEGRADATION") &gt; 0</f>
        <v>0</v>
      </c>
      <c r="J214" s="32" t="str">
        <f>IFERROR(__xludf.DUMMYFUNCTION("IFERROR(INDEX(FILTER('OLT DOWN Tickets'!$F:$F, REGEXMATCH('OLT DOWN Tickets'!$AB:$AB, ""(?i)""&amp;TRIM(D214)), 'OLT DOWN Tickets'!$L:$L=""OLT DOWN""), 1), """")"),"")</f>
        <v/>
      </c>
      <c r="K214" s="32" t="str">
        <f>IFERROR(__xludf.DUMMYFUNCTION("IFERROR(INDEX(FILTER('OLT DOWN Tickets'!$F:$F, REGEXMATCH('OLT DOWN Tickets'!$AB:$AB, ""(?i)""&amp;TRIM(D214)), 'OLT DOWN Tickets'!$L:$L=""OLT UPLINK LOW POWER""), 1), """")"),"")</f>
        <v/>
      </c>
      <c r="L214" s="32" t="str">
        <f>IFERROR(__xludf.DUMMYFUNCTION("IFERROR(INDEX(FILTER('OLT DOWN Tickets'!$F:$F, REGEXMATCH('OLT DOWN Tickets'!$AB:$AB, ""(?i)""&amp;TRIM(D214)), 'OLT DOWN Tickets'!$L:$L=""OLT UPLINK DOWN""), 1), """")"),"")</f>
        <v/>
      </c>
      <c r="M214" s="32" t="str">
        <f>IFERROR(__xludf.DUMMYFUNCTION("IFERROR(INDEX(FILTER('OLT DOWN Tickets'!$F:$F, REGEXMATCH('OLT DOWN Tickets'!$AB:$AB, ""(?i)""&amp;TRIM(D214)), 'OLT DOWN Tickets'!$L:$L=""OLT SERVICE DEGRADATION""), 1), """")
"),"")</f>
        <v/>
      </c>
      <c r="N214" s="6" t="b">
        <v>0</v>
      </c>
      <c r="O214" s="6" t="b">
        <v>0</v>
      </c>
      <c r="P214" s="6" t="b">
        <v>0</v>
      </c>
      <c r="Q214" s="6" t="b">
        <v>0</v>
      </c>
      <c r="R214" s="6"/>
      <c r="S214" s="6"/>
      <c r="T214" s="6"/>
      <c r="U214" s="6"/>
    </row>
    <row r="215">
      <c r="A215" s="19"/>
      <c r="B215" s="26" t="s">
        <v>418</v>
      </c>
      <c r="C215" s="26" t="s">
        <v>430</v>
      </c>
      <c r="D215" s="27" t="s">
        <v>431</v>
      </c>
      <c r="E215" s="6" t="b">
        <f t="shared" si="1"/>
        <v>1</v>
      </c>
      <c r="F215" s="6" t="b">
        <f>COUNTIFS('OLT DOWN Tickets'!$AB:$AB, "*" &amp; D215 &amp; "*", 'OLT DOWN Tickets'!$L:$L, "OLT DOWN") &gt; 0</f>
        <v>0</v>
      </c>
      <c r="G215" s="6" t="b">
        <f>COUNTIFS('OLT DOWN Tickets'!$AB:$AB, "*" &amp; D215 &amp; "*", 'OLT DOWN Tickets'!$L:$L, "OLT UPLINK LOW POWER") &gt; 0</f>
        <v>0</v>
      </c>
      <c r="H215" s="6" t="b">
        <f>COUNTIFS('OLT DOWN Tickets'!$AB:$AB, "*" &amp; D215 &amp; "*", 'OLT DOWN Tickets'!$L:$L, "OLT UPLINK DOWN") &gt; 0</f>
        <v>0</v>
      </c>
      <c r="I215" s="6" t="b">
        <f>COUNTIFS('OLT DOWN Tickets'!$AB:$AB, "*" &amp; D215 &amp; "*", 'OLT DOWN Tickets'!$L:$L, "OLT SERVICE DEGRADATION") &gt; 0</f>
        <v>0</v>
      </c>
      <c r="J215" s="32" t="str">
        <f>IFERROR(__xludf.DUMMYFUNCTION("IFERROR(INDEX(FILTER('OLT DOWN Tickets'!$F:$F, REGEXMATCH('OLT DOWN Tickets'!$AB:$AB, ""(?i)""&amp;TRIM(D215)), 'OLT DOWN Tickets'!$L:$L=""OLT DOWN""), 1), """")"),"")</f>
        <v/>
      </c>
      <c r="K215" s="32" t="str">
        <f>IFERROR(__xludf.DUMMYFUNCTION("IFERROR(INDEX(FILTER('OLT DOWN Tickets'!$F:$F, REGEXMATCH('OLT DOWN Tickets'!$AB:$AB, ""(?i)""&amp;TRIM(D215)), 'OLT DOWN Tickets'!$L:$L=""OLT UPLINK LOW POWER""), 1), """")"),"")</f>
        <v/>
      </c>
      <c r="L215" s="32" t="str">
        <f>IFERROR(__xludf.DUMMYFUNCTION("IFERROR(INDEX(FILTER('OLT DOWN Tickets'!$F:$F, REGEXMATCH('OLT DOWN Tickets'!$AB:$AB, ""(?i)""&amp;TRIM(D215)), 'OLT DOWN Tickets'!$L:$L=""OLT UPLINK DOWN""), 1), """")"),"")</f>
        <v/>
      </c>
      <c r="M215" s="32" t="str">
        <f>IFERROR(__xludf.DUMMYFUNCTION("IFERROR(INDEX(FILTER('OLT DOWN Tickets'!$F:$F, REGEXMATCH('OLT DOWN Tickets'!$AB:$AB, ""(?i)""&amp;TRIM(D215)), 'OLT DOWN Tickets'!$L:$L=""OLT SERVICE DEGRADATION""), 1), """")
"),"")</f>
        <v/>
      </c>
      <c r="N215" s="6" t="b">
        <v>0</v>
      </c>
      <c r="O215" s="6" t="b">
        <v>0</v>
      </c>
      <c r="P215" s="6" t="b">
        <v>0</v>
      </c>
      <c r="Q215" s="6" t="b">
        <v>0</v>
      </c>
      <c r="R215" s="6"/>
      <c r="S215" s="6"/>
      <c r="T215" s="6"/>
      <c r="U215" s="6"/>
    </row>
    <row r="216">
      <c r="A216" s="19"/>
      <c r="B216" s="26" t="s">
        <v>418</v>
      </c>
      <c r="C216" s="26" t="s">
        <v>430</v>
      </c>
      <c r="D216" s="27" t="s">
        <v>432</v>
      </c>
      <c r="E216" s="6" t="b">
        <f t="shared" si="1"/>
        <v>1</v>
      </c>
      <c r="F216" s="6" t="b">
        <f>COUNTIFS('OLT DOWN Tickets'!$AB:$AB, "*" &amp; D216 &amp; "*", 'OLT DOWN Tickets'!$L:$L, "OLT DOWN") &gt; 0</f>
        <v>0</v>
      </c>
      <c r="G216" s="6" t="b">
        <f>COUNTIFS('OLT DOWN Tickets'!$AB:$AB, "*" &amp; D216 &amp; "*", 'OLT DOWN Tickets'!$L:$L, "OLT UPLINK LOW POWER") &gt; 0</f>
        <v>0</v>
      </c>
      <c r="H216" s="6" t="b">
        <f>COUNTIFS('OLT DOWN Tickets'!$AB:$AB, "*" &amp; D216 &amp; "*", 'OLT DOWN Tickets'!$L:$L, "OLT UPLINK DOWN") &gt; 0</f>
        <v>0</v>
      </c>
      <c r="I216" s="6" t="b">
        <f>COUNTIFS('OLT DOWN Tickets'!$AB:$AB, "*" &amp; D216 &amp; "*", 'OLT DOWN Tickets'!$L:$L, "OLT SERVICE DEGRADATION") &gt; 0</f>
        <v>0</v>
      </c>
      <c r="J216" s="32" t="str">
        <f>IFERROR(__xludf.DUMMYFUNCTION("IFERROR(INDEX(FILTER('OLT DOWN Tickets'!$F:$F, REGEXMATCH('OLT DOWN Tickets'!$AB:$AB, ""(?i)""&amp;TRIM(D216)), 'OLT DOWN Tickets'!$L:$L=""OLT DOWN""), 1), """")"),"")</f>
        <v/>
      </c>
      <c r="K216" s="32" t="str">
        <f>IFERROR(__xludf.DUMMYFUNCTION("IFERROR(INDEX(FILTER('OLT DOWN Tickets'!$F:$F, REGEXMATCH('OLT DOWN Tickets'!$AB:$AB, ""(?i)""&amp;TRIM(D216)), 'OLT DOWN Tickets'!$L:$L=""OLT UPLINK LOW POWER""), 1), """")"),"")</f>
        <v/>
      </c>
      <c r="L216" s="32" t="str">
        <f>IFERROR(__xludf.DUMMYFUNCTION("IFERROR(INDEX(FILTER('OLT DOWN Tickets'!$F:$F, REGEXMATCH('OLT DOWN Tickets'!$AB:$AB, ""(?i)""&amp;TRIM(D216)), 'OLT DOWN Tickets'!$L:$L=""OLT UPLINK DOWN""), 1), """")"),"")</f>
        <v/>
      </c>
      <c r="M216" s="32" t="str">
        <f>IFERROR(__xludf.DUMMYFUNCTION("IFERROR(INDEX(FILTER('OLT DOWN Tickets'!$F:$F, REGEXMATCH('OLT DOWN Tickets'!$AB:$AB, ""(?i)""&amp;TRIM(D216)), 'OLT DOWN Tickets'!$L:$L=""OLT SERVICE DEGRADATION""), 1), """")
"),"")</f>
        <v/>
      </c>
      <c r="N216" s="6" t="b">
        <v>0</v>
      </c>
      <c r="O216" s="6" t="b">
        <v>0</v>
      </c>
      <c r="P216" s="6" t="b">
        <v>0</v>
      </c>
      <c r="Q216" s="6" t="b">
        <v>0</v>
      </c>
      <c r="R216" s="6"/>
      <c r="S216" s="6"/>
      <c r="T216" s="6"/>
      <c r="U216" s="6"/>
    </row>
    <row r="217">
      <c r="A217" s="19"/>
      <c r="B217" s="26" t="s">
        <v>418</v>
      </c>
      <c r="C217" s="26" t="s">
        <v>325</v>
      </c>
      <c r="D217" s="27" t="s">
        <v>433</v>
      </c>
      <c r="E217" s="6" t="b">
        <f t="shared" si="1"/>
        <v>1</v>
      </c>
      <c r="F217" s="6" t="b">
        <f>COUNTIFS('OLT DOWN Tickets'!$AB:$AB, "*" &amp; D217 &amp; "*", 'OLT DOWN Tickets'!$L:$L, "OLT DOWN") &gt; 0</f>
        <v>0</v>
      </c>
      <c r="G217" s="6" t="b">
        <f>COUNTIFS('OLT DOWN Tickets'!$AB:$AB, "*" &amp; D217 &amp; "*", 'OLT DOWN Tickets'!$L:$L, "OLT UPLINK LOW POWER") &gt; 0</f>
        <v>0</v>
      </c>
      <c r="H217" s="6" t="b">
        <f>COUNTIFS('OLT DOWN Tickets'!$AB:$AB, "*" &amp; D217 &amp; "*", 'OLT DOWN Tickets'!$L:$L, "OLT UPLINK DOWN") &gt; 0</f>
        <v>0</v>
      </c>
      <c r="I217" s="6" t="b">
        <f>COUNTIFS('OLT DOWN Tickets'!$AB:$AB, "*" &amp; D217 &amp; "*", 'OLT DOWN Tickets'!$L:$L, "OLT SERVICE DEGRADATION") &gt; 0</f>
        <v>0</v>
      </c>
      <c r="J217" s="32" t="str">
        <f>IFERROR(__xludf.DUMMYFUNCTION("IFERROR(INDEX(FILTER('OLT DOWN Tickets'!$F:$F, REGEXMATCH('OLT DOWN Tickets'!$AB:$AB, ""(?i)""&amp;TRIM(D217)), 'OLT DOWN Tickets'!$L:$L=""OLT DOWN""), 1), """")"),"")</f>
        <v/>
      </c>
      <c r="K217" s="32" t="str">
        <f>IFERROR(__xludf.DUMMYFUNCTION("IFERROR(INDEX(FILTER('OLT DOWN Tickets'!$F:$F, REGEXMATCH('OLT DOWN Tickets'!$AB:$AB, ""(?i)""&amp;TRIM(D217)), 'OLT DOWN Tickets'!$L:$L=""OLT UPLINK LOW POWER""), 1), """")"),"")</f>
        <v/>
      </c>
      <c r="L217" s="32" t="str">
        <f>IFERROR(__xludf.DUMMYFUNCTION("IFERROR(INDEX(FILTER('OLT DOWN Tickets'!$F:$F, REGEXMATCH('OLT DOWN Tickets'!$AB:$AB, ""(?i)""&amp;TRIM(D217)), 'OLT DOWN Tickets'!$L:$L=""OLT UPLINK DOWN""), 1), """")"),"")</f>
        <v/>
      </c>
      <c r="M217" s="32" t="str">
        <f>IFERROR(__xludf.DUMMYFUNCTION("IFERROR(INDEX(FILTER('OLT DOWN Tickets'!$F:$F, REGEXMATCH('OLT DOWN Tickets'!$AB:$AB, ""(?i)""&amp;TRIM(D217)), 'OLT DOWN Tickets'!$L:$L=""OLT SERVICE DEGRADATION""), 1), """")
"),"")</f>
        <v/>
      </c>
      <c r="N217" s="6" t="b">
        <v>0</v>
      </c>
      <c r="O217" s="6" t="b">
        <v>0</v>
      </c>
      <c r="P217" s="6" t="b">
        <v>0</v>
      </c>
      <c r="Q217" s="6" t="b">
        <v>0</v>
      </c>
      <c r="R217" s="6"/>
      <c r="S217" s="6"/>
      <c r="T217" s="6"/>
      <c r="U217" s="6"/>
    </row>
    <row r="218">
      <c r="A218" s="19"/>
      <c r="B218" s="26" t="s">
        <v>418</v>
      </c>
      <c r="C218" s="26" t="s">
        <v>325</v>
      </c>
      <c r="D218" s="27" t="s">
        <v>434</v>
      </c>
      <c r="E218" s="6" t="b">
        <f t="shared" si="1"/>
        <v>1</v>
      </c>
      <c r="F218" s="6" t="b">
        <f>COUNTIFS('OLT DOWN Tickets'!$AB:$AB, "*" &amp; D218 &amp; "*", 'OLT DOWN Tickets'!$L:$L, "OLT DOWN") &gt; 0</f>
        <v>0</v>
      </c>
      <c r="G218" s="6" t="b">
        <f>COUNTIFS('OLT DOWN Tickets'!$AB:$AB, "*" &amp; D218 &amp; "*", 'OLT DOWN Tickets'!$L:$L, "OLT UPLINK LOW POWER") &gt; 0</f>
        <v>0</v>
      </c>
      <c r="H218" s="6" t="b">
        <f>COUNTIFS('OLT DOWN Tickets'!$AB:$AB, "*" &amp; D218 &amp; "*", 'OLT DOWN Tickets'!$L:$L, "OLT UPLINK DOWN") &gt; 0</f>
        <v>0</v>
      </c>
      <c r="I218" s="6" t="b">
        <f>COUNTIFS('OLT DOWN Tickets'!$AB:$AB, "*" &amp; D218 &amp; "*", 'OLT DOWN Tickets'!$L:$L, "OLT SERVICE DEGRADATION") &gt; 0</f>
        <v>0</v>
      </c>
      <c r="J218" s="32" t="str">
        <f>IFERROR(__xludf.DUMMYFUNCTION("IFERROR(INDEX(FILTER('OLT DOWN Tickets'!$F:$F, REGEXMATCH('OLT DOWN Tickets'!$AB:$AB, ""(?i)""&amp;TRIM(D218)), 'OLT DOWN Tickets'!$L:$L=""OLT DOWN""), 1), """")"),"")</f>
        <v/>
      </c>
      <c r="K218" s="32" t="str">
        <f>IFERROR(__xludf.DUMMYFUNCTION("IFERROR(INDEX(FILTER('OLT DOWN Tickets'!$F:$F, REGEXMATCH('OLT DOWN Tickets'!$AB:$AB, ""(?i)""&amp;TRIM(D218)), 'OLT DOWN Tickets'!$L:$L=""OLT UPLINK LOW POWER""), 1), """")"),"")</f>
        <v/>
      </c>
      <c r="L218" s="32" t="str">
        <f>IFERROR(__xludf.DUMMYFUNCTION("IFERROR(INDEX(FILTER('OLT DOWN Tickets'!$F:$F, REGEXMATCH('OLT DOWN Tickets'!$AB:$AB, ""(?i)""&amp;TRIM(D218)), 'OLT DOWN Tickets'!$L:$L=""OLT UPLINK DOWN""), 1), """")"),"")</f>
        <v/>
      </c>
      <c r="M218" s="32" t="str">
        <f>IFERROR(__xludf.DUMMYFUNCTION("IFERROR(INDEX(FILTER('OLT DOWN Tickets'!$F:$F, REGEXMATCH('OLT DOWN Tickets'!$AB:$AB, ""(?i)""&amp;TRIM(D218)), 'OLT DOWN Tickets'!$L:$L=""OLT SERVICE DEGRADATION""), 1), """")
"),"")</f>
        <v/>
      </c>
      <c r="N218" s="6" t="b">
        <v>0</v>
      </c>
      <c r="O218" s="6" t="b">
        <v>0</v>
      </c>
      <c r="P218" s="6" t="b">
        <v>0</v>
      </c>
      <c r="Q218" s="6" t="b">
        <v>0</v>
      </c>
      <c r="R218" s="6"/>
      <c r="S218" s="6"/>
      <c r="T218" s="6"/>
      <c r="U218" s="6"/>
    </row>
    <row r="219">
      <c r="A219" s="19"/>
      <c r="B219" s="26" t="s">
        <v>418</v>
      </c>
      <c r="C219" s="26" t="s">
        <v>325</v>
      </c>
      <c r="D219" s="27" t="s">
        <v>435</v>
      </c>
      <c r="E219" s="6" t="b">
        <f t="shared" si="1"/>
        <v>1</v>
      </c>
      <c r="F219" s="6" t="b">
        <f>COUNTIFS('OLT DOWN Tickets'!$AB:$AB, "*" &amp; D219 &amp; "*", 'OLT DOWN Tickets'!$L:$L, "OLT DOWN") &gt; 0</f>
        <v>0</v>
      </c>
      <c r="G219" s="6" t="b">
        <f>COUNTIFS('OLT DOWN Tickets'!$AB:$AB, "*" &amp; D219 &amp; "*", 'OLT DOWN Tickets'!$L:$L, "OLT UPLINK LOW POWER") &gt; 0</f>
        <v>0</v>
      </c>
      <c r="H219" s="6" t="b">
        <f>COUNTIFS('OLT DOWN Tickets'!$AB:$AB, "*" &amp; D219 &amp; "*", 'OLT DOWN Tickets'!$L:$L, "OLT UPLINK DOWN") &gt; 0</f>
        <v>0</v>
      </c>
      <c r="I219" s="6" t="b">
        <f>COUNTIFS('OLT DOWN Tickets'!$AB:$AB, "*" &amp; D219 &amp; "*", 'OLT DOWN Tickets'!$L:$L, "OLT SERVICE DEGRADATION") &gt; 0</f>
        <v>0</v>
      </c>
      <c r="J219" s="32" t="str">
        <f>IFERROR(__xludf.DUMMYFUNCTION("IFERROR(INDEX(FILTER('OLT DOWN Tickets'!$F:$F, REGEXMATCH('OLT DOWN Tickets'!$AB:$AB, ""(?i)""&amp;TRIM(D219)), 'OLT DOWN Tickets'!$L:$L=""OLT DOWN""), 1), """")"),"")</f>
        <v/>
      </c>
      <c r="K219" s="32" t="str">
        <f>IFERROR(__xludf.DUMMYFUNCTION("IFERROR(INDEX(FILTER('OLT DOWN Tickets'!$F:$F, REGEXMATCH('OLT DOWN Tickets'!$AB:$AB, ""(?i)""&amp;TRIM(D219)), 'OLT DOWN Tickets'!$L:$L=""OLT UPLINK LOW POWER""), 1), """")"),"")</f>
        <v/>
      </c>
      <c r="L219" s="32" t="str">
        <f>IFERROR(__xludf.DUMMYFUNCTION("IFERROR(INDEX(FILTER('OLT DOWN Tickets'!$F:$F, REGEXMATCH('OLT DOWN Tickets'!$AB:$AB, ""(?i)""&amp;TRIM(D219)), 'OLT DOWN Tickets'!$L:$L=""OLT UPLINK DOWN""), 1), """")"),"")</f>
        <v/>
      </c>
      <c r="M219" s="32" t="str">
        <f>IFERROR(__xludf.DUMMYFUNCTION("IFERROR(INDEX(FILTER('OLT DOWN Tickets'!$F:$F, REGEXMATCH('OLT DOWN Tickets'!$AB:$AB, ""(?i)""&amp;TRIM(D219)), 'OLT DOWN Tickets'!$L:$L=""OLT SERVICE DEGRADATION""), 1), """")
"),"")</f>
        <v/>
      </c>
      <c r="N219" s="6" t="b">
        <v>0</v>
      </c>
      <c r="O219" s="6" t="b">
        <v>0</v>
      </c>
      <c r="P219" s="6" t="b">
        <v>0</v>
      </c>
      <c r="Q219" s="6" t="b">
        <v>0</v>
      </c>
      <c r="R219" s="6"/>
      <c r="S219" s="6"/>
      <c r="T219" s="6"/>
      <c r="U219" s="6"/>
    </row>
    <row r="220">
      <c r="A220" s="19"/>
      <c r="B220" s="26" t="s">
        <v>418</v>
      </c>
      <c r="C220" s="26" t="s">
        <v>436</v>
      </c>
      <c r="D220" s="27" t="s">
        <v>437</v>
      </c>
      <c r="E220" s="6" t="b">
        <f t="shared" si="1"/>
        <v>1</v>
      </c>
      <c r="F220" s="6" t="b">
        <f>COUNTIFS('OLT DOWN Tickets'!$AB:$AB, "*" &amp; D220 &amp; "*", 'OLT DOWN Tickets'!$L:$L, "OLT DOWN") &gt; 0</f>
        <v>0</v>
      </c>
      <c r="G220" s="6" t="b">
        <f>COUNTIFS('OLT DOWN Tickets'!$AB:$AB, "*" &amp; D220 &amp; "*", 'OLT DOWN Tickets'!$L:$L, "OLT UPLINK LOW POWER") &gt; 0</f>
        <v>0</v>
      </c>
      <c r="H220" s="6" t="b">
        <f>COUNTIFS('OLT DOWN Tickets'!$AB:$AB, "*" &amp; D220 &amp; "*", 'OLT DOWN Tickets'!$L:$L, "OLT UPLINK DOWN") &gt; 0</f>
        <v>0</v>
      </c>
      <c r="I220" s="6" t="b">
        <f>COUNTIFS('OLT DOWN Tickets'!$AB:$AB, "*" &amp; D220 &amp; "*", 'OLT DOWN Tickets'!$L:$L, "OLT SERVICE DEGRADATION") &gt; 0</f>
        <v>0</v>
      </c>
      <c r="J220" s="32" t="str">
        <f>IFERROR(__xludf.DUMMYFUNCTION("IFERROR(INDEX(FILTER('OLT DOWN Tickets'!$F:$F, REGEXMATCH('OLT DOWN Tickets'!$AB:$AB, ""(?i)""&amp;TRIM(D220)), 'OLT DOWN Tickets'!$L:$L=""OLT DOWN""), 1), """")"),"")</f>
        <v/>
      </c>
      <c r="K220" s="32" t="str">
        <f>IFERROR(__xludf.DUMMYFUNCTION("IFERROR(INDEX(FILTER('OLT DOWN Tickets'!$F:$F, REGEXMATCH('OLT DOWN Tickets'!$AB:$AB, ""(?i)""&amp;TRIM(D220)), 'OLT DOWN Tickets'!$L:$L=""OLT UPLINK LOW POWER""), 1), """")"),"")</f>
        <v/>
      </c>
      <c r="L220" s="32" t="str">
        <f>IFERROR(__xludf.DUMMYFUNCTION("IFERROR(INDEX(FILTER('OLT DOWN Tickets'!$F:$F, REGEXMATCH('OLT DOWN Tickets'!$AB:$AB, ""(?i)""&amp;TRIM(D220)), 'OLT DOWN Tickets'!$L:$L=""OLT UPLINK DOWN""), 1), """")"),"")</f>
        <v/>
      </c>
      <c r="M220" s="32" t="str">
        <f>IFERROR(__xludf.DUMMYFUNCTION("IFERROR(INDEX(FILTER('OLT DOWN Tickets'!$F:$F, REGEXMATCH('OLT DOWN Tickets'!$AB:$AB, ""(?i)""&amp;TRIM(D220)), 'OLT DOWN Tickets'!$L:$L=""OLT SERVICE DEGRADATION""), 1), """")
"),"")</f>
        <v/>
      </c>
      <c r="N220" s="6" t="b">
        <v>0</v>
      </c>
      <c r="O220" s="6" t="b">
        <v>0</v>
      </c>
      <c r="P220" s="6" t="b">
        <v>0</v>
      </c>
      <c r="Q220" s="6" t="b">
        <v>0</v>
      </c>
      <c r="R220" s="6"/>
      <c r="S220" s="6"/>
      <c r="T220" s="6"/>
      <c r="U220" s="6"/>
    </row>
    <row r="221">
      <c r="A221" s="19"/>
      <c r="B221" s="26" t="s">
        <v>418</v>
      </c>
      <c r="C221" s="26" t="s">
        <v>436</v>
      </c>
      <c r="D221" s="27" t="s">
        <v>438</v>
      </c>
      <c r="E221" s="6" t="b">
        <f t="shared" si="1"/>
        <v>1</v>
      </c>
      <c r="F221" s="6" t="b">
        <f>COUNTIFS('OLT DOWN Tickets'!$AB:$AB, "*" &amp; D221 &amp; "*", 'OLT DOWN Tickets'!$L:$L, "OLT DOWN") &gt; 0</f>
        <v>0</v>
      </c>
      <c r="G221" s="6" t="b">
        <f>COUNTIFS('OLT DOWN Tickets'!$AB:$AB, "*" &amp; D221 &amp; "*", 'OLT DOWN Tickets'!$L:$L, "OLT UPLINK LOW POWER") &gt; 0</f>
        <v>0</v>
      </c>
      <c r="H221" s="6" t="b">
        <f>COUNTIFS('OLT DOWN Tickets'!$AB:$AB, "*" &amp; D221 &amp; "*", 'OLT DOWN Tickets'!$L:$L, "OLT UPLINK DOWN") &gt; 0</f>
        <v>0</v>
      </c>
      <c r="I221" s="6" t="b">
        <f>COUNTIFS('OLT DOWN Tickets'!$AB:$AB, "*" &amp; D221 &amp; "*", 'OLT DOWN Tickets'!$L:$L, "OLT SERVICE DEGRADATION") &gt; 0</f>
        <v>0</v>
      </c>
      <c r="J221" s="32" t="str">
        <f>IFERROR(__xludf.DUMMYFUNCTION("IFERROR(INDEX(FILTER('OLT DOWN Tickets'!$F:$F, REGEXMATCH('OLT DOWN Tickets'!$AB:$AB, ""(?i)""&amp;TRIM(D221)), 'OLT DOWN Tickets'!$L:$L=""OLT DOWN""), 1), """")"),"")</f>
        <v/>
      </c>
      <c r="K221" s="32" t="str">
        <f>IFERROR(__xludf.DUMMYFUNCTION("IFERROR(INDEX(FILTER('OLT DOWN Tickets'!$F:$F, REGEXMATCH('OLT DOWN Tickets'!$AB:$AB, ""(?i)""&amp;TRIM(D221)), 'OLT DOWN Tickets'!$L:$L=""OLT UPLINK LOW POWER""), 1), """")"),"")</f>
        <v/>
      </c>
      <c r="L221" s="32" t="str">
        <f>IFERROR(__xludf.DUMMYFUNCTION("IFERROR(INDEX(FILTER('OLT DOWN Tickets'!$F:$F, REGEXMATCH('OLT DOWN Tickets'!$AB:$AB, ""(?i)""&amp;TRIM(D221)), 'OLT DOWN Tickets'!$L:$L=""OLT UPLINK DOWN""), 1), """")"),"")</f>
        <v/>
      </c>
      <c r="M221" s="32" t="str">
        <f>IFERROR(__xludf.DUMMYFUNCTION("IFERROR(INDEX(FILTER('OLT DOWN Tickets'!$F:$F, REGEXMATCH('OLT DOWN Tickets'!$AB:$AB, ""(?i)""&amp;TRIM(D221)), 'OLT DOWN Tickets'!$L:$L=""OLT SERVICE DEGRADATION""), 1), """")
"),"")</f>
        <v/>
      </c>
      <c r="N221" s="6" t="b">
        <v>0</v>
      </c>
      <c r="O221" s="6" t="b">
        <v>0</v>
      </c>
      <c r="P221" s="6" t="b">
        <v>0</v>
      </c>
      <c r="Q221" s="6" t="b">
        <v>0</v>
      </c>
      <c r="R221" s="6"/>
      <c r="S221" s="6"/>
      <c r="T221" s="6"/>
      <c r="U221" s="6"/>
    </row>
    <row r="222">
      <c r="A222" s="19"/>
      <c r="B222" s="26" t="s">
        <v>418</v>
      </c>
      <c r="C222" s="26" t="s">
        <v>436</v>
      </c>
      <c r="D222" s="27" t="s">
        <v>439</v>
      </c>
      <c r="E222" s="6" t="b">
        <f t="shared" si="1"/>
        <v>1</v>
      </c>
      <c r="F222" s="6" t="b">
        <f>COUNTIFS('OLT DOWN Tickets'!$AB:$AB, "*" &amp; D222 &amp; "*", 'OLT DOWN Tickets'!$L:$L, "OLT DOWN") &gt; 0</f>
        <v>0</v>
      </c>
      <c r="G222" s="6" t="b">
        <f>COUNTIFS('OLT DOWN Tickets'!$AB:$AB, "*" &amp; D222 &amp; "*", 'OLT DOWN Tickets'!$L:$L, "OLT UPLINK LOW POWER") &gt; 0</f>
        <v>0</v>
      </c>
      <c r="H222" s="6" t="b">
        <f>COUNTIFS('OLT DOWN Tickets'!$AB:$AB, "*" &amp; D222 &amp; "*", 'OLT DOWN Tickets'!$L:$L, "OLT UPLINK DOWN") &gt; 0</f>
        <v>0</v>
      </c>
      <c r="I222" s="6" t="b">
        <f>COUNTIFS('OLT DOWN Tickets'!$AB:$AB, "*" &amp; D222 &amp; "*", 'OLT DOWN Tickets'!$L:$L, "OLT SERVICE DEGRADATION") &gt; 0</f>
        <v>0</v>
      </c>
      <c r="J222" s="32" t="str">
        <f>IFERROR(__xludf.DUMMYFUNCTION("IFERROR(INDEX(FILTER('OLT DOWN Tickets'!$F:$F, REGEXMATCH('OLT DOWN Tickets'!$AB:$AB, ""(?i)""&amp;TRIM(D222)), 'OLT DOWN Tickets'!$L:$L=""OLT DOWN""), 1), """")"),"")</f>
        <v/>
      </c>
      <c r="K222" s="32" t="str">
        <f>IFERROR(__xludf.DUMMYFUNCTION("IFERROR(INDEX(FILTER('OLT DOWN Tickets'!$F:$F, REGEXMATCH('OLT DOWN Tickets'!$AB:$AB, ""(?i)""&amp;TRIM(D222)), 'OLT DOWN Tickets'!$L:$L=""OLT UPLINK LOW POWER""), 1), """")"),"")</f>
        <v/>
      </c>
      <c r="L222" s="32" t="str">
        <f>IFERROR(__xludf.DUMMYFUNCTION("IFERROR(INDEX(FILTER('OLT DOWN Tickets'!$F:$F, REGEXMATCH('OLT DOWN Tickets'!$AB:$AB, ""(?i)""&amp;TRIM(D222)), 'OLT DOWN Tickets'!$L:$L=""OLT UPLINK DOWN""), 1), """")"),"")</f>
        <v/>
      </c>
      <c r="M222" s="32" t="str">
        <f>IFERROR(__xludf.DUMMYFUNCTION("IFERROR(INDEX(FILTER('OLT DOWN Tickets'!$F:$F, REGEXMATCH('OLT DOWN Tickets'!$AB:$AB, ""(?i)""&amp;TRIM(D222)), 'OLT DOWN Tickets'!$L:$L=""OLT SERVICE DEGRADATION""), 1), """")
"),"")</f>
        <v/>
      </c>
      <c r="N222" s="6" t="b">
        <v>0</v>
      </c>
      <c r="O222" s="6" t="b">
        <v>0</v>
      </c>
      <c r="P222" s="6" t="b">
        <v>0</v>
      </c>
      <c r="Q222" s="6" t="b">
        <v>0</v>
      </c>
      <c r="R222" s="6"/>
      <c r="S222" s="6"/>
      <c r="T222" s="6"/>
      <c r="U222" s="6"/>
    </row>
    <row r="223">
      <c r="A223" s="19"/>
      <c r="B223" s="26" t="s">
        <v>418</v>
      </c>
      <c r="C223" s="26" t="s">
        <v>436</v>
      </c>
      <c r="D223" s="27" t="s">
        <v>440</v>
      </c>
      <c r="E223" s="6" t="b">
        <f t="shared" si="1"/>
        <v>1</v>
      </c>
      <c r="F223" s="6" t="b">
        <f>COUNTIFS('OLT DOWN Tickets'!$AB:$AB, "*" &amp; D223 &amp; "*", 'OLT DOWN Tickets'!$L:$L, "OLT DOWN") &gt; 0</f>
        <v>0</v>
      </c>
      <c r="G223" s="6" t="b">
        <f>COUNTIFS('OLT DOWN Tickets'!$AB:$AB, "*" &amp; D223 &amp; "*", 'OLT DOWN Tickets'!$L:$L, "OLT UPLINK LOW POWER") &gt; 0</f>
        <v>0</v>
      </c>
      <c r="H223" s="6" t="b">
        <f>COUNTIFS('OLT DOWN Tickets'!$AB:$AB, "*" &amp; D223 &amp; "*", 'OLT DOWN Tickets'!$L:$L, "OLT UPLINK DOWN") &gt; 0</f>
        <v>0</v>
      </c>
      <c r="I223" s="6" t="b">
        <f>COUNTIFS('OLT DOWN Tickets'!$AB:$AB, "*" &amp; D223 &amp; "*", 'OLT DOWN Tickets'!$L:$L, "OLT SERVICE DEGRADATION") &gt; 0</f>
        <v>0</v>
      </c>
      <c r="J223" s="32" t="str">
        <f>IFERROR(__xludf.DUMMYFUNCTION("IFERROR(INDEX(FILTER('OLT DOWN Tickets'!$F:$F, REGEXMATCH('OLT DOWN Tickets'!$AB:$AB, ""(?i)""&amp;TRIM(D223)), 'OLT DOWN Tickets'!$L:$L=""OLT DOWN""), 1), """")"),"")</f>
        <v/>
      </c>
      <c r="K223" s="32" t="str">
        <f>IFERROR(__xludf.DUMMYFUNCTION("IFERROR(INDEX(FILTER('OLT DOWN Tickets'!$F:$F, REGEXMATCH('OLT DOWN Tickets'!$AB:$AB, ""(?i)""&amp;TRIM(D223)), 'OLT DOWN Tickets'!$L:$L=""OLT UPLINK LOW POWER""), 1), """")"),"")</f>
        <v/>
      </c>
      <c r="L223" s="32" t="str">
        <f>IFERROR(__xludf.DUMMYFUNCTION("IFERROR(INDEX(FILTER('OLT DOWN Tickets'!$F:$F, REGEXMATCH('OLT DOWN Tickets'!$AB:$AB, ""(?i)""&amp;TRIM(D223)), 'OLT DOWN Tickets'!$L:$L=""OLT UPLINK DOWN""), 1), """")"),"")</f>
        <v/>
      </c>
      <c r="M223" s="32" t="str">
        <f>IFERROR(__xludf.DUMMYFUNCTION("IFERROR(INDEX(FILTER('OLT DOWN Tickets'!$F:$F, REGEXMATCH('OLT DOWN Tickets'!$AB:$AB, ""(?i)""&amp;TRIM(D223)), 'OLT DOWN Tickets'!$L:$L=""OLT SERVICE DEGRADATION""), 1), """")
"),"")</f>
        <v/>
      </c>
      <c r="N223" s="6" t="b">
        <v>0</v>
      </c>
      <c r="O223" s="6" t="b">
        <v>0</v>
      </c>
      <c r="P223" s="6" t="b">
        <v>0</v>
      </c>
      <c r="Q223" s="6" t="b">
        <v>0</v>
      </c>
      <c r="R223" s="6"/>
      <c r="S223" s="6"/>
      <c r="T223" s="6"/>
      <c r="U223" s="6"/>
    </row>
    <row r="224">
      <c r="A224" s="19"/>
      <c r="B224" s="26" t="s">
        <v>418</v>
      </c>
      <c r="C224" s="26" t="s">
        <v>441</v>
      </c>
      <c r="D224" s="27" t="s">
        <v>442</v>
      </c>
      <c r="E224" s="6" t="b">
        <f t="shared" si="1"/>
        <v>1</v>
      </c>
      <c r="F224" s="6" t="b">
        <f>COUNTIFS('OLT DOWN Tickets'!$AB:$AB, "*" &amp; D224 &amp; "*", 'OLT DOWN Tickets'!$L:$L, "OLT DOWN") &gt; 0</f>
        <v>0</v>
      </c>
      <c r="G224" s="6" t="b">
        <f>COUNTIFS('OLT DOWN Tickets'!$AB:$AB, "*" &amp; D224 &amp; "*", 'OLT DOWN Tickets'!$L:$L, "OLT UPLINK LOW POWER") &gt; 0</f>
        <v>0</v>
      </c>
      <c r="H224" s="6" t="b">
        <f>COUNTIFS('OLT DOWN Tickets'!$AB:$AB, "*" &amp; D224 &amp; "*", 'OLT DOWN Tickets'!$L:$L, "OLT UPLINK DOWN") &gt; 0</f>
        <v>0</v>
      </c>
      <c r="I224" s="6" t="b">
        <f>COUNTIFS('OLT DOWN Tickets'!$AB:$AB, "*" &amp; D224 &amp; "*", 'OLT DOWN Tickets'!$L:$L, "OLT SERVICE DEGRADATION") &gt; 0</f>
        <v>0</v>
      </c>
      <c r="J224" s="32" t="str">
        <f>IFERROR(__xludf.DUMMYFUNCTION("IFERROR(INDEX(FILTER('OLT DOWN Tickets'!$F:$F, REGEXMATCH('OLT DOWN Tickets'!$AB:$AB, ""(?i)""&amp;TRIM(D224)), 'OLT DOWN Tickets'!$L:$L=""OLT DOWN""), 1), """")"),"")</f>
        <v/>
      </c>
      <c r="K224" s="32" t="str">
        <f>IFERROR(__xludf.DUMMYFUNCTION("IFERROR(INDEX(FILTER('OLT DOWN Tickets'!$F:$F, REGEXMATCH('OLT DOWN Tickets'!$AB:$AB, ""(?i)""&amp;TRIM(D224)), 'OLT DOWN Tickets'!$L:$L=""OLT UPLINK LOW POWER""), 1), """")"),"")</f>
        <v/>
      </c>
      <c r="L224" s="32" t="str">
        <f>IFERROR(__xludf.DUMMYFUNCTION("IFERROR(INDEX(FILTER('OLT DOWN Tickets'!$F:$F, REGEXMATCH('OLT DOWN Tickets'!$AB:$AB, ""(?i)""&amp;TRIM(D224)), 'OLT DOWN Tickets'!$L:$L=""OLT UPLINK DOWN""), 1), """")"),"")</f>
        <v/>
      </c>
      <c r="M224" s="32" t="str">
        <f>IFERROR(__xludf.DUMMYFUNCTION("IFERROR(INDEX(FILTER('OLT DOWN Tickets'!$F:$F, REGEXMATCH('OLT DOWN Tickets'!$AB:$AB, ""(?i)""&amp;TRIM(D224)), 'OLT DOWN Tickets'!$L:$L=""OLT SERVICE DEGRADATION""), 1), """")
"),"")</f>
        <v/>
      </c>
      <c r="N224" s="6" t="b">
        <v>0</v>
      </c>
      <c r="O224" s="6" t="b">
        <v>0</v>
      </c>
      <c r="P224" s="6" t="b">
        <v>0</v>
      </c>
      <c r="Q224" s="6" t="b">
        <v>0</v>
      </c>
      <c r="R224" s="6"/>
      <c r="S224" s="6"/>
      <c r="T224" s="6"/>
      <c r="U224" s="6"/>
    </row>
    <row r="225">
      <c r="A225" s="19"/>
      <c r="B225" s="26" t="s">
        <v>418</v>
      </c>
      <c r="C225" s="26" t="s">
        <v>441</v>
      </c>
      <c r="D225" s="27" t="s">
        <v>443</v>
      </c>
      <c r="E225" s="6" t="b">
        <f t="shared" si="1"/>
        <v>1</v>
      </c>
      <c r="F225" s="6" t="b">
        <f>COUNTIFS('OLT DOWN Tickets'!$AB:$AB, "*" &amp; D225 &amp; "*", 'OLT DOWN Tickets'!$L:$L, "OLT DOWN") &gt; 0</f>
        <v>0</v>
      </c>
      <c r="G225" s="6" t="b">
        <f>COUNTIFS('OLT DOWN Tickets'!$AB:$AB, "*" &amp; D225 &amp; "*", 'OLT DOWN Tickets'!$L:$L, "OLT UPLINK LOW POWER") &gt; 0</f>
        <v>0</v>
      </c>
      <c r="H225" s="6" t="b">
        <f>COUNTIFS('OLT DOWN Tickets'!$AB:$AB, "*" &amp; D225 &amp; "*", 'OLT DOWN Tickets'!$L:$L, "OLT UPLINK DOWN") &gt; 0</f>
        <v>0</v>
      </c>
      <c r="I225" s="6" t="b">
        <f>COUNTIFS('OLT DOWN Tickets'!$AB:$AB, "*" &amp; D225 &amp; "*", 'OLT DOWN Tickets'!$L:$L, "OLT SERVICE DEGRADATION") &gt; 0</f>
        <v>0</v>
      </c>
      <c r="J225" s="32" t="str">
        <f>IFERROR(__xludf.DUMMYFUNCTION("IFERROR(INDEX(FILTER('OLT DOWN Tickets'!$F:$F, REGEXMATCH('OLT DOWN Tickets'!$AB:$AB, ""(?i)""&amp;TRIM(D225)), 'OLT DOWN Tickets'!$L:$L=""OLT DOWN""), 1), """")"),"")</f>
        <v/>
      </c>
      <c r="K225" s="32" t="str">
        <f>IFERROR(__xludf.DUMMYFUNCTION("IFERROR(INDEX(FILTER('OLT DOWN Tickets'!$F:$F, REGEXMATCH('OLT DOWN Tickets'!$AB:$AB, ""(?i)""&amp;TRIM(D225)), 'OLT DOWN Tickets'!$L:$L=""OLT UPLINK LOW POWER""), 1), """")"),"")</f>
        <v/>
      </c>
      <c r="L225" s="32" t="str">
        <f>IFERROR(__xludf.DUMMYFUNCTION("IFERROR(INDEX(FILTER('OLT DOWN Tickets'!$F:$F, REGEXMATCH('OLT DOWN Tickets'!$AB:$AB, ""(?i)""&amp;TRIM(D225)), 'OLT DOWN Tickets'!$L:$L=""OLT UPLINK DOWN""), 1), """")"),"")</f>
        <v/>
      </c>
      <c r="M225" s="32" t="str">
        <f>IFERROR(__xludf.DUMMYFUNCTION("IFERROR(INDEX(FILTER('OLT DOWN Tickets'!$F:$F, REGEXMATCH('OLT DOWN Tickets'!$AB:$AB, ""(?i)""&amp;TRIM(D225)), 'OLT DOWN Tickets'!$L:$L=""OLT SERVICE DEGRADATION""), 1), """")
"),"")</f>
        <v/>
      </c>
      <c r="N225" s="6" t="b">
        <v>0</v>
      </c>
      <c r="O225" s="6" t="b">
        <v>0</v>
      </c>
      <c r="P225" s="6" t="b">
        <v>0</v>
      </c>
      <c r="Q225" s="6" t="b">
        <v>0</v>
      </c>
      <c r="R225" s="6"/>
      <c r="S225" s="6"/>
      <c r="T225" s="6"/>
      <c r="U225" s="6"/>
    </row>
    <row r="226">
      <c r="A226" s="19"/>
      <c r="B226" s="26" t="s">
        <v>418</v>
      </c>
      <c r="C226" s="26" t="s">
        <v>444</v>
      </c>
      <c r="D226" s="27" t="s">
        <v>445</v>
      </c>
      <c r="E226" s="6" t="b">
        <f t="shared" si="1"/>
        <v>1</v>
      </c>
      <c r="F226" s="6" t="b">
        <f>COUNTIFS('OLT DOWN Tickets'!$AB:$AB, "*" &amp; D226 &amp; "*", 'OLT DOWN Tickets'!$L:$L, "OLT DOWN") &gt; 0</f>
        <v>0</v>
      </c>
      <c r="G226" s="6" t="b">
        <f>COUNTIFS('OLT DOWN Tickets'!$AB:$AB, "*" &amp; D226 &amp; "*", 'OLT DOWN Tickets'!$L:$L, "OLT UPLINK LOW POWER") &gt; 0</f>
        <v>0</v>
      </c>
      <c r="H226" s="6" t="b">
        <f>COUNTIFS('OLT DOWN Tickets'!$AB:$AB, "*" &amp; D226 &amp; "*", 'OLT DOWN Tickets'!$L:$L, "OLT UPLINK DOWN") &gt; 0</f>
        <v>0</v>
      </c>
      <c r="I226" s="6" t="b">
        <f>COUNTIFS('OLT DOWN Tickets'!$AB:$AB, "*" &amp; D226 &amp; "*", 'OLT DOWN Tickets'!$L:$L, "OLT SERVICE DEGRADATION") &gt; 0</f>
        <v>0</v>
      </c>
      <c r="J226" s="32" t="str">
        <f>IFERROR(__xludf.DUMMYFUNCTION("IFERROR(INDEX(FILTER('OLT DOWN Tickets'!$F:$F, REGEXMATCH('OLT DOWN Tickets'!$AB:$AB, ""(?i)""&amp;TRIM(D226)), 'OLT DOWN Tickets'!$L:$L=""OLT DOWN""), 1), """")"),"")</f>
        <v/>
      </c>
      <c r="K226" s="32" t="str">
        <f>IFERROR(__xludf.DUMMYFUNCTION("IFERROR(INDEX(FILTER('OLT DOWN Tickets'!$F:$F, REGEXMATCH('OLT DOWN Tickets'!$AB:$AB, ""(?i)""&amp;TRIM(D226)), 'OLT DOWN Tickets'!$L:$L=""OLT UPLINK LOW POWER""), 1), """")"),"")</f>
        <v/>
      </c>
      <c r="L226" s="32" t="str">
        <f>IFERROR(__xludf.DUMMYFUNCTION("IFERROR(INDEX(FILTER('OLT DOWN Tickets'!$F:$F, REGEXMATCH('OLT DOWN Tickets'!$AB:$AB, ""(?i)""&amp;TRIM(D226)), 'OLT DOWN Tickets'!$L:$L=""OLT UPLINK DOWN""), 1), """")"),"")</f>
        <v/>
      </c>
      <c r="M226" s="32" t="str">
        <f>IFERROR(__xludf.DUMMYFUNCTION("IFERROR(INDEX(FILTER('OLT DOWN Tickets'!$F:$F, REGEXMATCH('OLT DOWN Tickets'!$AB:$AB, ""(?i)""&amp;TRIM(D226)), 'OLT DOWN Tickets'!$L:$L=""OLT SERVICE DEGRADATION""), 1), """")
"),"")</f>
        <v/>
      </c>
      <c r="N226" s="6" t="b">
        <v>0</v>
      </c>
      <c r="O226" s="6" t="b">
        <v>0</v>
      </c>
      <c r="P226" s="6" t="b">
        <v>0</v>
      </c>
      <c r="Q226" s="6" t="b">
        <v>0</v>
      </c>
      <c r="R226" s="6"/>
      <c r="S226" s="6"/>
      <c r="T226" s="6"/>
      <c r="U226" s="6"/>
    </row>
    <row r="227">
      <c r="A227" s="19"/>
      <c r="B227" s="26" t="s">
        <v>418</v>
      </c>
      <c r="C227" s="26" t="s">
        <v>444</v>
      </c>
      <c r="D227" s="27" t="s">
        <v>446</v>
      </c>
      <c r="E227" s="6" t="b">
        <f t="shared" si="1"/>
        <v>1</v>
      </c>
      <c r="F227" s="6" t="b">
        <f>COUNTIFS('OLT DOWN Tickets'!$AB:$AB, "*" &amp; D227 &amp; "*", 'OLT DOWN Tickets'!$L:$L, "OLT DOWN") &gt; 0</f>
        <v>0</v>
      </c>
      <c r="G227" s="6" t="b">
        <f>COUNTIFS('OLT DOWN Tickets'!$AB:$AB, "*" &amp; D227 &amp; "*", 'OLT DOWN Tickets'!$L:$L, "OLT UPLINK LOW POWER") &gt; 0</f>
        <v>0</v>
      </c>
      <c r="H227" s="6" t="b">
        <f>COUNTIFS('OLT DOWN Tickets'!$AB:$AB, "*" &amp; D227 &amp; "*", 'OLT DOWN Tickets'!$L:$L, "OLT UPLINK DOWN") &gt; 0</f>
        <v>0</v>
      </c>
      <c r="I227" s="6" t="b">
        <f>COUNTIFS('OLT DOWN Tickets'!$AB:$AB, "*" &amp; D227 &amp; "*", 'OLT DOWN Tickets'!$L:$L, "OLT SERVICE DEGRADATION") &gt; 0</f>
        <v>0</v>
      </c>
      <c r="J227" s="32" t="str">
        <f>IFERROR(__xludf.DUMMYFUNCTION("IFERROR(INDEX(FILTER('OLT DOWN Tickets'!$F:$F, REGEXMATCH('OLT DOWN Tickets'!$AB:$AB, ""(?i)""&amp;TRIM(D227)), 'OLT DOWN Tickets'!$L:$L=""OLT DOWN""), 1), """")"),"")</f>
        <v/>
      </c>
      <c r="K227" s="32" t="str">
        <f>IFERROR(__xludf.DUMMYFUNCTION("IFERROR(INDEX(FILTER('OLT DOWN Tickets'!$F:$F, REGEXMATCH('OLT DOWN Tickets'!$AB:$AB, ""(?i)""&amp;TRIM(D227)), 'OLT DOWN Tickets'!$L:$L=""OLT UPLINK LOW POWER""), 1), """")"),"")</f>
        <v/>
      </c>
      <c r="L227" s="32" t="str">
        <f>IFERROR(__xludf.DUMMYFUNCTION("IFERROR(INDEX(FILTER('OLT DOWN Tickets'!$F:$F, REGEXMATCH('OLT DOWN Tickets'!$AB:$AB, ""(?i)""&amp;TRIM(D227)), 'OLT DOWN Tickets'!$L:$L=""OLT UPLINK DOWN""), 1), """")"),"")</f>
        <v/>
      </c>
      <c r="M227" s="32" t="str">
        <f>IFERROR(__xludf.DUMMYFUNCTION("IFERROR(INDEX(FILTER('OLT DOWN Tickets'!$F:$F, REGEXMATCH('OLT DOWN Tickets'!$AB:$AB, ""(?i)""&amp;TRIM(D227)), 'OLT DOWN Tickets'!$L:$L=""OLT SERVICE DEGRADATION""), 1), """")
"),"")</f>
        <v/>
      </c>
      <c r="N227" s="6" t="b">
        <v>0</v>
      </c>
      <c r="O227" s="6" t="b">
        <v>0</v>
      </c>
      <c r="P227" s="6" t="b">
        <v>0</v>
      </c>
      <c r="Q227" s="6" t="b">
        <v>0</v>
      </c>
      <c r="R227" s="6"/>
      <c r="S227" s="6"/>
      <c r="T227" s="6"/>
      <c r="U227" s="6"/>
    </row>
    <row r="228">
      <c r="A228" s="19"/>
      <c r="B228" s="26" t="s">
        <v>418</v>
      </c>
      <c r="C228" s="26" t="s">
        <v>444</v>
      </c>
      <c r="D228" s="27" t="s">
        <v>447</v>
      </c>
      <c r="E228" s="6" t="b">
        <f t="shared" si="1"/>
        <v>1</v>
      </c>
      <c r="F228" s="6" t="b">
        <f>COUNTIFS('OLT DOWN Tickets'!$AB:$AB, "*" &amp; D228 &amp; "*", 'OLT DOWN Tickets'!$L:$L, "OLT DOWN") &gt; 0</f>
        <v>0</v>
      </c>
      <c r="G228" s="6" t="b">
        <f>COUNTIFS('OLT DOWN Tickets'!$AB:$AB, "*" &amp; D228 &amp; "*", 'OLT DOWN Tickets'!$L:$L, "OLT UPLINK LOW POWER") &gt; 0</f>
        <v>0</v>
      </c>
      <c r="H228" s="6" t="b">
        <f>COUNTIFS('OLT DOWN Tickets'!$AB:$AB, "*" &amp; D228 &amp; "*", 'OLT DOWN Tickets'!$L:$L, "OLT UPLINK DOWN") &gt; 0</f>
        <v>0</v>
      </c>
      <c r="I228" s="6" t="b">
        <f>COUNTIFS('OLT DOWN Tickets'!$AB:$AB, "*" &amp; D228 &amp; "*", 'OLT DOWN Tickets'!$L:$L, "OLT SERVICE DEGRADATION") &gt; 0</f>
        <v>0</v>
      </c>
      <c r="J228" s="32" t="str">
        <f>IFERROR(__xludf.DUMMYFUNCTION("IFERROR(INDEX(FILTER('OLT DOWN Tickets'!$F:$F, REGEXMATCH('OLT DOWN Tickets'!$AB:$AB, ""(?i)""&amp;TRIM(D228)), 'OLT DOWN Tickets'!$L:$L=""OLT DOWN""), 1), """")"),"")</f>
        <v/>
      </c>
      <c r="K228" s="32" t="str">
        <f>IFERROR(__xludf.DUMMYFUNCTION("IFERROR(INDEX(FILTER('OLT DOWN Tickets'!$F:$F, REGEXMATCH('OLT DOWN Tickets'!$AB:$AB, ""(?i)""&amp;TRIM(D228)), 'OLT DOWN Tickets'!$L:$L=""OLT UPLINK LOW POWER""), 1), """")"),"")</f>
        <v/>
      </c>
      <c r="L228" s="32" t="str">
        <f>IFERROR(__xludf.DUMMYFUNCTION("IFERROR(INDEX(FILTER('OLT DOWN Tickets'!$F:$F, REGEXMATCH('OLT DOWN Tickets'!$AB:$AB, ""(?i)""&amp;TRIM(D228)), 'OLT DOWN Tickets'!$L:$L=""OLT UPLINK DOWN""), 1), """")"),"")</f>
        <v/>
      </c>
      <c r="M228" s="32" t="str">
        <f>IFERROR(__xludf.DUMMYFUNCTION("IFERROR(INDEX(FILTER('OLT DOWN Tickets'!$F:$F, REGEXMATCH('OLT DOWN Tickets'!$AB:$AB, ""(?i)""&amp;TRIM(D228)), 'OLT DOWN Tickets'!$L:$L=""OLT SERVICE DEGRADATION""), 1), """")
"),"")</f>
        <v/>
      </c>
      <c r="N228" s="6" t="b">
        <v>0</v>
      </c>
      <c r="O228" s="6" t="b">
        <v>0</v>
      </c>
      <c r="P228" s="6" t="b">
        <v>0</v>
      </c>
      <c r="Q228" s="6" t="b">
        <v>0</v>
      </c>
      <c r="R228" s="6"/>
      <c r="S228" s="6"/>
      <c r="T228" s="6"/>
      <c r="U228" s="6"/>
    </row>
    <row r="229">
      <c r="A229" s="19"/>
      <c r="B229" s="26" t="s">
        <v>418</v>
      </c>
      <c r="C229" s="26" t="s">
        <v>444</v>
      </c>
      <c r="D229" s="27" t="s">
        <v>448</v>
      </c>
      <c r="E229" s="6" t="b">
        <f t="shared" si="1"/>
        <v>1</v>
      </c>
      <c r="F229" s="6" t="b">
        <f>COUNTIFS('OLT DOWN Tickets'!$AB:$AB, "*" &amp; D229 &amp; "*", 'OLT DOWN Tickets'!$L:$L, "OLT DOWN") &gt; 0</f>
        <v>0</v>
      </c>
      <c r="G229" s="6" t="b">
        <f>COUNTIFS('OLT DOWN Tickets'!$AB:$AB, "*" &amp; D229 &amp; "*", 'OLT DOWN Tickets'!$L:$L, "OLT UPLINK LOW POWER") &gt; 0</f>
        <v>0</v>
      </c>
      <c r="H229" s="6" t="b">
        <f>COUNTIFS('OLT DOWN Tickets'!$AB:$AB, "*" &amp; D229 &amp; "*", 'OLT DOWN Tickets'!$L:$L, "OLT UPLINK DOWN") &gt; 0</f>
        <v>0</v>
      </c>
      <c r="I229" s="6" t="b">
        <f>COUNTIFS('OLT DOWN Tickets'!$AB:$AB, "*" &amp; D229 &amp; "*", 'OLT DOWN Tickets'!$L:$L, "OLT SERVICE DEGRADATION") &gt; 0</f>
        <v>0</v>
      </c>
      <c r="J229" s="32" t="str">
        <f>IFERROR(__xludf.DUMMYFUNCTION("IFERROR(INDEX(FILTER('OLT DOWN Tickets'!$F:$F, REGEXMATCH('OLT DOWN Tickets'!$AB:$AB, ""(?i)""&amp;TRIM(D229)), 'OLT DOWN Tickets'!$L:$L=""OLT DOWN""), 1), """")"),"")</f>
        <v/>
      </c>
      <c r="K229" s="32" t="str">
        <f>IFERROR(__xludf.DUMMYFUNCTION("IFERROR(INDEX(FILTER('OLT DOWN Tickets'!$F:$F, REGEXMATCH('OLT DOWN Tickets'!$AB:$AB, ""(?i)""&amp;TRIM(D229)), 'OLT DOWN Tickets'!$L:$L=""OLT UPLINK LOW POWER""), 1), """")"),"")</f>
        <v/>
      </c>
      <c r="L229" s="32" t="str">
        <f>IFERROR(__xludf.DUMMYFUNCTION("IFERROR(INDEX(FILTER('OLT DOWN Tickets'!$F:$F, REGEXMATCH('OLT DOWN Tickets'!$AB:$AB, ""(?i)""&amp;TRIM(D229)), 'OLT DOWN Tickets'!$L:$L=""OLT UPLINK DOWN""), 1), """")"),"")</f>
        <v/>
      </c>
      <c r="M229" s="32" t="str">
        <f>IFERROR(__xludf.DUMMYFUNCTION("IFERROR(INDEX(FILTER('OLT DOWN Tickets'!$F:$F, REGEXMATCH('OLT DOWN Tickets'!$AB:$AB, ""(?i)""&amp;TRIM(D229)), 'OLT DOWN Tickets'!$L:$L=""OLT SERVICE DEGRADATION""), 1), """")
"),"")</f>
        <v/>
      </c>
      <c r="N229" s="6" t="b">
        <v>0</v>
      </c>
      <c r="O229" s="6" t="b">
        <v>0</v>
      </c>
      <c r="P229" s="6" t="b">
        <v>0</v>
      </c>
      <c r="Q229" s="6" t="b">
        <v>0</v>
      </c>
      <c r="R229" s="6"/>
      <c r="S229" s="6"/>
      <c r="T229" s="6"/>
      <c r="U229" s="6"/>
    </row>
    <row r="230">
      <c r="A230" s="19"/>
      <c r="B230" s="26" t="s">
        <v>418</v>
      </c>
      <c r="C230" s="26" t="s">
        <v>444</v>
      </c>
      <c r="D230" s="27" t="s">
        <v>449</v>
      </c>
      <c r="E230" s="6" t="b">
        <f t="shared" si="1"/>
        <v>1</v>
      </c>
      <c r="F230" s="6" t="b">
        <f>COUNTIFS('OLT DOWN Tickets'!$AB:$AB, "*" &amp; D230 &amp; "*", 'OLT DOWN Tickets'!$L:$L, "OLT DOWN") &gt; 0</f>
        <v>0</v>
      </c>
      <c r="G230" s="6" t="b">
        <f>COUNTIFS('OLT DOWN Tickets'!$AB:$AB, "*" &amp; D230 &amp; "*", 'OLT DOWN Tickets'!$L:$L, "OLT UPLINK LOW POWER") &gt; 0</f>
        <v>0</v>
      </c>
      <c r="H230" s="6" t="b">
        <f>COUNTIFS('OLT DOWN Tickets'!$AB:$AB, "*" &amp; D230 &amp; "*", 'OLT DOWN Tickets'!$L:$L, "OLT UPLINK DOWN") &gt; 0</f>
        <v>0</v>
      </c>
      <c r="I230" s="6" t="b">
        <f>COUNTIFS('OLT DOWN Tickets'!$AB:$AB, "*" &amp; D230 &amp; "*", 'OLT DOWN Tickets'!$L:$L, "OLT SERVICE DEGRADATION") &gt; 0</f>
        <v>0</v>
      </c>
      <c r="J230" s="32" t="str">
        <f>IFERROR(__xludf.DUMMYFUNCTION("IFERROR(INDEX(FILTER('OLT DOWN Tickets'!$F:$F, REGEXMATCH('OLT DOWN Tickets'!$AB:$AB, ""(?i)""&amp;TRIM(D230)), 'OLT DOWN Tickets'!$L:$L=""OLT DOWN""), 1), """")"),"")</f>
        <v/>
      </c>
      <c r="K230" s="32" t="str">
        <f>IFERROR(__xludf.DUMMYFUNCTION("IFERROR(INDEX(FILTER('OLT DOWN Tickets'!$F:$F, REGEXMATCH('OLT DOWN Tickets'!$AB:$AB, ""(?i)""&amp;TRIM(D230)), 'OLT DOWN Tickets'!$L:$L=""OLT UPLINK LOW POWER""), 1), """")"),"")</f>
        <v/>
      </c>
      <c r="L230" s="32" t="str">
        <f>IFERROR(__xludf.DUMMYFUNCTION("IFERROR(INDEX(FILTER('OLT DOWN Tickets'!$F:$F, REGEXMATCH('OLT DOWN Tickets'!$AB:$AB, ""(?i)""&amp;TRIM(D230)), 'OLT DOWN Tickets'!$L:$L=""OLT UPLINK DOWN""), 1), """")"),"")</f>
        <v/>
      </c>
      <c r="M230" s="32" t="str">
        <f>IFERROR(__xludf.DUMMYFUNCTION("IFERROR(INDEX(FILTER('OLT DOWN Tickets'!$F:$F, REGEXMATCH('OLT DOWN Tickets'!$AB:$AB, ""(?i)""&amp;TRIM(D230)), 'OLT DOWN Tickets'!$L:$L=""OLT SERVICE DEGRADATION""), 1), """")
"),"")</f>
        <v/>
      </c>
      <c r="N230" s="6" t="b">
        <v>0</v>
      </c>
      <c r="O230" s="6" t="b">
        <v>0</v>
      </c>
      <c r="P230" s="6" t="b">
        <v>0</v>
      </c>
      <c r="Q230" s="6" t="b">
        <v>0</v>
      </c>
      <c r="R230" s="6"/>
      <c r="S230" s="6"/>
      <c r="T230" s="6"/>
      <c r="U230" s="6"/>
    </row>
    <row r="231">
      <c r="A231" s="19"/>
      <c r="B231" s="26" t="s">
        <v>418</v>
      </c>
      <c r="C231" s="26" t="s">
        <v>450</v>
      </c>
      <c r="D231" s="27" t="s">
        <v>451</v>
      </c>
      <c r="E231" s="6" t="b">
        <f t="shared" si="1"/>
        <v>1</v>
      </c>
      <c r="F231" s="6" t="b">
        <f>COUNTIFS('OLT DOWN Tickets'!$AB:$AB, "*" &amp; D231 &amp; "*", 'OLT DOWN Tickets'!$L:$L, "OLT DOWN") &gt; 0</f>
        <v>0</v>
      </c>
      <c r="G231" s="6" t="b">
        <f>COUNTIFS('OLT DOWN Tickets'!$AB:$AB, "*" &amp; D231 &amp; "*", 'OLT DOWN Tickets'!$L:$L, "OLT UPLINK LOW POWER") &gt; 0</f>
        <v>0</v>
      </c>
      <c r="H231" s="6" t="b">
        <f>COUNTIFS('OLT DOWN Tickets'!$AB:$AB, "*" &amp; D231 &amp; "*", 'OLT DOWN Tickets'!$L:$L, "OLT UPLINK DOWN") &gt; 0</f>
        <v>0</v>
      </c>
      <c r="I231" s="6" t="b">
        <f>COUNTIFS('OLT DOWN Tickets'!$AB:$AB, "*" &amp; D231 &amp; "*", 'OLT DOWN Tickets'!$L:$L, "OLT SERVICE DEGRADATION") &gt; 0</f>
        <v>0</v>
      </c>
      <c r="J231" s="32" t="str">
        <f>IFERROR(__xludf.DUMMYFUNCTION("IFERROR(INDEX(FILTER('OLT DOWN Tickets'!$F:$F, REGEXMATCH('OLT DOWN Tickets'!$AB:$AB, ""(?i)""&amp;TRIM(D231)), 'OLT DOWN Tickets'!$L:$L=""OLT DOWN""), 1), """")"),"")</f>
        <v/>
      </c>
      <c r="K231" s="32" t="str">
        <f>IFERROR(__xludf.DUMMYFUNCTION("IFERROR(INDEX(FILTER('OLT DOWN Tickets'!$F:$F, REGEXMATCH('OLT DOWN Tickets'!$AB:$AB, ""(?i)""&amp;TRIM(D231)), 'OLT DOWN Tickets'!$L:$L=""OLT UPLINK LOW POWER""), 1), """")"),"")</f>
        <v/>
      </c>
      <c r="L231" s="32" t="str">
        <f>IFERROR(__xludf.DUMMYFUNCTION("IFERROR(INDEX(FILTER('OLT DOWN Tickets'!$F:$F, REGEXMATCH('OLT DOWN Tickets'!$AB:$AB, ""(?i)""&amp;TRIM(D231)), 'OLT DOWN Tickets'!$L:$L=""OLT UPLINK DOWN""), 1), """")"),"")</f>
        <v/>
      </c>
      <c r="M231" s="32" t="str">
        <f>IFERROR(__xludf.DUMMYFUNCTION("IFERROR(INDEX(FILTER('OLT DOWN Tickets'!$F:$F, REGEXMATCH('OLT DOWN Tickets'!$AB:$AB, ""(?i)""&amp;TRIM(D231)), 'OLT DOWN Tickets'!$L:$L=""OLT SERVICE DEGRADATION""), 1), """")
"),"")</f>
        <v/>
      </c>
      <c r="N231" s="6" t="b">
        <v>0</v>
      </c>
      <c r="O231" s="6" t="b">
        <v>0</v>
      </c>
      <c r="P231" s="6" t="b">
        <v>0</v>
      </c>
      <c r="Q231" s="6" t="b">
        <v>0</v>
      </c>
      <c r="R231" s="6"/>
      <c r="S231" s="6"/>
      <c r="T231" s="6"/>
      <c r="U231" s="6"/>
    </row>
    <row r="232">
      <c r="A232" s="19"/>
      <c r="B232" s="26" t="s">
        <v>418</v>
      </c>
      <c r="C232" s="26" t="s">
        <v>450</v>
      </c>
      <c r="D232" s="27" t="s">
        <v>452</v>
      </c>
      <c r="E232" s="6" t="b">
        <f t="shared" si="1"/>
        <v>1</v>
      </c>
      <c r="F232" s="6" t="b">
        <f>COUNTIFS('OLT DOWN Tickets'!$AB:$AB, "*" &amp; D232 &amp; "*", 'OLT DOWN Tickets'!$L:$L, "OLT DOWN") &gt; 0</f>
        <v>0</v>
      </c>
      <c r="G232" s="6" t="b">
        <f>COUNTIFS('OLT DOWN Tickets'!$AB:$AB, "*" &amp; D232 &amp; "*", 'OLT DOWN Tickets'!$L:$L, "OLT UPLINK LOW POWER") &gt; 0</f>
        <v>0</v>
      </c>
      <c r="H232" s="6" t="b">
        <f>COUNTIFS('OLT DOWN Tickets'!$AB:$AB, "*" &amp; D232 &amp; "*", 'OLT DOWN Tickets'!$L:$L, "OLT UPLINK DOWN") &gt; 0</f>
        <v>0</v>
      </c>
      <c r="I232" s="6" t="b">
        <f>COUNTIFS('OLT DOWN Tickets'!$AB:$AB, "*" &amp; D232 &amp; "*", 'OLT DOWN Tickets'!$L:$L, "OLT SERVICE DEGRADATION") &gt; 0</f>
        <v>0</v>
      </c>
      <c r="J232" s="32" t="str">
        <f>IFERROR(__xludf.DUMMYFUNCTION("IFERROR(INDEX(FILTER('OLT DOWN Tickets'!$F:$F, REGEXMATCH('OLT DOWN Tickets'!$AB:$AB, ""(?i)""&amp;TRIM(D232)), 'OLT DOWN Tickets'!$L:$L=""OLT DOWN""), 1), """")"),"")</f>
        <v/>
      </c>
      <c r="K232" s="32" t="str">
        <f>IFERROR(__xludf.DUMMYFUNCTION("IFERROR(INDEX(FILTER('OLT DOWN Tickets'!$F:$F, REGEXMATCH('OLT DOWN Tickets'!$AB:$AB, ""(?i)""&amp;TRIM(D232)), 'OLT DOWN Tickets'!$L:$L=""OLT UPLINK LOW POWER""), 1), """")"),"")</f>
        <v/>
      </c>
      <c r="L232" s="32" t="str">
        <f>IFERROR(__xludf.DUMMYFUNCTION("IFERROR(INDEX(FILTER('OLT DOWN Tickets'!$F:$F, REGEXMATCH('OLT DOWN Tickets'!$AB:$AB, ""(?i)""&amp;TRIM(D232)), 'OLT DOWN Tickets'!$L:$L=""OLT UPLINK DOWN""), 1), """")"),"")</f>
        <v/>
      </c>
      <c r="M232" s="32" t="str">
        <f>IFERROR(__xludf.DUMMYFUNCTION("IFERROR(INDEX(FILTER('OLT DOWN Tickets'!$F:$F, REGEXMATCH('OLT DOWN Tickets'!$AB:$AB, ""(?i)""&amp;TRIM(D232)), 'OLT DOWN Tickets'!$L:$L=""OLT SERVICE DEGRADATION""), 1), """")
"),"")</f>
        <v/>
      </c>
      <c r="N232" s="6" t="b">
        <v>0</v>
      </c>
      <c r="O232" s="6" t="b">
        <v>0</v>
      </c>
      <c r="P232" s="6" t="b">
        <v>0</v>
      </c>
      <c r="Q232" s="6" t="b">
        <v>0</v>
      </c>
      <c r="R232" s="6"/>
      <c r="S232" s="6"/>
      <c r="T232" s="6"/>
      <c r="U232" s="6"/>
    </row>
    <row r="233">
      <c r="A233" s="19"/>
      <c r="B233" s="26" t="s">
        <v>418</v>
      </c>
      <c r="C233" s="26" t="s">
        <v>450</v>
      </c>
      <c r="D233" s="27" t="s">
        <v>453</v>
      </c>
      <c r="E233" s="6" t="b">
        <f t="shared" si="1"/>
        <v>1</v>
      </c>
      <c r="F233" s="6" t="b">
        <f>COUNTIFS('OLT DOWN Tickets'!$AB:$AB, "*" &amp; D233 &amp; "*", 'OLT DOWN Tickets'!$L:$L, "OLT DOWN") &gt; 0</f>
        <v>0</v>
      </c>
      <c r="G233" s="6" t="b">
        <f>COUNTIFS('OLT DOWN Tickets'!$AB:$AB, "*" &amp; D233 &amp; "*", 'OLT DOWN Tickets'!$L:$L, "OLT UPLINK LOW POWER") &gt; 0</f>
        <v>0</v>
      </c>
      <c r="H233" s="6" t="b">
        <f>COUNTIFS('OLT DOWN Tickets'!$AB:$AB, "*" &amp; D233 &amp; "*", 'OLT DOWN Tickets'!$L:$L, "OLT UPLINK DOWN") &gt; 0</f>
        <v>0</v>
      </c>
      <c r="I233" s="6" t="b">
        <f>COUNTIFS('OLT DOWN Tickets'!$AB:$AB, "*" &amp; D233 &amp; "*", 'OLT DOWN Tickets'!$L:$L, "OLT SERVICE DEGRADATION") &gt; 0</f>
        <v>0</v>
      </c>
      <c r="J233" s="32" t="str">
        <f>IFERROR(__xludf.DUMMYFUNCTION("IFERROR(INDEX(FILTER('OLT DOWN Tickets'!$F:$F, REGEXMATCH('OLT DOWN Tickets'!$AB:$AB, ""(?i)""&amp;TRIM(D233)), 'OLT DOWN Tickets'!$L:$L=""OLT DOWN""), 1), """")"),"")</f>
        <v/>
      </c>
      <c r="K233" s="32" t="str">
        <f>IFERROR(__xludf.DUMMYFUNCTION("IFERROR(INDEX(FILTER('OLT DOWN Tickets'!$F:$F, REGEXMATCH('OLT DOWN Tickets'!$AB:$AB, ""(?i)""&amp;TRIM(D233)), 'OLT DOWN Tickets'!$L:$L=""OLT UPLINK LOW POWER""), 1), """")"),"")</f>
        <v/>
      </c>
      <c r="L233" s="32" t="str">
        <f>IFERROR(__xludf.DUMMYFUNCTION("IFERROR(INDEX(FILTER('OLT DOWN Tickets'!$F:$F, REGEXMATCH('OLT DOWN Tickets'!$AB:$AB, ""(?i)""&amp;TRIM(D233)), 'OLT DOWN Tickets'!$L:$L=""OLT UPLINK DOWN""), 1), """")"),"")</f>
        <v/>
      </c>
      <c r="M233" s="32" t="str">
        <f>IFERROR(__xludf.DUMMYFUNCTION("IFERROR(INDEX(FILTER('OLT DOWN Tickets'!$F:$F, REGEXMATCH('OLT DOWN Tickets'!$AB:$AB, ""(?i)""&amp;TRIM(D233)), 'OLT DOWN Tickets'!$L:$L=""OLT SERVICE DEGRADATION""), 1), """")
"),"")</f>
        <v/>
      </c>
      <c r="N233" s="6" t="b">
        <v>0</v>
      </c>
      <c r="O233" s="6" t="b">
        <v>0</v>
      </c>
      <c r="P233" s="6" t="b">
        <v>0</v>
      </c>
      <c r="Q233" s="6" t="b">
        <v>0</v>
      </c>
      <c r="R233" s="6"/>
      <c r="S233" s="6"/>
      <c r="T233" s="6"/>
      <c r="U233" s="6"/>
    </row>
    <row r="234">
      <c r="A234" s="19"/>
      <c r="B234" s="26" t="s">
        <v>418</v>
      </c>
      <c r="C234" s="26" t="s">
        <v>450</v>
      </c>
      <c r="D234" s="27" t="s">
        <v>454</v>
      </c>
      <c r="E234" s="6" t="b">
        <f t="shared" si="1"/>
        <v>1</v>
      </c>
      <c r="F234" s="6" t="b">
        <f>COUNTIFS('OLT DOWN Tickets'!$AB:$AB, "*" &amp; D234 &amp; "*", 'OLT DOWN Tickets'!$L:$L, "OLT DOWN") &gt; 0</f>
        <v>0</v>
      </c>
      <c r="G234" s="6" t="b">
        <f>COUNTIFS('OLT DOWN Tickets'!$AB:$AB, "*" &amp; D234 &amp; "*", 'OLT DOWN Tickets'!$L:$L, "OLT UPLINK LOW POWER") &gt; 0</f>
        <v>0</v>
      </c>
      <c r="H234" s="6" t="b">
        <f>COUNTIFS('OLT DOWN Tickets'!$AB:$AB, "*" &amp; D234 &amp; "*", 'OLT DOWN Tickets'!$L:$L, "OLT UPLINK DOWN") &gt; 0</f>
        <v>0</v>
      </c>
      <c r="I234" s="6" t="b">
        <f>COUNTIFS('OLT DOWN Tickets'!$AB:$AB, "*" &amp; D234 &amp; "*", 'OLT DOWN Tickets'!$L:$L, "OLT SERVICE DEGRADATION") &gt; 0</f>
        <v>0</v>
      </c>
      <c r="J234" s="32" t="str">
        <f>IFERROR(__xludf.DUMMYFUNCTION("IFERROR(INDEX(FILTER('OLT DOWN Tickets'!$F:$F, REGEXMATCH('OLT DOWN Tickets'!$AB:$AB, ""(?i)""&amp;TRIM(D234)), 'OLT DOWN Tickets'!$L:$L=""OLT DOWN""), 1), """")"),"")</f>
        <v/>
      </c>
      <c r="K234" s="32" t="str">
        <f>IFERROR(__xludf.DUMMYFUNCTION("IFERROR(INDEX(FILTER('OLT DOWN Tickets'!$F:$F, REGEXMATCH('OLT DOWN Tickets'!$AB:$AB, ""(?i)""&amp;TRIM(D234)), 'OLT DOWN Tickets'!$L:$L=""OLT UPLINK LOW POWER""), 1), """")"),"")</f>
        <v/>
      </c>
      <c r="L234" s="32" t="str">
        <f>IFERROR(__xludf.DUMMYFUNCTION("IFERROR(INDEX(FILTER('OLT DOWN Tickets'!$F:$F, REGEXMATCH('OLT DOWN Tickets'!$AB:$AB, ""(?i)""&amp;TRIM(D234)), 'OLT DOWN Tickets'!$L:$L=""OLT UPLINK DOWN""), 1), """")"),"")</f>
        <v/>
      </c>
      <c r="M234" s="32" t="str">
        <f>IFERROR(__xludf.DUMMYFUNCTION("IFERROR(INDEX(FILTER('OLT DOWN Tickets'!$F:$F, REGEXMATCH('OLT DOWN Tickets'!$AB:$AB, ""(?i)""&amp;TRIM(D234)), 'OLT DOWN Tickets'!$L:$L=""OLT SERVICE DEGRADATION""), 1), """")
"),"")</f>
        <v/>
      </c>
      <c r="N234" s="6" t="b">
        <v>0</v>
      </c>
      <c r="O234" s="6" t="b">
        <v>0</v>
      </c>
      <c r="P234" s="6" t="b">
        <v>0</v>
      </c>
      <c r="Q234" s="6" t="b">
        <v>0</v>
      </c>
      <c r="R234" s="6"/>
      <c r="S234" s="6"/>
      <c r="T234" s="6"/>
      <c r="U234" s="6"/>
    </row>
    <row r="235">
      <c r="A235" s="19"/>
      <c r="B235" s="26" t="s">
        <v>418</v>
      </c>
      <c r="C235" s="26" t="s">
        <v>450</v>
      </c>
      <c r="D235" s="27" t="s">
        <v>455</v>
      </c>
      <c r="E235" s="6" t="b">
        <f t="shared" si="1"/>
        <v>1</v>
      </c>
      <c r="F235" s="6" t="b">
        <f>COUNTIFS('OLT DOWN Tickets'!$AB:$AB, "*" &amp; D235 &amp; "*", 'OLT DOWN Tickets'!$L:$L, "OLT DOWN") &gt; 0</f>
        <v>0</v>
      </c>
      <c r="G235" s="6" t="b">
        <f>COUNTIFS('OLT DOWN Tickets'!$AB:$AB, "*" &amp; D235 &amp; "*", 'OLT DOWN Tickets'!$L:$L, "OLT UPLINK LOW POWER") &gt; 0</f>
        <v>0</v>
      </c>
      <c r="H235" s="6" t="b">
        <f>COUNTIFS('OLT DOWN Tickets'!$AB:$AB, "*" &amp; D235 &amp; "*", 'OLT DOWN Tickets'!$L:$L, "OLT UPLINK DOWN") &gt; 0</f>
        <v>0</v>
      </c>
      <c r="I235" s="6" t="b">
        <f>COUNTIFS('OLT DOWN Tickets'!$AB:$AB, "*" &amp; D235 &amp; "*", 'OLT DOWN Tickets'!$L:$L, "OLT SERVICE DEGRADATION") &gt; 0</f>
        <v>0</v>
      </c>
      <c r="J235" s="32" t="str">
        <f>IFERROR(__xludf.DUMMYFUNCTION("IFERROR(INDEX(FILTER('OLT DOWN Tickets'!$F:$F, REGEXMATCH('OLT DOWN Tickets'!$AB:$AB, ""(?i)""&amp;TRIM(D235)), 'OLT DOWN Tickets'!$L:$L=""OLT DOWN""), 1), """")"),"")</f>
        <v/>
      </c>
      <c r="K235" s="32" t="str">
        <f>IFERROR(__xludf.DUMMYFUNCTION("IFERROR(INDEX(FILTER('OLT DOWN Tickets'!$F:$F, REGEXMATCH('OLT DOWN Tickets'!$AB:$AB, ""(?i)""&amp;TRIM(D235)), 'OLT DOWN Tickets'!$L:$L=""OLT UPLINK LOW POWER""), 1), """")"),"")</f>
        <v/>
      </c>
      <c r="L235" s="32" t="str">
        <f>IFERROR(__xludf.DUMMYFUNCTION("IFERROR(INDEX(FILTER('OLT DOWN Tickets'!$F:$F, REGEXMATCH('OLT DOWN Tickets'!$AB:$AB, ""(?i)""&amp;TRIM(D235)), 'OLT DOWN Tickets'!$L:$L=""OLT UPLINK DOWN""), 1), """")"),"")</f>
        <v/>
      </c>
      <c r="M235" s="32" t="str">
        <f>IFERROR(__xludf.DUMMYFUNCTION("IFERROR(INDEX(FILTER('OLT DOWN Tickets'!$F:$F, REGEXMATCH('OLT DOWN Tickets'!$AB:$AB, ""(?i)""&amp;TRIM(D235)), 'OLT DOWN Tickets'!$L:$L=""OLT SERVICE DEGRADATION""), 1), """")
"),"")</f>
        <v/>
      </c>
      <c r="N235" s="6" t="b">
        <v>0</v>
      </c>
      <c r="O235" s="6" t="b">
        <v>0</v>
      </c>
      <c r="P235" s="6" t="b">
        <v>0</v>
      </c>
      <c r="Q235" s="6" t="b">
        <v>0</v>
      </c>
      <c r="R235" s="6"/>
      <c r="S235" s="6"/>
      <c r="T235" s="6"/>
      <c r="U235" s="6"/>
    </row>
    <row r="236">
      <c r="A236" s="19"/>
      <c r="B236" s="26" t="s">
        <v>418</v>
      </c>
      <c r="C236" s="26" t="s">
        <v>450</v>
      </c>
      <c r="D236" s="27" t="s">
        <v>456</v>
      </c>
      <c r="E236" s="6" t="b">
        <f t="shared" si="1"/>
        <v>1</v>
      </c>
      <c r="F236" s="6" t="b">
        <f>COUNTIFS('OLT DOWN Tickets'!$AB:$AB, "*" &amp; D236 &amp; "*", 'OLT DOWN Tickets'!$L:$L, "OLT DOWN") &gt; 0</f>
        <v>0</v>
      </c>
      <c r="G236" s="6" t="b">
        <f>COUNTIFS('OLT DOWN Tickets'!$AB:$AB, "*" &amp; D236 &amp; "*", 'OLT DOWN Tickets'!$L:$L, "OLT UPLINK LOW POWER") &gt; 0</f>
        <v>0</v>
      </c>
      <c r="H236" s="6" t="b">
        <f>COUNTIFS('OLT DOWN Tickets'!$AB:$AB, "*" &amp; D236 &amp; "*", 'OLT DOWN Tickets'!$L:$L, "OLT UPLINK DOWN") &gt; 0</f>
        <v>0</v>
      </c>
      <c r="I236" s="6" t="b">
        <f>COUNTIFS('OLT DOWN Tickets'!$AB:$AB, "*" &amp; D236 &amp; "*", 'OLT DOWN Tickets'!$L:$L, "OLT SERVICE DEGRADATION") &gt; 0</f>
        <v>0</v>
      </c>
      <c r="J236" s="32" t="str">
        <f>IFERROR(__xludf.DUMMYFUNCTION("IFERROR(INDEX(FILTER('OLT DOWN Tickets'!$F:$F, REGEXMATCH('OLT DOWN Tickets'!$AB:$AB, ""(?i)""&amp;TRIM(D236)), 'OLT DOWN Tickets'!$L:$L=""OLT DOWN""), 1), """")"),"")</f>
        <v/>
      </c>
      <c r="K236" s="32" t="str">
        <f>IFERROR(__xludf.DUMMYFUNCTION("IFERROR(INDEX(FILTER('OLT DOWN Tickets'!$F:$F, REGEXMATCH('OLT DOWN Tickets'!$AB:$AB, ""(?i)""&amp;TRIM(D236)), 'OLT DOWN Tickets'!$L:$L=""OLT UPLINK LOW POWER""), 1), """")"),"")</f>
        <v/>
      </c>
      <c r="L236" s="32" t="str">
        <f>IFERROR(__xludf.DUMMYFUNCTION("IFERROR(INDEX(FILTER('OLT DOWN Tickets'!$F:$F, REGEXMATCH('OLT DOWN Tickets'!$AB:$AB, ""(?i)""&amp;TRIM(D236)), 'OLT DOWN Tickets'!$L:$L=""OLT UPLINK DOWN""), 1), """")"),"")</f>
        <v/>
      </c>
      <c r="M236" s="32" t="str">
        <f>IFERROR(__xludf.DUMMYFUNCTION("IFERROR(INDEX(FILTER('OLT DOWN Tickets'!$F:$F, REGEXMATCH('OLT DOWN Tickets'!$AB:$AB, ""(?i)""&amp;TRIM(D236)), 'OLT DOWN Tickets'!$L:$L=""OLT SERVICE DEGRADATION""), 1), """")
"),"")</f>
        <v/>
      </c>
      <c r="N236" s="6" t="b">
        <v>0</v>
      </c>
      <c r="O236" s="6" t="b">
        <v>0</v>
      </c>
      <c r="P236" s="6" t="b">
        <v>0</v>
      </c>
      <c r="Q236" s="6" t="b">
        <v>0</v>
      </c>
      <c r="R236" s="6"/>
      <c r="S236" s="6"/>
      <c r="T236" s="6"/>
      <c r="U236" s="6"/>
    </row>
    <row r="237">
      <c r="A237" s="19"/>
      <c r="B237" s="26" t="s">
        <v>418</v>
      </c>
      <c r="C237" s="26" t="s">
        <v>450</v>
      </c>
      <c r="D237" s="27" t="s">
        <v>457</v>
      </c>
      <c r="E237" s="6" t="b">
        <f t="shared" si="1"/>
        <v>1</v>
      </c>
      <c r="F237" s="6" t="b">
        <f>COUNTIFS('OLT DOWN Tickets'!$AB:$AB, "*" &amp; D237 &amp; "*", 'OLT DOWN Tickets'!$L:$L, "OLT DOWN") &gt; 0</f>
        <v>0</v>
      </c>
      <c r="G237" s="6" t="b">
        <f>COUNTIFS('OLT DOWN Tickets'!$AB:$AB, "*" &amp; D237 &amp; "*", 'OLT DOWN Tickets'!$L:$L, "OLT UPLINK LOW POWER") &gt; 0</f>
        <v>0</v>
      </c>
      <c r="H237" s="6" t="b">
        <f>COUNTIFS('OLT DOWN Tickets'!$AB:$AB, "*" &amp; D237 &amp; "*", 'OLT DOWN Tickets'!$L:$L, "OLT UPLINK DOWN") &gt; 0</f>
        <v>0</v>
      </c>
      <c r="I237" s="6" t="b">
        <f>COUNTIFS('OLT DOWN Tickets'!$AB:$AB, "*" &amp; D237 &amp; "*", 'OLT DOWN Tickets'!$L:$L, "OLT SERVICE DEGRADATION") &gt; 0</f>
        <v>0</v>
      </c>
      <c r="J237" s="32" t="str">
        <f>IFERROR(__xludf.DUMMYFUNCTION("IFERROR(INDEX(FILTER('OLT DOWN Tickets'!$F:$F, REGEXMATCH('OLT DOWN Tickets'!$AB:$AB, ""(?i)""&amp;TRIM(D237)), 'OLT DOWN Tickets'!$L:$L=""OLT DOWN""), 1), """")"),"")</f>
        <v/>
      </c>
      <c r="K237" s="32" t="str">
        <f>IFERROR(__xludf.DUMMYFUNCTION("IFERROR(INDEX(FILTER('OLT DOWN Tickets'!$F:$F, REGEXMATCH('OLT DOWN Tickets'!$AB:$AB, ""(?i)""&amp;TRIM(D237)), 'OLT DOWN Tickets'!$L:$L=""OLT UPLINK LOW POWER""), 1), """")"),"")</f>
        <v/>
      </c>
      <c r="L237" s="32" t="str">
        <f>IFERROR(__xludf.DUMMYFUNCTION("IFERROR(INDEX(FILTER('OLT DOWN Tickets'!$F:$F, REGEXMATCH('OLT DOWN Tickets'!$AB:$AB, ""(?i)""&amp;TRIM(D237)), 'OLT DOWN Tickets'!$L:$L=""OLT UPLINK DOWN""), 1), """")"),"")</f>
        <v/>
      </c>
      <c r="M237" s="32" t="str">
        <f>IFERROR(__xludf.DUMMYFUNCTION("IFERROR(INDEX(FILTER('OLT DOWN Tickets'!$F:$F, REGEXMATCH('OLT DOWN Tickets'!$AB:$AB, ""(?i)""&amp;TRIM(D237)), 'OLT DOWN Tickets'!$L:$L=""OLT SERVICE DEGRADATION""), 1), """")
"),"")</f>
        <v/>
      </c>
      <c r="N237" s="6" t="b">
        <v>0</v>
      </c>
      <c r="O237" s="6" t="b">
        <v>0</v>
      </c>
      <c r="P237" s="6" t="b">
        <v>0</v>
      </c>
      <c r="Q237" s="6" t="b">
        <v>0</v>
      </c>
      <c r="R237" s="6"/>
      <c r="S237" s="6"/>
      <c r="T237" s="6"/>
      <c r="U237" s="6"/>
    </row>
    <row r="238">
      <c r="A238" s="19"/>
      <c r="B238" s="26" t="s">
        <v>418</v>
      </c>
      <c r="C238" s="26" t="s">
        <v>450</v>
      </c>
      <c r="D238" s="27" t="s">
        <v>458</v>
      </c>
      <c r="E238" s="6" t="b">
        <f t="shared" si="1"/>
        <v>1</v>
      </c>
      <c r="F238" s="6" t="b">
        <f>COUNTIFS('OLT DOWN Tickets'!$AB:$AB, "*" &amp; D238 &amp; "*", 'OLT DOWN Tickets'!$L:$L, "OLT DOWN") &gt; 0</f>
        <v>0</v>
      </c>
      <c r="G238" s="6" t="b">
        <f>COUNTIFS('OLT DOWN Tickets'!$AB:$AB, "*" &amp; D238 &amp; "*", 'OLT DOWN Tickets'!$L:$L, "OLT UPLINK LOW POWER") &gt; 0</f>
        <v>0</v>
      </c>
      <c r="H238" s="6" t="b">
        <f>COUNTIFS('OLT DOWN Tickets'!$AB:$AB, "*" &amp; D238 &amp; "*", 'OLT DOWN Tickets'!$L:$L, "OLT UPLINK DOWN") &gt; 0</f>
        <v>0</v>
      </c>
      <c r="I238" s="6" t="b">
        <f>COUNTIFS('OLT DOWN Tickets'!$AB:$AB, "*" &amp; D238 &amp; "*", 'OLT DOWN Tickets'!$L:$L, "OLT SERVICE DEGRADATION") &gt; 0</f>
        <v>0</v>
      </c>
      <c r="J238" s="32" t="str">
        <f>IFERROR(__xludf.DUMMYFUNCTION("IFERROR(INDEX(FILTER('OLT DOWN Tickets'!$F:$F, REGEXMATCH('OLT DOWN Tickets'!$AB:$AB, ""(?i)""&amp;TRIM(D238)), 'OLT DOWN Tickets'!$L:$L=""OLT DOWN""), 1), """")"),"")</f>
        <v/>
      </c>
      <c r="K238" s="32" t="str">
        <f>IFERROR(__xludf.DUMMYFUNCTION("IFERROR(INDEX(FILTER('OLT DOWN Tickets'!$F:$F, REGEXMATCH('OLT DOWN Tickets'!$AB:$AB, ""(?i)""&amp;TRIM(D238)), 'OLT DOWN Tickets'!$L:$L=""OLT UPLINK LOW POWER""), 1), """")"),"")</f>
        <v/>
      </c>
      <c r="L238" s="32" t="str">
        <f>IFERROR(__xludf.DUMMYFUNCTION("IFERROR(INDEX(FILTER('OLT DOWN Tickets'!$F:$F, REGEXMATCH('OLT DOWN Tickets'!$AB:$AB, ""(?i)""&amp;TRIM(D238)), 'OLT DOWN Tickets'!$L:$L=""OLT UPLINK DOWN""), 1), """")"),"")</f>
        <v/>
      </c>
      <c r="M238" s="32" t="str">
        <f>IFERROR(__xludf.DUMMYFUNCTION("IFERROR(INDEX(FILTER('OLT DOWN Tickets'!$F:$F, REGEXMATCH('OLT DOWN Tickets'!$AB:$AB, ""(?i)""&amp;TRIM(D238)), 'OLT DOWN Tickets'!$L:$L=""OLT SERVICE DEGRADATION""), 1), """")
"),"")</f>
        <v/>
      </c>
      <c r="N238" s="6" t="b">
        <v>0</v>
      </c>
      <c r="O238" s="6" t="b">
        <v>0</v>
      </c>
      <c r="P238" s="6" t="b">
        <v>0</v>
      </c>
      <c r="Q238" s="6" t="b">
        <v>0</v>
      </c>
      <c r="R238" s="6"/>
      <c r="S238" s="6"/>
      <c r="T238" s="6"/>
      <c r="U238" s="6"/>
    </row>
    <row r="239">
      <c r="A239" s="19"/>
      <c r="B239" s="26" t="s">
        <v>418</v>
      </c>
      <c r="C239" s="26" t="s">
        <v>450</v>
      </c>
      <c r="D239" s="27" t="s">
        <v>459</v>
      </c>
      <c r="E239" s="6" t="b">
        <f t="shared" si="1"/>
        <v>1</v>
      </c>
      <c r="F239" s="6" t="b">
        <f>COUNTIFS('OLT DOWN Tickets'!$AB:$AB, "*" &amp; D239 &amp; "*", 'OLT DOWN Tickets'!$L:$L, "OLT DOWN") &gt; 0</f>
        <v>0</v>
      </c>
      <c r="G239" s="6" t="b">
        <f>COUNTIFS('OLT DOWN Tickets'!$AB:$AB, "*" &amp; D239 &amp; "*", 'OLT DOWN Tickets'!$L:$L, "OLT UPLINK LOW POWER") &gt; 0</f>
        <v>0</v>
      </c>
      <c r="H239" s="6" t="b">
        <f>COUNTIFS('OLT DOWN Tickets'!$AB:$AB, "*" &amp; D239 &amp; "*", 'OLT DOWN Tickets'!$L:$L, "OLT UPLINK DOWN") &gt; 0</f>
        <v>0</v>
      </c>
      <c r="I239" s="6" t="b">
        <f>COUNTIFS('OLT DOWN Tickets'!$AB:$AB, "*" &amp; D239 &amp; "*", 'OLT DOWN Tickets'!$L:$L, "OLT SERVICE DEGRADATION") &gt; 0</f>
        <v>0</v>
      </c>
      <c r="J239" s="32" t="str">
        <f>IFERROR(__xludf.DUMMYFUNCTION("IFERROR(INDEX(FILTER('OLT DOWN Tickets'!$F:$F, REGEXMATCH('OLT DOWN Tickets'!$AB:$AB, ""(?i)""&amp;TRIM(D239)), 'OLT DOWN Tickets'!$L:$L=""OLT DOWN""), 1), """")"),"")</f>
        <v/>
      </c>
      <c r="K239" s="32" t="str">
        <f>IFERROR(__xludf.DUMMYFUNCTION("IFERROR(INDEX(FILTER('OLT DOWN Tickets'!$F:$F, REGEXMATCH('OLT DOWN Tickets'!$AB:$AB, ""(?i)""&amp;TRIM(D239)), 'OLT DOWN Tickets'!$L:$L=""OLT UPLINK LOW POWER""), 1), """")"),"")</f>
        <v/>
      </c>
      <c r="L239" s="32" t="str">
        <f>IFERROR(__xludf.DUMMYFUNCTION("IFERROR(INDEX(FILTER('OLT DOWN Tickets'!$F:$F, REGEXMATCH('OLT DOWN Tickets'!$AB:$AB, ""(?i)""&amp;TRIM(D239)), 'OLT DOWN Tickets'!$L:$L=""OLT UPLINK DOWN""), 1), """")"),"")</f>
        <v/>
      </c>
      <c r="M239" s="32" t="str">
        <f>IFERROR(__xludf.DUMMYFUNCTION("IFERROR(INDEX(FILTER('OLT DOWN Tickets'!$F:$F, REGEXMATCH('OLT DOWN Tickets'!$AB:$AB, ""(?i)""&amp;TRIM(D239)), 'OLT DOWN Tickets'!$L:$L=""OLT SERVICE DEGRADATION""), 1), """")
"),"")</f>
        <v/>
      </c>
      <c r="N239" s="6" t="b">
        <v>0</v>
      </c>
      <c r="O239" s="6" t="b">
        <v>0</v>
      </c>
      <c r="P239" s="6" t="b">
        <v>0</v>
      </c>
      <c r="Q239" s="6" t="b">
        <v>0</v>
      </c>
      <c r="R239" s="6"/>
      <c r="S239" s="6"/>
      <c r="T239" s="6"/>
      <c r="U239" s="6"/>
    </row>
    <row r="240">
      <c r="A240" s="19"/>
      <c r="B240" s="26" t="s">
        <v>418</v>
      </c>
      <c r="C240" s="26" t="s">
        <v>460</v>
      </c>
      <c r="D240" s="27" t="s">
        <v>461</v>
      </c>
      <c r="E240" s="6" t="b">
        <f t="shared" si="1"/>
        <v>1</v>
      </c>
      <c r="F240" s="6" t="b">
        <f>COUNTIFS('OLT DOWN Tickets'!$AB:$AB, "*" &amp; D240 &amp; "*", 'OLT DOWN Tickets'!$L:$L, "OLT DOWN") &gt; 0</f>
        <v>0</v>
      </c>
      <c r="G240" s="6" t="b">
        <f>COUNTIFS('OLT DOWN Tickets'!$AB:$AB, "*" &amp; D240 &amp; "*", 'OLT DOWN Tickets'!$L:$L, "OLT UPLINK LOW POWER") &gt; 0</f>
        <v>0</v>
      </c>
      <c r="H240" s="6" t="b">
        <f>COUNTIFS('OLT DOWN Tickets'!$AB:$AB, "*" &amp; D240 &amp; "*", 'OLT DOWN Tickets'!$L:$L, "OLT UPLINK DOWN") &gt; 0</f>
        <v>0</v>
      </c>
      <c r="I240" s="6" t="b">
        <f>COUNTIFS('OLT DOWN Tickets'!$AB:$AB, "*" &amp; D240 &amp; "*", 'OLT DOWN Tickets'!$L:$L, "OLT SERVICE DEGRADATION") &gt; 0</f>
        <v>0</v>
      </c>
      <c r="J240" s="32" t="str">
        <f>IFERROR(__xludf.DUMMYFUNCTION("IFERROR(INDEX(FILTER('OLT DOWN Tickets'!$F:$F, REGEXMATCH('OLT DOWN Tickets'!$AB:$AB, ""(?i)""&amp;TRIM(D240)), 'OLT DOWN Tickets'!$L:$L=""OLT DOWN""), 1), """")"),"")</f>
        <v/>
      </c>
      <c r="K240" s="32" t="str">
        <f>IFERROR(__xludf.DUMMYFUNCTION("IFERROR(INDEX(FILTER('OLT DOWN Tickets'!$F:$F, REGEXMATCH('OLT DOWN Tickets'!$AB:$AB, ""(?i)""&amp;TRIM(D240)), 'OLT DOWN Tickets'!$L:$L=""OLT UPLINK LOW POWER""), 1), """")"),"")</f>
        <v/>
      </c>
      <c r="L240" s="32" t="str">
        <f>IFERROR(__xludf.DUMMYFUNCTION("IFERROR(INDEX(FILTER('OLT DOWN Tickets'!$F:$F, REGEXMATCH('OLT DOWN Tickets'!$AB:$AB, ""(?i)""&amp;TRIM(D240)), 'OLT DOWN Tickets'!$L:$L=""OLT UPLINK DOWN""), 1), """")"),"")</f>
        <v/>
      </c>
      <c r="M240" s="32" t="str">
        <f>IFERROR(__xludf.DUMMYFUNCTION("IFERROR(INDEX(FILTER('OLT DOWN Tickets'!$F:$F, REGEXMATCH('OLT DOWN Tickets'!$AB:$AB, ""(?i)""&amp;TRIM(D240)), 'OLT DOWN Tickets'!$L:$L=""OLT SERVICE DEGRADATION""), 1), """")
"),"")</f>
        <v/>
      </c>
      <c r="N240" s="6" t="b">
        <v>0</v>
      </c>
      <c r="O240" s="6" t="b">
        <v>0</v>
      </c>
      <c r="P240" s="6" t="b">
        <v>0</v>
      </c>
      <c r="Q240" s="6" t="b">
        <v>0</v>
      </c>
      <c r="R240" s="6"/>
      <c r="S240" s="6"/>
      <c r="T240" s="6"/>
      <c r="U240" s="6"/>
    </row>
    <row r="241">
      <c r="A241" s="19"/>
      <c r="B241" s="26" t="s">
        <v>418</v>
      </c>
      <c r="C241" s="26" t="s">
        <v>460</v>
      </c>
      <c r="D241" s="27" t="s">
        <v>462</v>
      </c>
      <c r="E241" s="6" t="b">
        <f t="shared" si="1"/>
        <v>1</v>
      </c>
      <c r="F241" s="6" t="b">
        <f>COUNTIFS('OLT DOWN Tickets'!$AB:$AB, "*" &amp; D241 &amp; "*", 'OLT DOWN Tickets'!$L:$L, "OLT DOWN") &gt; 0</f>
        <v>0</v>
      </c>
      <c r="G241" s="6" t="b">
        <f>COUNTIFS('OLT DOWN Tickets'!$AB:$AB, "*" &amp; D241 &amp; "*", 'OLT DOWN Tickets'!$L:$L, "OLT UPLINK LOW POWER") &gt; 0</f>
        <v>0</v>
      </c>
      <c r="H241" s="6" t="b">
        <f>COUNTIFS('OLT DOWN Tickets'!$AB:$AB, "*" &amp; D241 &amp; "*", 'OLT DOWN Tickets'!$L:$L, "OLT UPLINK DOWN") &gt; 0</f>
        <v>0</v>
      </c>
      <c r="I241" s="6" t="b">
        <f>COUNTIFS('OLT DOWN Tickets'!$AB:$AB, "*" &amp; D241 &amp; "*", 'OLT DOWN Tickets'!$L:$L, "OLT SERVICE DEGRADATION") &gt; 0</f>
        <v>0</v>
      </c>
      <c r="J241" s="32" t="str">
        <f>IFERROR(__xludf.DUMMYFUNCTION("IFERROR(INDEX(FILTER('OLT DOWN Tickets'!$F:$F, REGEXMATCH('OLT DOWN Tickets'!$AB:$AB, ""(?i)""&amp;TRIM(D241)), 'OLT DOWN Tickets'!$L:$L=""OLT DOWN""), 1), """")"),"")</f>
        <v/>
      </c>
      <c r="K241" s="32" t="str">
        <f>IFERROR(__xludf.DUMMYFUNCTION("IFERROR(INDEX(FILTER('OLT DOWN Tickets'!$F:$F, REGEXMATCH('OLT DOWN Tickets'!$AB:$AB, ""(?i)""&amp;TRIM(D241)), 'OLT DOWN Tickets'!$L:$L=""OLT UPLINK LOW POWER""), 1), """")"),"")</f>
        <v/>
      </c>
      <c r="L241" s="32" t="str">
        <f>IFERROR(__xludf.DUMMYFUNCTION("IFERROR(INDEX(FILTER('OLT DOWN Tickets'!$F:$F, REGEXMATCH('OLT DOWN Tickets'!$AB:$AB, ""(?i)""&amp;TRIM(D241)), 'OLT DOWN Tickets'!$L:$L=""OLT UPLINK DOWN""), 1), """")"),"")</f>
        <v/>
      </c>
      <c r="M241" s="32" t="str">
        <f>IFERROR(__xludf.DUMMYFUNCTION("IFERROR(INDEX(FILTER('OLT DOWN Tickets'!$F:$F, REGEXMATCH('OLT DOWN Tickets'!$AB:$AB, ""(?i)""&amp;TRIM(D241)), 'OLT DOWN Tickets'!$L:$L=""OLT SERVICE DEGRADATION""), 1), """")
"),"")</f>
        <v/>
      </c>
      <c r="N241" s="6" t="b">
        <v>0</v>
      </c>
      <c r="O241" s="6" t="b">
        <v>0</v>
      </c>
      <c r="P241" s="6" t="b">
        <v>0</v>
      </c>
      <c r="Q241" s="6" t="b">
        <v>0</v>
      </c>
      <c r="R241" s="6"/>
      <c r="S241" s="6"/>
      <c r="T241" s="6"/>
      <c r="U241" s="6"/>
    </row>
    <row r="242">
      <c r="A242" s="19"/>
      <c r="B242" s="26" t="s">
        <v>418</v>
      </c>
      <c r="C242" s="26" t="s">
        <v>460</v>
      </c>
      <c r="D242" s="27" t="s">
        <v>463</v>
      </c>
      <c r="E242" s="6" t="b">
        <f t="shared" si="1"/>
        <v>1</v>
      </c>
      <c r="F242" s="6" t="b">
        <f>COUNTIFS('OLT DOWN Tickets'!$AB:$AB, "*" &amp; D242 &amp; "*", 'OLT DOWN Tickets'!$L:$L, "OLT DOWN") &gt; 0</f>
        <v>0</v>
      </c>
      <c r="G242" s="6" t="b">
        <f>COUNTIFS('OLT DOWN Tickets'!$AB:$AB, "*" &amp; D242 &amp; "*", 'OLT DOWN Tickets'!$L:$L, "OLT UPLINK LOW POWER") &gt; 0</f>
        <v>0</v>
      </c>
      <c r="H242" s="6" t="b">
        <f>COUNTIFS('OLT DOWN Tickets'!$AB:$AB, "*" &amp; D242 &amp; "*", 'OLT DOWN Tickets'!$L:$L, "OLT UPLINK DOWN") &gt; 0</f>
        <v>0</v>
      </c>
      <c r="I242" s="6" t="b">
        <f>COUNTIFS('OLT DOWN Tickets'!$AB:$AB, "*" &amp; D242 &amp; "*", 'OLT DOWN Tickets'!$L:$L, "OLT SERVICE DEGRADATION") &gt; 0</f>
        <v>0</v>
      </c>
      <c r="J242" s="32" t="str">
        <f>IFERROR(__xludf.DUMMYFUNCTION("IFERROR(INDEX(FILTER('OLT DOWN Tickets'!$F:$F, REGEXMATCH('OLT DOWN Tickets'!$AB:$AB, ""(?i)""&amp;TRIM(D242)), 'OLT DOWN Tickets'!$L:$L=""OLT DOWN""), 1), """")"),"")</f>
        <v/>
      </c>
      <c r="K242" s="32" t="str">
        <f>IFERROR(__xludf.DUMMYFUNCTION("IFERROR(INDEX(FILTER('OLT DOWN Tickets'!$F:$F, REGEXMATCH('OLT DOWN Tickets'!$AB:$AB, ""(?i)""&amp;TRIM(D242)), 'OLT DOWN Tickets'!$L:$L=""OLT UPLINK LOW POWER""), 1), """")"),"")</f>
        <v/>
      </c>
      <c r="L242" s="32" t="str">
        <f>IFERROR(__xludf.DUMMYFUNCTION("IFERROR(INDEX(FILTER('OLT DOWN Tickets'!$F:$F, REGEXMATCH('OLT DOWN Tickets'!$AB:$AB, ""(?i)""&amp;TRIM(D242)), 'OLT DOWN Tickets'!$L:$L=""OLT UPLINK DOWN""), 1), """")"),"")</f>
        <v/>
      </c>
      <c r="M242" s="32" t="str">
        <f>IFERROR(__xludf.DUMMYFUNCTION("IFERROR(INDEX(FILTER('OLT DOWN Tickets'!$F:$F, REGEXMATCH('OLT DOWN Tickets'!$AB:$AB, ""(?i)""&amp;TRIM(D242)), 'OLT DOWN Tickets'!$L:$L=""OLT SERVICE DEGRADATION""), 1), """")
"),"")</f>
        <v/>
      </c>
      <c r="N242" s="6" t="b">
        <v>0</v>
      </c>
      <c r="O242" s="6" t="b">
        <v>0</v>
      </c>
      <c r="P242" s="6" t="b">
        <v>0</v>
      </c>
      <c r="Q242" s="6" t="b">
        <v>0</v>
      </c>
      <c r="R242" s="6"/>
      <c r="S242" s="6"/>
      <c r="T242" s="6"/>
      <c r="U242" s="6"/>
    </row>
    <row r="243">
      <c r="A243" s="19"/>
      <c r="B243" s="26" t="s">
        <v>418</v>
      </c>
      <c r="C243" s="26" t="s">
        <v>460</v>
      </c>
      <c r="D243" s="27" t="s">
        <v>464</v>
      </c>
      <c r="E243" s="6" t="b">
        <f t="shared" si="1"/>
        <v>1</v>
      </c>
      <c r="F243" s="6" t="b">
        <f>COUNTIFS('OLT DOWN Tickets'!$AB:$AB, "*" &amp; D243 &amp; "*", 'OLT DOWN Tickets'!$L:$L, "OLT DOWN") &gt; 0</f>
        <v>0</v>
      </c>
      <c r="G243" s="6" t="b">
        <f>COUNTIFS('OLT DOWN Tickets'!$AB:$AB, "*" &amp; D243 &amp; "*", 'OLT DOWN Tickets'!$L:$L, "OLT UPLINK LOW POWER") &gt; 0</f>
        <v>0</v>
      </c>
      <c r="H243" s="6" t="b">
        <f>COUNTIFS('OLT DOWN Tickets'!$AB:$AB, "*" &amp; D243 &amp; "*", 'OLT DOWN Tickets'!$L:$L, "OLT UPLINK DOWN") &gt; 0</f>
        <v>0</v>
      </c>
      <c r="I243" s="6" t="b">
        <f>COUNTIFS('OLT DOWN Tickets'!$AB:$AB, "*" &amp; D243 &amp; "*", 'OLT DOWN Tickets'!$L:$L, "OLT SERVICE DEGRADATION") &gt; 0</f>
        <v>0</v>
      </c>
      <c r="J243" s="32" t="str">
        <f>IFERROR(__xludf.DUMMYFUNCTION("IFERROR(INDEX(FILTER('OLT DOWN Tickets'!$F:$F, REGEXMATCH('OLT DOWN Tickets'!$AB:$AB, ""(?i)""&amp;TRIM(D243)), 'OLT DOWN Tickets'!$L:$L=""OLT DOWN""), 1), """")"),"")</f>
        <v/>
      </c>
      <c r="K243" s="32" t="str">
        <f>IFERROR(__xludf.DUMMYFUNCTION("IFERROR(INDEX(FILTER('OLT DOWN Tickets'!$F:$F, REGEXMATCH('OLT DOWN Tickets'!$AB:$AB, ""(?i)""&amp;TRIM(D243)), 'OLT DOWN Tickets'!$L:$L=""OLT UPLINK LOW POWER""), 1), """")"),"")</f>
        <v/>
      </c>
      <c r="L243" s="32" t="str">
        <f>IFERROR(__xludf.DUMMYFUNCTION("IFERROR(INDEX(FILTER('OLT DOWN Tickets'!$F:$F, REGEXMATCH('OLT DOWN Tickets'!$AB:$AB, ""(?i)""&amp;TRIM(D243)), 'OLT DOWN Tickets'!$L:$L=""OLT UPLINK DOWN""), 1), """")"),"")</f>
        <v/>
      </c>
      <c r="M243" s="32" t="str">
        <f>IFERROR(__xludf.DUMMYFUNCTION("IFERROR(INDEX(FILTER('OLT DOWN Tickets'!$F:$F, REGEXMATCH('OLT DOWN Tickets'!$AB:$AB, ""(?i)""&amp;TRIM(D243)), 'OLT DOWN Tickets'!$L:$L=""OLT SERVICE DEGRADATION""), 1), """")
"),"")</f>
        <v/>
      </c>
      <c r="N243" s="6" t="b">
        <v>0</v>
      </c>
      <c r="O243" s="6" t="b">
        <v>0</v>
      </c>
      <c r="P243" s="6" t="b">
        <v>0</v>
      </c>
      <c r="Q243" s="6" t="b">
        <v>0</v>
      </c>
      <c r="R243" s="6"/>
      <c r="S243" s="6"/>
      <c r="T243" s="6"/>
      <c r="U243" s="6"/>
    </row>
    <row r="244">
      <c r="A244" s="19"/>
      <c r="B244" s="26" t="s">
        <v>418</v>
      </c>
      <c r="C244" s="26" t="s">
        <v>460</v>
      </c>
      <c r="D244" s="27" t="s">
        <v>465</v>
      </c>
      <c r="E244" s="6" t="b">
        <f t="shared" si="1"/>
        <v>1</v>
      </c>
      <c r="F244" s="6" t="b">
        <f>COUNTIFS('OLT DOWN Tickets'!$AB:$AB, "*" &amp; D244 &amp; "*", 'OLT DOWN Tickets'!$L:$L, "OLT DOWN") &gt; 0</f>
        <v>0</v>
      </c>
      <c r="G244" s="6" t="b">
        <f>COUNTIFS('OLT DOWN Tickets'!$AB:$AB, "*" &amp; D244 &amp; "*", 'OLT DOWN Tickets'!$L:$L, "OLT UPLINK LOW POWER") &gt; 0</f>
        <v>0</v>
      </c>
      <c r="H244" s="6" t="b">
        <f>COUNTIFS('OLT DOWN Tickets'!$AB:$AB, "*" &amp; D244 &amp; "*", 'OLT DOWN Tickets'!$L:$L, "OLT UPLINK DOWN") &gt; 0</f>
        <v>0</v>
      </c>
      <c r="I244" s="6" t="b">
        <f>COUNTIFS('OLT DOWN Tickets'!$AB:$AB, "*" &amp; D244 &amp; "*", 'OLT DOWN Tickets'!$L:$L, "OLT SERVICE DEGRADATION") &gt; 0</f>
        <v>0</v>
      </c>
      <c r="J244" s="32" t="str">
        <f>IFERROR(__xludf.DUMMYFUNCTION("IFERROR(INDEX(FILTER('OLT DOWN Tickets'!$F:$F, REGEXMATCH('OLT DOWN Tickets'!$AB:$AB, ""(?i)""&amp;TRIM(D244)), 'OLT DOWN Tickets'!$L:$L=""OLT DOWN""), 1), """")"),"")</f>
        <v/>
      </c>
      <c r="K244" s="32" t="str">
        <f>IFERROR(__xludf.DUMMYFUNCTION("IFERROR(INDEX(FILTER('OLT DOWN Tickets'!$F:$F, REGEXMATCH('OLT DOWN Tickets'!$AB:$AB, ""(?i)""&amp;TRIM(D244)), 'OLT DOWN Tickets'!$L:$L=""OLT UPLINK LOW POWER""), 1), """")"),"")</f>
        <v/>
      </c>
      <c r="L244" s="32" t="str">
        <f>IFERROR(__xludf.DUMMYFUNCTION("IFERROR(INDEX(FILTER('OLT DOWN Tickets'!$F:$F, REGEXMATCH('OLT DOWN Tickets'!$AB:$AB, ""(?i)""&amp;TRIM(D244)), 'OLT DOWN Tickets'!$L:$L=""OLT UPLINK DOWN""), 1), """")"),"")</f>
        <v/>
      </c>
      <c r="M244" s="32" t="str">
        <f>IFERROR(__xludf.DUMMYFUNCTION("IFERROR(INDEX(FILTER('OLT DOWN Tickets'!$F:$F, REGEXMATCH('OLT DOWN Tickets'!$AB:$AB, ""(?i)""&amp;TRIM(D244)), 'OLT DOWN Tickets'!$L:$L=""OLT SERVICE DEGRADATION""), 1), """")
"),"")</f>
        <v/>
      </c>
      <c r="N244" s="6" t="b">
        <v>0</v>
      </c>
      <c r="O244" s="6" t="b">
        <v>0</v>
      </c>
      <c r="P244" s="6" t="b">
        <v>0</v>
      </c>
      <c r="Q244" s="6" t="b">
        <v>0</v>
      </c>
      <c r="R244" s="6"/>
      <c r="S244" s="6"/>
      <c r="T244" s="6"/>
      <c r="U244" s="6"/>
    </row>
    <row r="245">
      <c r="A245" s="19"/>
      <c r="B245" s="26" t="s">
        <v>418</v>
      </c>
      <c r="C245" s="26" t="s">
        <v>466</v>
      </c>
      <c r="D245" s="27" t="s">
        <v>467</v>
      </c>
      <c r="E245" s="6" t="b">
        <f t="shared" si="1"/>
        <v>1</v>
      </c>
      <c r="F245" s="6" t="b">
        <f>COUNTIFS('OLT DOWN Tickets'!$AB:$AB, "*" &amp; D245 &amp; "*", 'OLT DOWN Tickets'!$L:$L, "OLT DOWN") &gt; 0</f>
        <v>0</v>
      </c>
      <c r="G245" s="6" t="b">
        <f>COUNTIFS('OLT DOWN Tickets'!$AB:$AB, "*" &amp; D245 &amp; "*", 'OLT DOWN Tickets'!$L:$L, "OLT UPLINK LOW POWER") &gt; 0</f>
        <v>0</v>
      </c>
      <c r="H245" s="6" t="b">
        <f>COUNTIFS('OLT DOWN Tickets'!$AB:$AB, "*" &amp; D245 &amp; "*", 'OLT DOWN Tickets'!$L:$L, "OLT UPLINK DOWN") &gt; 0</f>
        <v>0</v>
      </c>
      <c r="I245" s="6" t="b">
        <f>COUNTIFS('OLT DOWN Tickets'!$AB:$AB, "*" &amp; D245 &amp; "*", 'OLT DOWN Tickets'!$L:$L, "OLT SERVICE DEGRADATION") &gt; 0</f>
        <v>0</v>
      </c>
      <c r="J245" s="32" t="str">
        <f>IFERROR(__xludf.DUMMYFUNCTION("IFERROR(INDEX(FILTER('OLT DOWN Tickets'!$F:$F, REGEXMATCH('OLT DOWN Tickets'!$AB:$AB, ""(?i)""&amp;TRIM(D245)), 'OLT DOWN Tickets'!$L:$L=""OLT DOWN""), 1), """")"),"")</f>
        <v/>
      </c>
      <c r="K245" s="32" t="str">
        <f>IFERROR(__xludf.DUMMYFUNCTION("IFERROR(INDEX(FILTER('OLT DOWN Tickets'!$F:$F, REGEXMATCH('OLT DOWN Tickets'!$AB:$AB, ""(?i)""&amp;TRIM(D245)), 'OLT DOWN Tickets'!$L:$L=""OLT UPLINK LOW POWER""), 1), """")"),"")</f>
        <v/>
      </c>
      <c r="L245" s="32" t="str">
        <f>IFERROR(__xludf.DUMMYFUNCTION("IFERROR(INDEX(FILTER('OLT DOWN Tickets'!$F:$F, REGEXMATCH('OLT DOWN Tickets'!$AB:$AB, ""(?i)""&amp;TRIM(D245)), 'OLT DOWN Tickets'!$L:$L=""OLT UPLINK DOWN""), 1), """")"),"")</f>
        <v/>
      </c>
      <c r="M245" s="32" t="str">
        <f>IFERROR(__xludf.DUMMYFUNCTION("IFERROR(INDEX(FILTER('OLT DOWN Tickets'!$F:$F, REGEXMATCH('OLT DOWN Tickets'!$AB:$AB, ""(?i)""&amp;TRIM(D245)), 'OLT DOWN Tickets'!$L:$L=""OLT SERVICE DEGRADATION""), 1), """")
"),"")</f>
        <v/>
      </c>
      <c r="N245" s="6" t="b">
        <v>0</v>
      </c>
      <c r="O245" s="6" t="b">
        <v>0</v>
      </c>
      <c r="P245" s="6" t="b">
        <v>0</v>
      </c>
      <c r="Q245" s="6" t="b">
        <v>0</v>
      </c>
      <c r="R245" s="6"/>
      <c r="S245" s="6"/>
      <c r="T245" s="6"/>
      <c r="U245" s="6"/>
    </row>
    <row r="246">
      <c r="A246" s="19"/>
      <c r="B246" s="26" t="s">
        <v>418</v>
      </c>
      <c r="C246" s="26" t="s">
        <v>102</v>
      </c>
      <c r="D246" s="27" t="s">
        <v>468</v>
      </c>
      <c r="E246" s="6" t="b">
        <f t="shared" si="1"/>
        <v>1</v>
      </c>
      <c r="F246" s="6" t="b">
        <f>COUNTIFS('OLT DOWN Tickets'!$AB:$AB, "*" &amp; D246 &amp; "*", 'OLT DOWN Tickets'!$L:$L, "OLT DOWN") &gt; 0</f>
        <v>0</v>
      </c>
      <c r="G246" s="6" t="b">
        <f>COUNTIFS('OLT DOWN Tickets'!$AB:$AB, "*" &amp; D246 &amp; "*", 'OLT DOWN Tickets'!$L:$L, "OLT UPLINK LOW POWER") &gt; 0</f>
        <v>0</v>
      </c>
      <c r="H246" s="6" t="b">
        <f>COUNTIFS('OLT DOWN Tickets'!$AB:$AB, "*" &amp; D246 &amp; "*", 'OLT DOWN Tickets'!$L:$L, "OLT UPLINK DOWN") &gt; 0</f>
        <v>0</v>
      </c>
      <c r="I246" s="6" t="b">
        <f>COUNTIFS('OLT DOWN Tickets'!$AB:$AB, "*" &amp; D246 &amp; "*", 'OLT DOWN Tickets'!$L:$L, "OLT SERVICE DEGRADATION") &gt; 0</f>
        <v>0</v>
      </c>
      <c r="J246" s="32" t="str">
        <f>IFERROR(__xludf.DUMMYFUNCTION("IFERROR(INDEX(FILTER('OLT DOWN Tickets'!$F:$F, REGEXMATCH('OLT DOWN Tickets'!$AB:$AB, ""(?i)""&amp;TRIM(D246)), 'OLT DOWN Tickets'!$L:$L=""OLT DOWN""), 1), """")"),"")</f>
        <v/>
      </c>
      <c r="K246" s="32" t="str">
        <f>IFERROR(__xludf.DUMMYFUNCTION("IFERROR(INDEX(FILTER('OLT DOWN Tickets'!$F:$F, REGEXMATCH('OLT DOWN Tickets'!$AB:$AB, ""(?i)""&amp;TRIM(D246)), 'OLT DOWN Tickets'!$L:$L=""OLT UPLINK LOW POWER""), 1), """")"),"")</f>
        <v/>
      </c>
      <c r="L246" s="32" t="str">
        <f>IFERROR(__xludf.DUMMYFUNCTION("IFERROR(INDEX(FILTER('OLT DOWN Tickets'!$F:$F, REGEXMATCH('OLT DOWN Tickets'!$AB:$AB, ""(?i)""&amp;TRIM(D246)), 'OLT DOWN Tickets'!$L:$L=""OLT UPLINK DOWN""), 1), """")"),"")</f>
        <v/>
      </c>
      <c r="M246" s="32" t="str">
        <f>IFERROR(__xludf.DUMMYFUNCTION("IFERROR(INDEX(FILTER('OLT DOWN Tickets'!$F:$F, REGEXMATCH('OLT DOWN Tickets'!$AB:$AB, ""(?i)""&amp;TRIM(D246)), 'OLT DOWN Tickets'!$L:$L=""OLT SERVICE DEGRADATION""), 1), """")
"),"")</f>
        <v/>
      </c>
      <c r="N246" s="6" t="b">
        <v>0</v>
      </c>
      <c r="O246" s="6" t="b">
        <v>0</v>
      </c>
      <c r="P246" s="6" t="b">
        <v>0</v>
      </c>
      <c r="Q246" s="6" t="b">
        <v>0</v>
      </c>
      <c r="R246" s="6"/>
      <c r="S246" s="6"/>
      <c r="T246" s="6"/>
      <c r="U246" s="6"/>
    </row>
    <row r="247">
      <c r="A247" s="19"/>
      <c r="B247" s="26" t="s">
        <v>418</v>
      </c>
      <c r="C247" s="26" t="s">
        <v>102</v>
      </c>
      <c r="D247" s="27" t="s">
        <v>469</v>
      </c>
      <c r="E247" s="6" t="b">
        <f t="shared" si="1"/>
        <v>1</v>
      </c>
      <c r="F247" s="6" t="b">
        <f>COUNTIFS('OLT DOWN Tickets'!$AB:$AB, "*" &amp; D247 &amp; "*", 'OLT DOWN Tickets'!$L:$L, "OLT DOWN") &gt; 0</f>
        <v>0</v>
      </c>
      <c r="G247" s="6" t="b">
        <f>COUNTIFS('OLT DOWN Tickets'!$AB:$AB, "*" &amp; D247 &amp; "*", 'OLT DOWN Tickets'!$L:$L, "OLT UPLINK LOW POWER") &gt; 0</f>
        <v>0</v>
      </c>
      <c r="H247" s="6" t="b">
        <f>COUNTIFS('OLT DOWN Tickets'!$AB:$AB, "*" &amp; D247 &amp; "*", 'OLT DOWN Tickets'!$L:$L, "OLT UPLINK DOWN") &gt; 0</f>
        <v>0</v>
      </c>
      <c r="I247" s="6" t="b">
        <f>COUNTIFS('OLT DOWN Tickets'!$AB:$AB, "*" &amp; D247 &amp; "*", 'OLT DOWN Tickets'!$L:$L, "OLT SERVICE DEGRADATION") &gt; 0</f>
        <v>0</v>
      </c>
      <c r="J247" s="32" t="str">
        <f>IFERROR(__xludf.DUMMYFUNCTION("IFERROR(INDEX(FILTER('OLT DOWN Tickets'!$F:$F, REGEXMATCH('OLT DOWN Tickets'!$AB:$AB, ""(?i)""&amp;TRIM(D247)), 'OLT DOWN Tickets'!$L:$L=""OLT DOWN""), 1), """")"),"")</f>
        <v/>
      </c>
      <c r="K247" s="32" t="str">
        <f>IFERROR(__xludf.DUMMYFUNCTION("IFERROR(INDEX(FILTER('OLT DOWN Tickets'!$F:$F, REGEXMATCH('OLT DOWN Tickets'!$AB:$AB, ""(?i)""&amp;TRIM(D247)), 'OLT DOWN Tickets'!$L:$L=""OLT UPLINK LOW POWER""), 1), """")"),"")</f>
        <v/>
      </c>
      <c r="L247" s="32" t="str">
        <f>IFERROR(__xludf.DUMMYFUNCTION("IFERROR(INDEX(FILTER('OLT DOWN Tickets'!$F:$F, REGEXMATCH('OLT DOWN Tickets'!$AB:$AB, ""(?i)""&amp;TRIM(D247)), 'OLT DOWN Tickets'!$L:$L=""OLT UPLINK DOWN""), 1), """")"),"")</f>
        <v/>
      </c>
      <c r="M247" s="32" t="str">
        <f>IFERROR(__xludf.DUMMYFUNCTION("IFERROR(INDEX(FILTER('OLT DOWN Tickets'!$F:$F, REGEXMATCH('OLT DOWN Tickets'!$AB:$AB, ""(?i)""&amp;TRIM(D247)), 'OLT DOWN Tickets'!$L:$L=""OLT SERVICE DEGRADATION""), 1), """")
"),"")</f>
        <v/>
      </c>
      <c r="N247" s="6" t="b">
        <v>0</v>
      </c>
      <c r="O247" s="6" t="b">
        <v>0</v>
      </c>
      <c r="P247" s="6" t="b">
        <v>0</v>
      </c>
      <c r="Q247" s="6" t="b">
        <v>0</v>
      </c>
      <c r="R247" s="6"/>
      <c r="S247" s="6"/>
      <c r="T247" s="6"/>
      <c r="U247" s="6"/>
    </row>
    <row r="248">
      <c r="A248" s="19"/>
      <c r="B248" s="26" t="s">
        <v>418</v>
      </c>
      <c r="C248" s="26" t="s">
        <v>470</v>
      </c>
      <c r="D248" s="27" t="s">
        <v>471</v>
      </c>
      <c r="E248" s="6" t="b">
        <f t="shared" si="1"/>
        <v>1</v>
      </c>
      <c r="F248" s="6" t="b">
        <f>COUNTIFS('OLT DOWN Tickets'!$AB:$AB, "*" &amp; D248 &amp; "*", 'OLT DOWN Tickets'!$L:$L, "OLT DOWN") &gt; 0</f>
        <v>0</v>
      </c>
      <c r="G248" s="6" t="b">
        <f>COUNTIFS('OLT DOWN Tickets'!$AB:$AB, "*" &amp; D248 &amp; "*", 'OLT DOWN Tickets'!$L:$L, "OLT UPLINK LOW POWER") &gt; 0</f>
        <v>0</v>
      </c>
      <c r="H248" s="6" t="b">
        <f>COUNTIFS('OLT DOWN Tickets'!$AB:$AB, "*" &amp; D248 &amp; "*", 'OLT DOWN Tickets'!$L:$L, "OLT UPLINK DOWN") &gt; 0</f>
        <v>0</v>
      </c>
      <c r="I248" s="6" t="b">
        <f>COUNTIFS('OLT DOWN Tickets'!$AB:$AB, "*" &amp; D248 &amp; "*", 'OLT DOWN Tickets'!$L:$L, "OLT SERVICE DEGRADATION") &gt; 0</f>
        <v>0</v>
      </c>
      <c r="J248" s="32" t="str">
        <f>IFERROR(__xludf.DUMMYFUNCTION("IFERROR(INDEX(FILTER('OLT DOWN Tickets'!$F:$F, REGEXMATCH('OLT DOWN Tickets'!$AB:$AB, ""(?i)""&amp;TRIM(D248)), 'OLT DOWN Tickets'!$L:$L=""OLT DOWN""), 1), """")"),"")</f>
        <v/>
      </c>
      <c r="K248" s="32" t="str">
        <f>IFERROR(__xludf.DUMMYFUNCTION("IFERROR(INDEX(FILTER('OLT DOWN Tickets'!$F:$F, REGEXMATCH('OLT DOWN Tickets'!$AB:$AB, ""(?i)""&amp;TRIM(D248)), 'OLT DOWN Tickets'!$L:$L=""OLT UPLINK LOW POWER""), 1), """")"),"")</f>
        <v/>
      </c>
      <c r="L248" s="32" t="str">
        <f>IFERROR(__xludf.DUMMYFUNCTION("IFERROR(INDEX(FILTER('OLT DOWN Tickets'!$F:$F, REGEXMATCH('OLT DOWN Tickets'!$AB:$AB, ""(?i)""&amp;TRIM(D248)), 'OLT DOWN Tickets'!$L:$L=""OLT UPLINK DOWN""), 1), """")"),"")</f>
        <v/>
      </c>
      <c r="M248" s="32" t="str">
        <f>IFERROR(__xludf.DUMMYFUNCTION("IFERROR(INDEX(FILTER('OLT DOWN Tickets'!$F:$F, REGEXMATCH('OLT DOWN Tickets'!$AB:$AB, ""(?i)""&amp;TRIM(D248)), 'OLT DOWN Tickets'!$L:$L=""OLT SERVICE DEGRADATION""), 1), """")
"),"")</f>
        <v/>
      </c>
      <c r="N248" s="6" t="b">
        <v>0</v>
      </c>
      <c r="O248" s="6" t="b">
        <v>0</v>
      </c>
      <c r="P248" s="6" t="b">
        <v>0</v>
      </c>
      <c r="Q248" s="6" t="b">
        <v>0</v>
      </c>
      <c r="R248" s="6"/>
      <c r="S248" s="6"/>
      <c r="T248" s="6"/>
      <c r="U248" s="6"/>
    </row>
    <row r="249">
      <c r="A249" s="19"/>
      <c r="B249" s="26" t="s">
        <v>418</v>
      </c>
      <c r="C249" s="26" t="s">
        <v>470</v>
      </c>
      <c r="D249" s="27" t="s">
        <v>472</v>
      </c>
      <c r="E249" s="6" t="b">
        <f t="shared" si="1"/>
        <v>1</v>
      </c>
      <c r="F249" s="6" t="b">
        <f>COUNTIFS('OLT DOWN Tickets'!$AB:$AB, "*" &amp; D249 &amp; "*", 'OLT DOWN Tickets'!$L:$L, "OLT DOWN") &gt; 0</f>
        <v>0</v>
      </c>
      <c r="G249" s="6" t="b">
        <f>COUNTIFS('OLT DOWN Tickets'!$AB:$AB, "*" &amp; D249 &amp; "*", 'OLT DOWN Tickets'!$L:$L, "OLT UPLINK LOW POWER") &gt; 0</f>
        <v>0</v>
      </c>
      <c r="H249" s="6" t="b">
        <f>COUNTIFS('OLT DOWN Tickets'!$AB:$AB, "*" &amp; D249 &amp; "*", 'OLT DOWN Tickets'!$L:$L, "OLT UPLINK DOWN") &gt; 0</f>
        <v>0</v>
      </c>
      <c r="I249" s="6" t="b">
        <f>COUNTIFS('OLT DOWN Tickets'!$AB:$AB, "*" &amp; D249 &amp; "*", 'OLT DOWN Tickets'!$L:$L, "OLT SERVICE DEGRADATION") &gt; 0</f>
        <v>0</v>
      </c>
      <c r="J249" s="32" t="str">
        <f>IFERROR(__xludf.DUMMYFUNCTION("IFERROR(INDEX(FILTER('OLT DOWN Tickets'!$F:$F, REGEXMATCH('OLT DOWN Tickets'!$AB:$AB, ""(?i)""&amp;TRIM(D249)), 'OLT DOWN Tickets'!$L:$L=""OLT DOWN""), 1), """")"),"")</f>
        <v/>
      </c>
      <c r="K249" s="32" t="str">
        <f>IFERROR(__xludf.DUMMYFUNCTION("IFERROR(INDEX(FILTER('OLT DOWN Tickets'!$F:$F, REGEXMATCH('OLT DOWN Tickets'!$AB:$AB, ""(?i)""&amp;TRIM(D249)), 'OLT DOWN Tickets'!$L:$L=""OLT UPLINK LOW POWER""), 1), """")"),"")</f>
        <v/>
      </c>
      <c r="L249" s="32" t="str">
        <f>IFERROR(__xludf.DUMMYFUNCTION("IFERROR(INDEX(FILTER('OLT DOWN Tickets'!$F:$F, REGEXMATCH('OLT DOWN Tickets'!$AB:$AB, ""(?i)""&amp;TRIM(D249)), 'OLT DOWN Tickets'!$L:$L=""OLT UPLINK DOWN""), 1), """")"),"")</f>
        <v/>
      </c>
      <c r="M249" s="32" t="str">
        <f>IFERROR(__xludf.DUMMYFUNCTION("IFERROR(INDEX(FILTER('OLT DOWN Tickets'!$F:$F, REGEXMATCH('OLT DOWN Tickets'!$AB:$AB, ""(?i)""&amp;TRIM(D249)), 'OLT DOWN Tickets'!$L:$L=""OLT SERVICE DEGRADATION""), 1), """")
"),"")</f>
        <v/>
      </c>
      <c r="N249" s="6" t="b">
        <v>0</v>
      </c>
      <c r="O249" s="6" t="b">
        <v>0</v>
      </c>
      <c r="P249" s="6" t="b">
        <v>0</v>
      </c>
      <c r="Q249" s="6" t="b">
        <v>0</v>
      </c>
      <c r="R249" s="6"/>
      <c r="S249" s="6"/>
      <c r="T249" s="6"/>
      <c r="U249" s="6"/>
    </row>
    <row r="250">
      <c r="A250" s="19"/>
      <c r="B250" s="26" t="s">
        <v>418</v>
      </c>
      <c r="C250" s="26" t="s">
        <v>470</v>
      </c>
      <c r="D250" s="27" t="s">
        <v>473</v>
      </c>
      <c r="E250" s="6" t="b">
        <f t="shared" si="1"/>
        <v>1</v>
      </c>
      <c r="F250" s="6" t="b">
        <f>COUNTIFS('OLT DOWN Tickets'!$AB:$AB, "*" &amp; D250 &amp; "*", 'OLT DOWN Tickets'!$L:$L, "OLT DOWN") &gt; 0</f>
        <v>0</v>
      </c>
      <c r="G250" s="6" t="b">
        <f>COUNTIFS('OLT DOWN Tickets'!$AB:$AB, "*" &amp; D250 &amp; "*", 'OLT DOWN Tickets'!$L:$L, "OLT UPLINK LOW POWER") &gt; 0</f>
        <v>0</v>
      </c>
      <c r="H250" s="6" t="b">
        <f>COUNTIFS('OLT DOWN Tickets'!$AB:$AB, "*" &amp; D250 &amp; "*", 'OLT DOWN Tickets'!$L:$L, "OLT UPLINK DOWN") &gt; 0</f>
        <v>0</v>
      </c>
      <c r="I250" s="6" t="b">
        <f>COUNTIFS('OLT DOWN Tickets'!$AB:$AB, "*" &amp; D250 &amp; "*", 'OLT DOWN Tickets'!$L:$L, "OLT SERVICE DEGRADATION") &gt; 0</f>
        <v>0</v>
      </c>
      <c r="J250" s="32" t="str">
        <f>IFERROR(__xludf.DUMMYFUNCTION("IFERROR(INDEX(FILTER('OLT DOWN Tickets'!$F:$F, REGEXMATCH('OLT DOWN Tickets'!$AB:$AB, ""(?i)""&amp;TRIM(D250)), 'OLT DOWN Tickets'!$L:$L=""OLT DOWN""), 1), """")"),"")</f>
        <v/>
      </c>
      <c r="K250" s="32" t="str">
        <f>IFERROR(__xludf.DUMMYFUNCTION("IFERROR(INDEX(FILTER('OLT DOWN Tickets'!$F:$F, REGEXMATCH('OLT DOWN Tickets'!$AB:$AB, ""(?i)""&amp;TRIM(D250)), 'OLT DOWN Tickets'!$L:$L=""OLT UPLINK LOW POWER""), 1), """")"),"")</f>
        <v/>
      </c>
      <c r="L250" s="32" t="str">
        <f>IFERROR(__xludf.DUMMYFUNCTION("IFERROR(INDEX(FILTER('OLT DOWN Tickets'!$F:$F, REGEXMATCH('OLT DOWN Tickets'!$AB:$AB, ""(?i)""&amp;TRIM(D250)), 'OLT DOWN Tickets'!$L:$L=""OLT UPLINK DOWN""), 1), """")"),"")</f>
        <v/>
      </c>
      <c r="M250" s="32" t="str">
        <f>IFERROR(__xludf.DUMMYFUNCTION("IFERROR(INDEX(FILTER('OLT DOWN Tickets'!$F:$F, REGEXMATCH('OLT DOWN Tickets'!$AB:$AB, ""(?i)""&amp;TRIM(D250)), 'OLT DOWN Tickets'!$L:$L=""OLT SERVICE DEGRADATION""), 1), """")
"),"")</f>
        <v/>
      </c>
      <c r="N250" s="6" t="b">
        <v>0</v>
      </c>
      <c r="O250" s="6" t="b">
        <v>0</v>
      </c>
      <c r="P250" s="6" t="b">
        <v>0</v>
      </c>
      <c r="Q250" s="6" t="b">
        <v>0</v>
      </c>
      <c r="R250" s="6"/>
      <c r="S250" s="6"/>
      <c r="T250" s="6"/>
      <c r="U250" s="6"/>
    </row>
    <row r="251">
      <c r="A251" s="19"/>
      <c r="B251" s="26" t="s">
        <v>418</v>
      </c>
      <c r="C251" s="26" t="s">
        <v>470</v>
      </c>
      <c r="D251" s="27" t="s">
        <v>474</v>
      </c>
      <c r="E251" s="6" t="b">
        <f t="shared" si="1"/>
        <v>1</v>
      </c>
      <c r="F251" s="6" t="b">
        <f>COUNTIFS('OLT DOWN Tickets'!$AB:$AB, "*" &amp; D251 &amp; "*", 'OLT DOWN Tickets'!$L:$L, "OLT DOWN") &gt; 0</f>
        <v>0</v>
      </c>
      <c r="G251" s="6" t="b">
        <f>COUNTIFS('OLT DOWN Tickets'!$AB:$AB, "*" &amp; D251 &amp; "*", 'OLT DOWN Tickets'!$L:$L, "OLT UPLINK LOW POWER") &gt; 0</f>
        <v>0</v>
      </c>
      <c r="H251" s="6" t="b">
        <f>COUNTIFS('OLT DOWN Tickets'!$AB:$AB, "*" &amp; D251 &amp; "*", 'OLT DOWN Tickets'!$L:$L, "OLT UPLINK DOWN") &gt; 0</f>
        <v>0</v>
      </c>
      <c r="I251" s="6" t="b">
        <f>COUNTIFS('OLT DOWN Tickets'!$AB:$AB, "*" &amp; D251 &amp; "*", 'OLT DOWN Tickets'!$L:$L, "OLT SERVICE DEGRADATION") &gt; 0</f>
        <v>0</v>
      </c>
      <c r="J251" s="32" t="str">
        <f>IFERROR(__xludf.DUMMYFUNCTION("IFERROR(INDEX(FILTER('OLT DOWN Tickets'!$F:$F, REGEXMATCH('OLT DOWN Tickets'!$AB:$AB, ""(?i)""&amp;TRIM(D251)), 'OLT DOWN Tickets'!$L:$L=""OLT DOWN""), 1), """")"),"")</f>
        <v/>
      </c>
      <c r="K251" s="32" t="str">
        <f>IFERROR(__xludf.DUMMYFUNCTION("IFERROR(INDEX(FILTER('OLT DOWN Tickets'!$F:$F, REGEXMATCH('OLT DOWN Tickets'!$AB:$AB, ""(?i)""&amp;TRIM(D251)), 'OLT DOWN Tickets'!$L:$L=""OLT UPLINK LOW POWER""), 1), """")"),"")</f>
        <v/>
      </c>
      <c r="L251" s="32" t="str">
        <f>IFERROR(__xludf.DUMMYFUNCTION("IFERROR(INDEX(FILTER('OLT DOWN Tickets'!$F:$F, REGEXMATCH('OLT DOWN Tickets'!$AB:$AB, ""(?i)""&amp;TRIM(D251)), 'OLT DOWN Tickets'!$L:$L=""OLT UPLINK DOWN""), 1), """")"),"")</f>
        <v/>
      </c>
      <c r="M251" s="32" t="str">
        <f>IFERROR(__xludf.DUMMYFUNCTION("IFERROR(INDEX(FILTER('OLT DOWN Tickets'!$F:$F, REGEXMATCH('OLT DOWN Tickets'!$AB:$AB, ""(?i)""&amp;TRIM(D251)), 'OLT DOWN Tickets'!$L:$L=""OLT SERVICE DEGRADATION""), 1), """")
"),"")</f>
        <v/>
      </c>
      <c r="N251" s="6" t="b">
        <v>0</v>
      </c>
      <c r="O251" s="6" t="b">
        <v>0</v>
      </c>
      <c r="P251" s="6" t="b">
        <v>0</v>
      </c>
      <c r="Q251" s="6" t="b">
        <v>0</v>
      </c>
      <c r="R251" s="6"/>
      <c r="S251" s="6"/>
      <c r="T251" s="6"/>
      <c r="U251" s="6"/>
    </row>
    <row r="252">
      <c r="A252" s="19"/>
      <c r="B252" s="26" t="s">
        <v>418</v>
      </c>
      <c r="C252" s="26" t="s">
        <v>475</v>
      </c>
      <c r="D252" s="27" t="s">
        <v>476</v>
      </c>
      <c r="E252" s="6" t="b">
        <f t="shared" si="1"/>
        <v>1</v>
      </c>
      <c r="F252" s="6" t="b">
        <f>COUNTIFS('OLT DOWN Tickets'!$AB:$AB, "*" &amp; D252 &amp; "*", 'OLT DOWN Tickets'!$L:$L, "OLT DOWN") &gt; 0</f>
        <v>0</v>
      </c>
      <c r="G252" s="6" t="b">
        <f>COUNTIFS('OLT DOWN Tickets'!$AB:$AB, "*" &amp; D252 &amp; "*", 'OLT DOWN Tickets'!$L:$L, "OLT UPLINK LOW POWER") &gt; 0</f>
        <v>0</v>
      </c>
      <c r="H252" s="6" t="b">
        <f>COUNTIFS('OLT DOWN Tickets'!$AB:$AB, "*" &amp; D252 &amp; "*", 'OLT DOWN Tickets'!$L:$L, "OLT UPLINK DOWN") &gt; 0</f>
        <v>0</v>
      </c>
      <c r="I252" s="6" t="b">
        <f>COUNTIFS('OLT DOWN Tickets'!$AB:$AB, "*" &amp; D252 &amp; "*", 'OLT DOWN Tickets'!$L:$L, "OLT SERVICE DEGRADATION") &gt; 0</f>
        <v>0</v>
      </c>
      <c r="J252" s="32" t="str">
        <f>IFERROR(__xludf.DUMMYFUNCTION("IFERROR(INDEX(FILTER('OLT DOWN Tickets'!$F:$F, REGEXMATCH('OLT DOWN Tickets'!$AB:$AB, ""(?i)""&amp;TRIM(D252)), 'OLT DOWN Tickets'!$L:$L=""OLT DOWN""), 1), """")"),"")</f>
        <v/>
      </c>
      <c r="K252" s="32" t="str">
        <f>IFERROR(__xludf.DUMMYFUNCTION("IFERROR(INDEX(FILTER('OLT DOWN Tickets'!$F:$F, REGEXMATCH('OLT DOWN Tickets'!$AB:$AB, ""(?i)""&amp;TRIM(D252)), 'OLT DOWN Tickets'!$L:$L=""OLT UPLINK LOW POWER""), 1), """")"),"")</f>
        <v/>
      </c>
      <c r="L252" s="32" t="str">
        <f>IFERROR(__xludf.DUMMYFUNCTION("IFERROR(INDEX(FILTER('OLT DOWN Tickets'!$F:$F, REGEXMATCH('OLT DOWN Tickets'!$AB:$AB, ""(?i)""&amp;TRIM(D252)), 'OLT DOWN Tickets'!$L:$L=""OLT UPLINK DOWN""), 1), """")"),"")</f>
        <v/>
      </c>
      <c r="M252" s="32" t="str">
        <f>IFERROR(__xludf.DUMMYFUNCTION("IFERROR(INDEX(FILTER('OLT DOWN Tickets'!$F:$F, REGEXMATCH('OLT DOWN Tickets'!$AB:$AB, ""(?i)""&amp;TRIM(D252)), 'OLT DOWN Tickets'!$L:$L=""OLT SERVICE DEGRADATION""), 1), """")
"),"")</f>
        <v/>
      </c>
      <c r="N252" s="6" t="b">
        <v>0</v>
      </c>
      <c r="O252" s="6" t="b">
        <v>0</v>
      </c>
      <c r="P252" s="6" t="b">
        <v>0</v>
      </c>
      <c r="Q252" s="6" t="b">
        <v>0</v>
      </c>
      <c r="R252" s="6"/>
      <c r="S252" s="6"/>
      <c r="T252" s="6"/>
      <c r="U252" s="6"/>
    </row>
    <row r="253">
      <c r="A253" s="19"/>
      <c r="B253" s="26" t="s">
        <v>418</v>
      </c>
      <c r="C253" s="26" t="s">
        <v>477</v>
      </c>
      <c r="D253" s="27" t="s">
        <v>478</v>
      </c>
      <c r="E253" s="6" t="b">
        <f t="shared" si="1"/>
        <v>1</v>
      </c>
      <c r="F253" s="6" t="b">
        <f>COUNTIFS('OLT DOWN Tickets'!$AB:$AB, "*" &amp; D253 &amp; "*", 'OLT DOWN Tickets'!$L:$L, "OLT DOWN") &gt; 0</f>
        <v>0</v>
      </c>
      <c r="G253" s="6" t="b">
        <f>COUNTIFS('OLT DOWN Tickets'!$AB:$AB, "*" &amp; D253 &amp; "*", 'OLT DOWN Tickets'!$L:$L, "OLT UPLINK LOW POWER") &gt; 0</f>
        <v>0</v>
      </c>
      <c r="H253" s="6" t="b">
        <f>COUNTIFS('OLT DOWN Tickets'!$AB:$AB, "*" &amp; D253 &amp; "*", 'OLT DOWN Tickets'!$L:$L, "OLT UPLINK DOWN") &gt; 0</f>
        <v>0</v>
      </c>
      <c r="I253" s="6" t="b">
        <f>COUNTIFS('OLT DOWN Tickets'!$AB:$AB, "*" &amp; D253 &amp; "*", 'OLT DOWN Tickets'!$L:$L, "OLT SERVICE DEGRADATION") &gt; 0</f>
        <v>0</v>
      </c>
      <c r="J253" s="32" t="str">
        <f>IFERROR(__xludf.DUMMYFUNCTION("IFERROR(INDEX(FILTER('OLT DOWN Tickets'!$F:$F, REGEXMATCH('OLT DOWN Tickets'!$AB:$AB, ""(?i)""&amp;TRIM(D253)), 'OLT DOWN Tickets'!$L:$L=""OLT DOWN""), 1), """")"),"")</f>
        <v/>
      </c>
      <c r="K253" s="32" t="str">
        <f>IFERROR(__xludf.DUMMYFUNCTION("IFERROR(INDEX(FILTER('OLT DOWN Tickets'!$F:$F, REGEXMATCH('OLT DOWN Tickets'!$AB:$AB, ""(?i)""&amp;TRIM(D253)), 'OLT DOWN Tickets'!$L:$L=""OLT UPLINK LOW POWER""), 1), """")"),"")</f>
        <v/>
      </c>
      <c r="L253" s="32" t="str">
        <f>IFERROR(__xludf.DUMMYFUNCTION("IFERROR(INDEX(FILTER('OLT DOWN Tickets'!$F:$F, REGEXMATCH('OLT DOWN Tickets'!$AB:$AB, ""(?i)""&amp;TRIM(D253)), 'OLT DOWN Tickets'!$L:$L=""OLT UPLINK DOWN""), 1), """")"),"")</f>
        <v/>
      </c>
      <c r="M253" s="32" t="str">
        <f>IFERROR(__xludf.DUMMYFUNCTION("IFERROR(INDEX(FILTER('OLT DOWN Tickets'!$F:$F, REGEXMATCH('OLT DOWN Tickets'!$AB:$AB, ""(?i)""&amp;TRIM(D253)), 'OLT DOWN Tickets'!$L:$L=""OLT SERVICE DEGRADATION""), 1), """")
"),"")</f>
        <v/>
      </c>
      <c r="N253" s="6" t="b">
        <v>0</v>
      </c>
      <c r="O253" s="6" t="b">
        <v>0</v>
      </c>
      <c r="P253" s="6" t="b">
        <v>0</v>
      </c>
      <c r="Q253" s="6" t="b">
        <v>0</v>
      </c>
      <c r="R253" s="6"/>
      <c r="S253" s="6"/>
      <c r="T253" s="6"/>
      <c r="U253" s="6"/>
    </row>
    <row r="254">
      <c r="A254" s="19"/>
      <c r="B254" s="26" t="s">
        <v>418</v>
      </c>
      <c r="C254" s="26" t="s">
        <v>477</v>
      </c>
      <c r="D254" s="27" t="s">
        <v>479</v>
      </c>
      <c r="E254" s="6" t="b">
        <f t="shared" si="1"/>
        <v>1</v>
      </c>
      <c r="F254" s="6" t="b">
        <f>COUNTIFS('OLT DOWN Tickets'!$AB:$AB, "*" &amp; D254 &amp; "*", 'OLT DOWN Tickets'!$L:$L, "OLT DOWN") &gt; 0</f>
        <v>0</v>
      </c>
      <c r="G254" s="6" t="b">
        <f>COUNTIFS('OLT DOWN Tickets'!$AB:$AB, "*" &amp; D254 &amp; "*", 'OLT DOWN Tickets'!$L:$L, "OLT UPLINK LOW POWER") &gt; 0</f>
        <v>0</v>
      </c>
      <c r="H254" s="6" t="b">
        <f>COUNTIFS('OLT DOWN Tickets'!$AB:$AB, "*" &amp; D254 &amp; "*", 'OLT DOWN Tickets'!$L:$L, "OLT UPLINK DOWN") &gt; 0</f>
        <v>0</v>
      </c>
      <c r="I254" s="6" t="b">
        <f>COUNTIFS('OLT DOWN Tickets'!$AB:$AB, "*" &amp; D254 &amp; "*", 'OLT DOWN Tickets'!$L:$L, "OLT SERVICE DEGRADATION") &gt; 0</f>
        <v>0</v>
      </c>
      <c r="J254" s="32" t="str">
        <f>IFERROR(__xludf.DUMMYFUNCTION("IFERROR(INDEX(FILTER('OLT DOWN Tickets'!$F:$F, REGEXMATCH('OLT DOWN Tickets'!$AB:$AB, ""(?i)""&amp;TRIM(D254)), 'OLT DOWN Tickets'!$L:$L=""OLT DOWN""), 1), """")"),"")</f>
        <v/>
      </c>
      <c r="K254" s="32" t="str">
        <f>IFERROR(__xludf.DUMMYFUNCTION("IFERROR(INDEX(FILTER('OLT DOWN Tickets'!$F:$F, REGEXMATCH('OLT DOWN Tickets'!$AB:$AB, ""(?i)""&amp;TRIM(D254)), 'OLT DOWN Tickets'!$L:$L=""OLT UPLINK LOW POWER""), 1), """")"),"")</f>
        <v/>
      </c>
      <c r="L254" s="32" t="str">
        <f>IFERROR(__xludf.DUMMYFUNCTION("IFERROR(INDEX(FILTER('OLT DOWN Tickets'!$F:$F, REGEXMATCH('OLT DOWN Tickets'!$AB:$AB, ""(?i)""&amp;TRIM(D254)), 'OLT DOWN Tickets'!$L:$L=""OLT UPLINK DOWN""), 1), """")"),"")</f>
        <v/>
      </c>
      <c r="M254" s="32" t="str">
        <f>IFERROR(__xludf.DUMMYFUNCTION("IFERROR(INDEX(FILTER('OLT DOWN Tickets'!$F:$F, REGEXMATCH('OLT DOWN Tickets'!$AB:$AB, ""(?i)""&amp;TRIM(D254)), 'OLT DOWN Tickets'!$L:$L=""OLT SERVICE DEGRADATION""), 1), """")
"),"")</f>
        <v/>
      </c>
      <c r="N254" s="6" t="b">
        <v>0</v>
      </c>
      <c r="O254" s="6" t="b">
        <v>0</v>
      </c>
      <c r="P254" s="6" t="b">
        <v>0</v>
      </c>
      <c r="Q254" s="6" t="b">
        <v>0</v>
      </c>
      <c r="R254" s="6"/>
      <c r="S254" s="6"/>
      <c r="T254" s="6"/>
      <c r="U254" s="6"/>
    </row>
    <row r="255">
      <c r="A255" s="19"/>
      <c r="B255" s="26" t="s">
        <v>418</v>
      </c>
      <c r="C255" s="26" t="s">
        <v>477</v>
      </c>
      <c r="D255" s="27" t="s">
        <v>480</v>
      </c>
      <c r="E255" s="6" t="b">
        <f t="shared" si="1"/>
        <v>1</v>
      </c>
      <c r="F255" s="6" t="b">
        <f>COUNTIFS('OLT DOWN Tickets'!$AB:$AB, "*" &amp; D255 &amp; "*", 'OLT DOWN Tickets'!$L:$L, "OLT DOWN") &gt; 0</f>
        <v>0</v>
      </c>
      <c r="G255" s="6" t="b">
        <f>COUNTIFS('OLT DOWN Tickets'!$AB:$AB, "*" &amp; D255 &amp; "*", 'OLT DOWN Tickets'!$L:$L, "OLT UPLINK LOW POWER") &gt; 0</f>
        <v>0</v>
      </c>
      <c r="H255" s="6" t="b">
        <f>COUNTIFS('OLT DOWN Tickets'!$AB:$AB, "*" &amp; D255 &amp; "*", 'OLT DOWN Tickets'!$L:$L, "OLT UPLINK DOWN") &gt; 0</f>
        <v>0</v>
      </c>
      <c r="I255" s="6" t="b">
        <f>COUNTIFS('OLT DOWN Tickets'!$AB:$AB, "*" &amp; D255 &amp; "*", 'OLT DOWN Tickets'!$L:$L, "OLT SERVICE DEGRADATION") &gt; 0</f>
        <v>0</v>
      </c>
      <c r="J255" s="32" t="str">
        <f>IFERROR(__xludf.DUMMYFUNCTION("IFERROR(INDEX(FILTER('OLT DOWN Tickets'!$F:$F, REGEXMATCH('OLT DOWN Tickets'!$AB:$AB, ""(?i)""&amp;TRIM(D255)), 'OLT DOWN Tickets'!$L:$L=""OLT DOWN""), 1), """")"),"")</f>
        <v/>
      </c>
      <c r="K255" s="32" t="str">
        <f>IFERROR(__xludf.DUMMYFUNCTION("IFERROR(INDEX(FILTER('OLT DOWN Tickets'!$F:$F, REGEXMATCH('OLT DOWN Tickets'!$AB:$AB, ""(?i)""&amp;TRIM(D255)), 'OLT DOWN Tickets'!$L:$L=""OLT UPLINK LOW POWER""), 1), """")"),"")</f>
        <v/>
      </c>
      <c r="L255" s="32" t="str">
        <f>IFERROR(__xludf.DUMMYFUNCTION("IFERROR(INDEX(FILTER('OLT DOWN Tickets'!$F:$F, REGEXMATCH('OLT DOWN Tickets'!$AB:$AB, ""(?i)""&amp;TRIM(D255)), 'OLT DOWN Tickets'!$L:$L=""OLT UPLINK DOWN""), 1), """")"),"")</f>
        <v/>
      </c>
      <c r="M255" s="32" t="str">
        <f>IFERROR(__xludf.DUMMYFUNCTION("IFERROR(INDEX(FILTER('OLT DOWN Tickets'!$F:$F, REGEXMATCH('OLT DOWN Tickets'!$AB:$AB, ""(?i)""&amp;TRIM(D255)), 'OLT DOWN Tickets'!$L:$L=""OLT SERVICE DEGRADATION""), 1), """")
"),"")</f>
        <v/>
      </c>
      <c r="N255" s="6" t="b">
        <v>0</v>
      </c>
      <c r="O255" s="6" t="b">
        <v>0</v>
      </c>
      <c r="P255" s="6" t="b">
        <v>0</v>
      </c>
      <c r="Q255" s="6" t="b">
        <v>0</v>
      </c>
      <c r="R255" s="6"/>
      <c r="S255" s="6"/>
      <c r="T255" s="6"/>
      <c r="U255" s="6"/>
    </row>
    <row r="256">
      <c r="A256" s="19"/>
      <c r="B256" s="26" t="s">
        <v>418</v>
      </c>
      <c r="C256" s="26" t="s">
        <v>481</v>
      </c>
      <c r="D256" s="27" t="s">
        <v>482</v>
      </c>
      <c r="E256" s="6" t="b">
        <f t="shared" si="1"/>
        <v>1</v>
      </c>
      <c r="F256" s="6" t="b">
        <f>COUNTIFS('OLT DOWN Tickets'!$AB:$AB, "*" &amp; D256 &amp; "*", 'OLT DOWN Tickets'!$L:$L, "OLT DOWN") &gt; 0</f>
        <v>0</v>
      </c>
      <c r="G256" s="6" t="b">
        <f>COUNTIFS('OLT DOWN Tickets'!$AB:$AB, "*" &amp; D256 &amp; "*", 'OLT DOWN Tickets'!$L:$L, "OLT UPLINK LOW POWER") &gt; 0</f>
        <v>0</v>
      </c>
      <c r="H256" s="6" t="b">
        <f>COUNTIFS('OLT DOWN Tickets'!$AB:$AB, "*" &amp; D256 &amp; "*", 'OLT DOWN Tickets'!$L:$L, "OLT UPLINK DOWN") &gt; 0</f>
        <v>0</v>
      </c>
      <c r="I256" s="6" t="b">
        <f>COUNTIFS('OLT DOWN Tickets'!$AB:$AB, "*" &amp; D256 &amp; "*", 'OLT DOWN Tickets'!$L:$L, "OLT SERVICE DEGRADATION") &gt; 0</f>
        <v>0</v>
      </c>
      <c r="J256" s="32" t="str">
        <f>IFERROR(__xludf.DUMMYFUNCTION("IFERROR(INDEX(FILTER('OLT DOWN Tickets'!$F:$F, REGEXMATCH('OLT DOWN Tickets'!$AB:$AB, ""(?i)""&amp;TRIM(D256)), 'OLT DOWN Tickets'!$L:$L=""OLT DOWN""), 1), """")"),"")</f>
        <v/>
      </c>
      <c r="K256" s="32" t="str">
        <f>IFERROR(__xludf.DUMMYFUNCTION("IFERROR(INDEX(FILTER('OLT DOWN Tickets'!$F:$F, REGEXMATCH('OLT DOWN Tickets'!$AB:$AB, ""(?i)""&amp;TRIM(D256)), 'OLT DOWN Tickets'!$L:$L=""OLT UPLINK LOW POWER""), 1), """")"),"")</f>
        <v/>
      </c>
      <c r="L256" s="32" t="str">
        <f>IFERROR(__xludf.DUMMYFUNCTION("IFERROR(INDEX(FILTER('OLT DOWN Tickets'!$F:$F, REGEXMATCH('OLT DOWN Tickets'!$AB:$AB, ""(?i)""&amp;TRIM(D256)), 'OLT DOWN Tickets'!$L:$L=""OLT UPLINK DOWN""), 1), """")"),"")</f>
        <v/>
      </c>
      <c r="M256" s="32" t="str">
        <f>IFERROR(__xludf.DUMMYFUNCTION("IFERROR(INDEX(FILTER('OLT DOWN Tickets'!$F:$F, REGEXMATCH('OLT DOWN Tickets'!$AB:$AB, ""(?i)""&amp;TRIM(D256)), 'OLT DOWN Tickets'!$L:$L=""OLT SERVICE DEGRADATION""), 1), """")
"),"")</f>
        <v/>
      </c>
      <c r="N256" s="6" t="b">
        <v>0</v>
      </c>
      <c r="O256" s="6" t="b">
        <v>0</v>
      </c>
      <c r="P256" s="6" t="b">
        <v>0</v>
      </c>
      <c r="Q256" s="6" t="b">
        <v>0</v>
      </c>
      <c r="R256" s="6"/>
      <c r="S256" s="6"/>
      <c r="T256" s="6"/>
      <c r="U256" s="6"/>
    </row>
    <row r="257">
      <c r="A257" s="19"/>
      <c r="B257" s="26" t="s">
        <v>418</v>
      </c>
      <c r="C257" s="26" t="s">
        <v>483</v>
      </c>
      <c r="D257" s="27" t="s">
        <v>484</v>
      </c>
      <c r="E257" s="6" t="b">
        <f t="shared" si="1"/>
        <v>1</v>
      </c>
      <c r="F257" s="6" t="b">
        <f>COUNTIFS('OLT DOWN Tickets'!$AB:$AB, "*" &amp; D257 &amp; "*", 'OLT DOWN Tickets'!$L:$L, "OLT DOWN") &gt; 0</f>
        <v>0</v>
      </c>
      <c r="G257" s="6" t="b">
        <f>COUNTIFS('OLT DOWN Tickets'!$AB:$AB, "*" &amp; D257 &amp; "*", 'OLT DOWN Tickets'!$L:$L, "OLT UPLINK LOW POWER") &gt; 0</f>
        <v>0</v>
      </c>
      <c r="H257" s="6" t="b">
        <f>COUNTIFS('OLT DOWN Tickets'!$AB:$AB, "*" &amp; D257 &amp; "*", 'OLT DOWN Tickets'!$L:$L, "OLT UPLINK DOWN") &gt; 0</f>
        <v>0</v>
      </c>
      <c r="I257" s="6" t="b">
        <f>COUNTIFS('OLT DOWN Tickets'!$AB:$AB, "*" &amp; D257 &amp; "*", 'OLT DOWN Tickets'!$L:$L, "OLT SERVICE DEGRADATION") &gt; 0</f>
        <v>0</v>
      </c>
      <c r="J257" s="32" t="str">
        <f>IFERROR(__xludf.DUMMYFUNCTION("IFERROR(INDEX(FILTER('OLT DOWN Tickets'!$F:$F, REGEXMATCH('OLT DOWN Tickets'!$AB:$AB, ""(?i)""&amp;TRIM(D257)), 'OLT DOWN Tickets'!$L:$L=""OLT DOWN""), 1), """")"),"")</f>
        <v/>
      </c>
      <c r="K257" s="32" t="str">
        <f>IFERROR(__xludf.DUMMYFUNCTION("IFERROR(INDEX(FILTER('OLT DOWN Tickets'!$F:$F, REGEXMATCH('OLT DOWN Tickets'!$AB:$AB, ""(?i)""&amp;TRIM(D257)), 'OLT DOWN Tickets'!$L:$L=""OLT UPLINK LOW POWER""), 1), """")"),"")</f>
        <v/>
      </c>
      <c r="L257" s="32" t="str">
        <f>IFERROR(__xludf.DUMMYFUNCTION("IFERROR(INDEX(FILTER('OLT DOWN Tickets'!$F:$F, REGEXMATCH('OLT DOWN Tickets'!$AB:$AB, ""(?i)""&amp;TRIM(D257)), 'OLT DOWN Tickets'!$L:$L=""OLT UPLINK DOWN""), 1), """")"),"")</f>
        <v/>
      </c>
      <c r="M257" s="32" t="str">
        <f>IFERROR(__xludf.DUMMYFUNCTION("IFERROR(INDEX(FILTER('OLT DOWN Tickets'!$F:$F, REGEXMATCH('OLT DOWN Tickets'!$AB:$AB, ""(?i)""&amp;TRIM(D257)), 'OLT DOWN Tickets'!$L:$L=""OLT SERVICE DEGRADATION""), 1), """")
"),"")</f>
        <v/>
      </c>
      <c r="N257" s="6" t="b">
        <v>0</v>
      </c>
      <c r="O257" s="6" t="b">
        <v>0</v>
      </c>
      <c r="P257" s="6" t="b">
        <v>0</v>
      </c>
      <c r="Q257" s="6" t="b">
        <v>0</v>
      </c>
      <c r="R257" s="6"/>
      <c r="S257" s="6"/>
      <c r="T257" s="6"/>
      <c r="U257" s="6"/>
    </row>
    <row r="258">
      <c r="A258" s="19"/>
      <c r="B258" s="26" t="s">
        <v>418</v>
      </c>
      <c r="C258" s="26" t="s">
        <v>485</v>
      </c>
      <c r="D258" s="27" t="s">
        <v>486</v>
      </c>
      <c r="E258" s="6" t="b">
        <f t="shared" si="1"/>
        <v>1</v>
      </c>
      <c r="F258" s="6" t="b">
        <f>COUNTIFS('OLT DOWN Tickets'!$AB:$AB, "*" &amp; D258 &amp; "*", 'OLT DOWN Tickets'!$L:$L, "OLT DOWN") &gt; 0</f>
        <v>0</v>
      </c>
      <c r="G258" s="6" t="b">
        <f>COUNTIFS('OLT DOWN Tickets'!$AB:$AB, "*" &amp; D258 &amp; "*", 'OLT DOWN Tickets'!$L:$L, "OLT UPLINK LOW POWER") &gt; 0</f>
        <v>0</v>
      </c>
      <c r="H258" s="6" t="b">
        <f>COUNTIFS('OLT DOWN Tickets'!$AB:$AB, "*" &amp; D258 &amp; "*", 'OLT DOWN Tickets'!$L:$L, "OLT UPLINK DOWN") &gt; 0</f>
        <v>0</v>
      </c>
      <c r="I258" s="6" t="b">
        <f>COUNTIFS('OLT DOWN Tickets'!$AB:$AB, "*" &amp; D258 &amp; "*", 'OLT DOWN Tickets'!$L:$L, "OLT SERVICE DEGRADATION") &gt; 0</f>
        <v>0</v>
      </c>
      <c r="J258" s="32" t="str">
        <f>IFERROR(__xludf.DUMMYFUNCTION("IFERROR(INDEX(FILTER('OLT DOWN Tickets'!$F:$F, REGEXMATCH('OLT DOWN Tickets'!$AB:$AB, ""(?i)""&amp;TRIM(D258)), 'OLT DOWN Tickets'!$L:$L=""OLT DOWN""), 1), """")"),"")</f>
        <v/>
      </c>
      <c r="K258" s="32" t="str">
        <f>IFERROR(__xludf.DUMMYFUNCTION("IFERROR(INDEX(FILTER('OLT DOWN Tickets'!$F:$F, REGEXMATCH('OLT DOWN Tickets'!$AB:$AB, ""(?i)""&amp;TRIM(D258)), 'OLT DOWN Tickets'!$L:$L=""OLT UPLINK LOW POWER""), 1), """")"),"")</f>
        <v/>
      </c>
      <c r="L258" s="32" t="str">
        <f>IFERROR(__xludf.DUMMYFUNCTION("IFERROR(INDEX(FILTER('OLT DOWN Tickets'!$F:$F, REGEXMATCH('OLT DOWN Tickets'!$AB:$AB, ""(?i)""&amp;TRIM(D258)), 'OLT DOWN Tickets'!$L:$L=""OLT UPLINK DOWN""), 1), """")"),"")</f>
        <v/>
      </c>
      <c r="M258" s="32" t="str">
        <f>IFERROR(__xludf.DUMMYFUNCTION("IFERROR(INDEX(FILTER('OLT DOWN Tickets'!$F:$F, REGEXMATCH('OLT DOWN Tickets'!$AB:$AB, ""(?i)""&amp;TRIM(D258)), 'OLT DOWN Tickets'!$L:$L=""OLT SERVICE DEGRADATION""), 1), """")
"),"")</f>
        <v/>
      </c>
      <c r="N258" s="6" t="b">
        <v>0</v>
      </c>
      <c r="O258" s="6" t="b">
        <v>0</v>
      </c>
      <c r="P258" s="6" t="b">
        <v>0</v>
      </c>
      <c r="Q258" s="6" t="b">
        <v>0</v>
      </c>
      <c r="R258" s="6"/>
      <c r="S258" s="6"/>
      <c r="T258" s="6"/>
      <c r="U258" s="6"/>
    </row>
    <row r="259">
      <c r="A259" s="19"/>
      <c r="B259" s="26" t="s">
        <v>418</v>
      </c>
      <c r="C259" s="26" t="s">
        <v>485</v>
      </c>
      <c r="D259" s="27" t="s">
        <v>487</v>
      </c>
      <c r="E259" s="6" t="b">
        <f t="shared" si="1"/>
        <v>1</v>
      </c>
      <c r="F259" s="6" t="b">
        <f>COUNTIFS('OLT DOWN Tickets'!$AB:$AB, "*" &amp; D259 &amp; "*", 'OLT DOWN Tickets'!$L:$L, "OLT DOWN") &gt; 0</f>
        <v>0</v>
      </c>
      <c r="G259" s="6" t="b">
        <f>COUNTIFS('OLT DOWN Tickets'!$AB:$AB, "*" &amp; D259 &amp; "*", 'OLT DOWN Tickets'!$L:$L, "OLT UPLINK LOW POWER") &gt; 0</f>
        <v>0</v>
      </c>
      <c r="H259" s="6" t="b">
        <f>COUNTIFS('OLT DOWN Tickets'!$AB:$AB, "*" &amp; D259 &amp; "*", 'OLT DOWN Tickets'!$L:$L, "OLT UPLINK DOWN") &gt; 0</f>
        <v>0</v>
      </c>
      <c r="I259" s="6" t="b">
        <f>COUNTIFS('OLT DOWN Tickets'!$AB:$AB, "*" &amp; D259 &amp; "*", 'OLT DOWN Tickets'!$L:$L, "OLT SERVICE DEGRADATION") &gt; 0</f>
        <v>0</v>
      </c>
      <c r="J259" s="32" t="str">
        <f>IFERROR(__xludf.DUMMYFUNCTION("IFERROR(INDEX(FILTER('OLT DOWN Tickets'!$F:$F, REGEXMATCH('OLT DOWN Tickets'!$AB:$AB, ""(?i)""&amp;TRIM(D259)), 'OLT DOWN Tickets'!$L:$L=""OLT DOWN""), 1), """")"),"")</f>
        <v/>
      </c>
      <c r="K259" s="32" t="str">
        <f>IFERROR(__xludf.DUMMYFUNCTION("IFERROR(INDEX(FILTER('OLT DOWN Tickets'!$F:$F, REGEXMATCH('OLT DOWN Tickets'!$AB:$AB, ""(?i)""&amp;TRIM(D259)), 'OLT DOWN Tickets'!$L:$L=""OLT UPLINK LOW POWER""), 1), """")"),"")</f>
        <v/>
      </c>
      <c r="L259" s="32" t="str">
        <f>IFERROR(__xludf.DUMMYFUNCTION("IFERROR(INDEX(FILTER('OLT DOWN Tickets'!$F:$F, REGEXMATCH('OLT DOWN Tickets'!$AB:$AB, ""(?i)""&amp;TRIM(D259)), 'OLT DOWN Tickets'!$L:$L=""OLT UPLINK DOWN""), 1), """")"),"")</f>
        <v/>
      </c>
      <c r="M259" s="32" t="str">
        <f>IFERROR(__xludf.DUMMYFUNCTION("IFERROR(INDEX(FILTER('OLT DOWN Tickets'!$F:$F, REGEXMATCH('OLT DOWN Tickets'!$AB:$AB, ""(?i)""&amp;TRIM(D259)), 'OLT DOWN Tickets'!$L:$L=""OLT SERVICE DEGRADATION""), 1), """")
"),"")</f>
        <v/>
      </c>
      <c r="N259" s="6" t="b">
        <v>0</v>
      </c>
      <c r="O259" s="6" t="b">
        <v>0</v>
      </c>
      <c r="P259" s="6" t="b">
        <v>0</v>
      </c>
      <c r="Q259" s="6" t="b">
        <v>0</v>
      </c>
      <c r="R259" s="6"/>
      <c r="S259" s="6"/>
      <c r="T259" s="6"/>
      <c r="U259" s="6"/>
    </row>
    <row r="260">
      <c r="A260" s="19"/>
      <c r="B260" s="26" t="s">
        <v>418</v>
      </c>
      <c r="C260" s="26" t="s">
        <v>488</v>
      </c>
      <c r="D260" s="27" t="s">
        <v>489</v>
      </c>
      <c r="E260" s="6" t="b">
        <f t="shared" si="1"/>
        <v>1</v>
      </c>
      <c r="F260" s="6" t="b">
        <f>COUNTIFS('OLT DOWN Tickets'!$AB:$AB, "*" &amp; D260 &amp; "*", 'OLT DOWN Tickets'!$L:$L, "OLT DOWN") &gt; 0</f>
        <v>0</v>
      </c>
      <c r="G260" s="6" t="b">
        <f>COUNTIFS('OLT DOWN Tickets'!$AB:$AB, "*" &amp; D260 &amp; "*", 'OLT DOWN Tickets'!$L:$L, "OLT UPLINK LOW POWER") &gt; 0</f>
        <v>0</v>
      </c>
      <c r="H260" s="6" t="b">
        <f>COUNTIFS('OLT DOWN Tickets'!$AB:$AB, "*" &amp; D260 &amp; "*", 'OLT DOWN Tickets'!$L:$L, "OLT UPLINK DOWN") &gt; 0</f>
        <v>0</v>
      </c>
      <c r="I260" s="6" t="b">
        <f>COUNTIFS('OLT DOWN Tickets'!$AB:$AB, "*" &amp; D260 &amp; "*", 'OLT DOWN Tickets'!$L:$L, "OLT SERVICE DEGRADATION") &gt; 0</f>
        <v>0</v>
      </c>
      <c r="J260" s="32" t="str">
        <f>IFERROR(__xludf.DUMMYFUNCTION("IFERROR(INDEX(FILTER('OLT DOWN Tickets'!$F:$F, REGEXMATCH('OLT DOWN Tickets'!$AB:$AB, ""(?i)""&amp;TRIM(D260)), 'OLT DOWN Tickets'!$L:$L=""OLT DOWN""), 1), """")"),"")</f>
        <v/>
      </c>
      <c r="K260" s="32" t="str">
        <f>IFERROR(__xludf.DUMMYFUNCTION("IFERROR(INDEX(FILTER('OLT DOWN Tickets'!$F:$F, REGEXMATCH('OLT DOWN Tickets'!$AB:$AB, ""(?i)""&amp;TRIM(D260)), 'OLT DOWN Tickets'!$L:$L=""OLT UPLINK LOW POWER""), 1), """")"),"")</f>
        <v/>
      </c>
      <c r="L260" s="32" t="str">
        <f>IFERROR(__xludf.DUMMYFUNCTION("IFERROR(INDEX(FILTER('OLT DOWN Tickets'!$F:$F, REGEXMATCH('OLT DOWN Tickets'!$AB:$AB, ""(?i)""&amp;TRIM(D260)), 'OLT DOWN Tickets'!$L:$L=""OLT UPLINK DOWN""), 1), """")"),"")</f>
        <v/>
      </c>
      <c r="M260" s="32" t="str">
        <f>IFERROR(__xludf.DUMMYFUNCTION("IFERROR(INDEX(FILTER('OLT DOWN Tickets'!$F:$F, REGEXMATCH('OLT DOWN Tickets'!$AB:$AB, ""(?i)""&amp;TRIM(D260)), 'OLT DOWN Tickets'!$L:$L=""OLT SERVICE DEGRADATION""), 1), """")
"),"")</f>
        <v/>
      </c>
      <c r="N260" s="6" t="b">
        <v>0</v>
      </c>
      <c r="O260" s="6" t="b">
        <v>0</v>
      </c>
      <c r="P260" s="6" t="b">
        <v>0</v>
      </c>
      <c r="Q260" s="6" t="b">
        <v>0</v>
      </c>
      <c r="R260" s="6"/>
      <c r="S260" s="6"/>
      <c r="T260" s="6"/>
      <c r="U260" s="6"/>
    </row>
    <row r="261">
      <c r="A261" s="19"/>
      <c r="B261" s="26" t="s">
        <v>418</v>
      </c>
      <c r="C261" s="26" t="s">
        <v>488</v>
      </c>
      <c r="D261" s="27" t="s">
        <v>490</v>
      </c>
      <c r="E261" s="6" t="b">
        <f t="shared" si="1"/>
        <v>1</v>
      </c>
      <c r="F261" s="6" t="b">
        <f>COUNTIFS('OLT DOWN Tickets'!$AB:$AB, "*" &amp; D261 &amp; "*", 'OLT DOWN Tickets'!$L:$L, "OLT DOWN") &gt; 0</f>
        <v>0</v>
      </c>
      <c r="G261" s="6" t="b">
        <f>COUNTIFS('OLT DOWN Tickets'!$AB:$AB, "*" &amp; D261 &amp; "*", 'OLT DOWN Tickets'!$L:$L, "OLT UPLINK LOW POWER") &gt; 0</f>
        <v>0</v>
      </c>
      <c r="H261" s="6" t="b">
        <f>COUNTIFS('OLT DOWN Tickets'!$AB:$AB, "*" &amp; D261 &amp; "*", 'OLT DOWN Tickets'!$L:$L, "OLT UPLINK DOWN") &gt; 0</f>
        <v>0</v>
      </c>
      <c r="I261" s="6" t="b">
        <f>COUNTIFS('OLT DOWN Tickets'!$AB:$AB, "*" &amp; D261 &amp; "*", 'OLT DOWN Tickets'!$L:$L, "OLT SERVICE DEGRADATION") &gt; 0</f>
        <v>0</v>
      </c>
      <c r="J261" s="32" t="str">
        <f>IFERROR(__xludf.DUMMYFUNCTION("IFERROR(INDEX(FILTER('OLT DOWN Tickets'!$F:$F, REGEXMATCH('OLT DOWN Tickets'!$AB:$AB, ""(?i)""&amp;TRIM(D261)), 'OLT DOWN Tickets'!$L:$L=""OLT DOWN""), 1), """")"),"")</f>
        <v/>
      </c>
      <c r="K261" s="32" t="str">
        <f>IFERROR(__xludf.DUMMYFUNCTION("IFERROR(INDEX(FILTER('OLT DOWN Tickets'!$F:$F, REGEXMATCH('OLT DOWN Tickets'!$AB:$AB, ""(?i)""&amp;TRIM(D261)), 'OLT DOWN Tickets'!$L:$L=""OLT UPLINK LOW POWER""), 1), """")"),"")</f>
        <v/>
      </c>
      <c r="L261" s="32" t="str">
        <f>IFERROR(__xludf.DUMMYFUNCTION("IFERROR(INDEX(FILTER('OLT DOWN Tickets'!$F:$F, REGEXMATCH('OLT DOWN Tickets'!$AB:$AB, ""(?i)""&amp;TRIM(D261)), 'OLT DOWN Tickets'!$L:$L=""OLT UPLINK DOWN""), 1), """")"),"")</f>
        <v/>
      </c>
      <c r="M261" s="32" t="str">
        <f>IFERROR(__xludf.DUMMYFUNCTION("IFERROR(INDEX(FILTER('OLT DOWN Tickets'!$F:$F, REGEXMATCH('OLT DOWN Tickets'!$AB:$AB, ""(?i)""&amp;TRIM(D261)), 'OLT DOWN Tickets'!$L:$L=""OLT SERVICE DEGRADATION""), 1), """")
"),"")</f>
        <v/>
      </c>
      <c r="N261" s="6" t="b">
        <v>0</v>
      </c>
      <c r="O261" s="6" t="b">
        <v>0</v>
      </c>
      <c r="P261" s="6" t="b">
        <v>0</v>
      </c>
      <c r="Q261" s="6" t="b">
        <v>0</v>
      </c>
      <c r="R261" s="6"/>
      <c r="S261" s="6"/>
      <c r="T261" s="6"/>
      <c r="U261" s="6"/>
    </row>
    <row r="262">
      <c r="A262" s="19"/>
      <c r="B262" s="26" t="s">
        <v>418</v>
      </c>
      <c r="C262" s="26" t="s">
        <v>390</v>
      </c>
      <c r="D262" s="27" t="s">
        <v>491</v>
      </c>
      <c r="E262" s="6" t="b">
        <f t="shared" si="1"/>
        <v>1</v>
      </c>
      <c r="F262" s="6" t="b">
        <f>COUNTIFS('OLT DOWN Tickets'!$AB:$AB, "*" &amp; D262 &amp; "*", 'OLT DOWN Tickets'!$L:$L, "OLT DOWN") &gt; 0</f>
        <v>0</v>
      </c>
      <c r="G262" s="6" t="b">
        <f>COUNTIFS('OLT DOWN Tickets'!$AB:$AB, "*" &amp; D262 &amp; "*", 'OLT DOWN Tickets'!$L:$L, "OLT UPLINK LOW POWER") &gt; 0</f>
        <v>0</v>
      </c>
      <c r="H262" s="6" t="b">
        <f>COUNTIFS('OLT DOWN Tickets'!$AB:$AB, "*" &amp; D262 &amp; "*", 'OLT DOWN Tickets'!$L:$L, "OLT UPLINK DOWN") &gt; 0</f>
        <v>0</v>
      </c>
      <c r="I262" s="6" t="b">
        <f>COUNTIFS('OLT DOWN Tickets'!$AB:$AB, "*" &amp; D262 &amp; "*", 'OLT DOWN Tickets'!$L:$L, "OLT SERVICE DEGRADATION") &gt; 0</f>
        <v>0</v>
      </c>
      <c r="J262" s="32" t="str">
        <f>IFERROR(__xludf.DUMMYFUNCTION("IFERROR(INDEX(FILTER('OLT DOWN Tickets'!$F:$F, REGEXMATCH('OLT DOWN Tickets'!$AB:$AB, ""(?i)""&amp;TRIM(D262)), 'OLT DOWN Tickets'!$L:$L=""OLT DOWN""), 1), """")"),"")</f>
        <v/>
      </c>
      <c r="K262" s="32" t="str">
        <f>IFERROR(__xludf.DUMMYFUNCTION("IFERROR(INDEX(FILTER('OLT DOWN Tickets'!$F:$F, REGEXMATCH('OLT DOWN Tickets'!$AB:$AB, ""(?i)""&amp;TRIM(D262)), 'OLT DOWN Tickets'!$L:$L=""OLT UPLINK LOW POWER""), 1), """")"),"")</f>
        <v/>
      </c>
      <c r="L262" s="32" t="str">
        <f>IFERROR(__xludf.DUMMYFUNCTION("IFERROR(INDEX(FILTER('OLT DOWN Tickets'!$F:$F, REGEXMATCH('OLT DOWN Tickets'!$AB:$AB, ""(?i)""&amp;TRIM(D262)), 'OLT DOWN Tickets'!$L:$L=""OLT UPLINK DOWN""), 1), """")"),"")</f>
        <v/>
      </c>
      <c r="M262" s="32" t="str">
        <f>IFERROR(__xludf.DUMMYFUNCTION("IFERROR(INDEX(FILTER('OLT DOWN Tickets'!$F:$F, REGEXMATCH('OLT DOWN Tickets'!$AB:$AB, ""(?i)""&amp;TRIM(D262)), 'OLT DOWN Tickets'!$L:$L=""OLT SERVICE DEGRADATION""), 1), """")
"),"")</f>
        <v/>
      </c>
      <c r="N262" s="6" t="b">
        <v>0</v>
      </c>
      <c r="O262" s="6" t="b">
        <v>0</v>
      </c>
      <c r="P262" s="6" t="b">
        <v>0</v>
      </c>
      <c r="Q262" s="6" t="b">
        <v>0</v>
      </c>
      <c r="R262" s="6"/>
      <c r="S262" s="6"/>
      <c r="T262" s="6"/>
      <c r="U262" s="6"/>
    </row>
    <row r="263">
      <c r="A263" s="19"/>
      <c r="B263" s="26" t="s">
        <v>418</v>
      </c>
      <c r="C263" s="26" t="s">
        <v>390</v>
      </c>
      <c r="D263" s="27" t="s">
        <v>492</v>
      </c>
      <c r="E263" s="6" t="b">
        <f t="shared" si="1"/>
        <v>1</v>
      </c>
      <c r="F263" s="6" t="b">
        <f>COUNTIFS('OLT DOWN Tickets'!$AB:$AB, "*" &amp; D263 &amp; "*", 'OLT DOWN Tickets'!$L:$L, "OLT DOWN") &gt; 0</f>
        <v>0</v>
      </c>
      <c r="G263" s="6" t="b">
        <f>COUNTIFS('OLT DOWN Tickets'!$AB:$AB, "*" &amp; D263 &amp; "*", 'OLT DOWN Tickets'!$L:$L, "OLT UPLINK LOW POWER") &gt; 0</f>
        <v>0</v>
      </c>
      <c r="H263" s="6" t="b">
        <f>COUNTIFS('OLT DOWN Tickets'!$AB:$AB, "*" &amp; D263 &amp; "*", 'OLT DOWN Tickets'!$L:$L, "OLT UPLINK DOWN") &gt; 0</f>
        <v>0</v>
      </c>
      <c r="I263" s="6" t="b">
        <f>COUNTIFS('OLT DOWN Tickets'!$AB:$AB, "*" &amp; D263 &amp; "*", 'OLT DOWN Tickets'!$L:$L, "OLT SERVICE DEGRADATION") &gt; 0</f>
        <v>0</v>
      </c>
      <c r="J263" s="32" t="str">
        <f>IFERROR(__xludf.DUMMYFUNCTION("IFERROR(INDEX(FILTER('OLT DOWN Tickets'!$F:$F, REGEXMATCH('OLT DOWN Tickets'!$AB:$AB, ""(?i)""&amp;TRIM(D263)), 'OLT DOWN Tickets'!$L:$L=""OLT DOWN""), 1), """")"),"")</f>
        <v/>
      </c>
      <c r="K263" s="32" t="str">
        <f>IFERROR(__xludf.DUMMYFUNCTION("IFERROR(INDEX(FILTER('OLT DOWN Tickets'!$F:$F, REGEXMATCH('OLT DOWN Tickets'!$AB:$AB, ""(?i)""&amp;TRIM(D263)), 'OLT DOWN Tickets'!$L:$L=""OLT UPLINK LOW POWER""), 1), """")"),"")</f>
        <v/>
      </c>
      <c r="L263" s="32" t="str">
        <f>IFERROR(__xludf.DUMMYFUNCTION("IFERROR(INDEX(FILTER('OLT DOWN Tickets'!$F:$F, REGEXMATCH('OLT DOWN Tickets'!$AB:$AB, ""(?i)""&amp;TRIM(D263)), 'OLT DOWN Tickets'!$L:$L=""OLT UPLINK DOWN""), 1), """")"),"")</f>
        <v/>
      </c>
      <c r="M263" s="32" t="str">
        <f>IFERROR(__xludf.DUMMYFUNCTION("IFERROR(INDEX(FILTER('OLT DOWN Tickets'!$F:$F, REGEXMATCH('OLT DOWN Tickets'!$AB:$AB, ""(?i)""&amp;TRIM(D263)), 'OLT DOWN Tickets'!$L:$L=""OLT SERVICE DEGRADATION""), 1), """")
"),"")</f>
        <v/>
      </c>
      <c r="N263" s="6" t="b">
        <v>0</v>
      </c>
      <c r="O263" s="6" t="b">
        <v>0</v>
      </c>
      <c r="P263" s="6" t="b">
        <v>0</v>
      </c>
      <c r="Q263" s="6" t="b">
        <v>0</v>
      </c>
      <c r="R263" s="6"/>
      <c r="S263" s="6"/>
      <c r="T263" s="6"/>
      <c r="U263" s="6"/>
    </row>
    <row r="264">
      <c r="A264" s="19"/>
      <c r="B264" s="26" t="s">
        <v>418</v>
      </c>
      <c r="C264" s="26" t="s">
        <v>493</v>
      </c>
      <c r="D264" s="27" t="s">
        <v>494</v>
      </c>
      <c r="E264" s="6" t="b">
        <f t="shared" si="1"/>
        <v>1</v>
      </c>
      <c r="F264" s="6" t="b">
        <f>COUNTIFS('OLT DOWN Tickets'!$AB:$AB, "*" &amp; D264 &amp; "*", 'OLT DOWN Tickets'!$L:$L, "OLT DOWN") &gt; 0</f>
        <v>0</v>
      </c>
      <c r="G264" s="6" t="b">
        <f>COUNTIFS('OLT DOWN Tickets'!$AB:$AB, "*" &amp; D264 &amp; "*", 'OLT DOWN Tickets'!$L:$L, "OLT UPLINK LOW POWER") &gt; 0</f>
        <v>0</v>
      </c>
      <c r="H264" s="6" t="b">
        <f>COUNTIFS('OLT DOWN Tickets'!$AB:$AB, "*" &amp; D264 &amp; "*", 'OLT DOWN Tickets'!$L:$L, "OLT UPLINK DOWN") &gt; 0</f>
        <v>0</v>
      </c>
      <c r="I264" s="6" t="b">
        <f>COUNTIFS('OLT DOWN Tickets'!$AB:$AB, "*" &amp; D264 &amp; "*", 'OLT DOWN Tickets'!$L:$L, "OLT SERVICE DEGRADATION") &gt; 0</f>
        <v>0</v>
      </c>
      <c r="J264" s="32" t="str">
        <f>IFERROR(__xludf.DUMMYFUNCTION("IFERROR(INDEX(FILTER('OLT DOWN Tickets'!$F:$F, REGEXMATCH('OLT DOWN Tickets'!$AB:$AB, ""(?i)""&amp;TRIM(D264)), 'OLT DOWN Tickets'!$L:$L=""OLT DOWN""), 1), """")"),"")</f>
        <v/>
      </c>
      <c r="K264" s="32" t="str">
        <f>IFERROR(__xludf.DUMMYFUNCTION("IFERROR(INDEX(FILTER('OLT DOWN Tickets'!$F:$F, REGEXMATCH('OLT DOWN Tickets'!$AB:$AB, ""(?i)""&amp;TRIM(D264)), 'OLT DOWN Tickets'!$L:$L=""OLT UPLINK LOW POWER""), 1), """")"),"")</f>
        <v/>
      </c>
      <c r="L264" s="32" t="str">
        <f>IFERROR(__xludf.DUMMYFUNCTION("IFERROR(INDEX(FILTER('OLT DOWN Tickets'!$F:$F, REGEXMATCH('OLT DOWN Tickets'!$AB:$AB, ""(?i)""&amp;TRIM(D264)), 'OLT DOWN Tickets'!$L:$L=""OLT UPLINK DOWN""), 1), """")"),"")</f>
        <v/>
      </c>
      <c r="M264" s="32" t="str">
        <f>IFERROR(__xludf.DUMMYFUNCTION("IFERROR(INDEX(FILTER('OLT DOWN Tickets'!$F:$F, REGEXMATCH('OLT DOWN Tickets'!$AB:$AB, ""(?i)""&amp;TRIM(D264)), 'OLT DOWN Tickets'!$L:$L=""OLT SERVICE DEGRADATION""), 1), """")
"),"")</f>
        <v/>
      </c>
      <c r="N264" s="6" t="b">
        <v>0</v>
      </c>
      <c r="O264" s="6" t="b">
        <v>0</v>
      </c>
      <c r="P264" s="6" t="b">
        <v>0</v>
      </c>
      <c r="Q264" s="6" t="b">
        <v>0</v>
      </c>
      <c r="R264" s="6"/>
      <c r="S264" s="6"/>
      <c r="T264" s="6"/>
      <c r="U264" s="6"/>
    </row>
    <row r="265">
      <c r="A265" s="19"/>
      <c r="B265" s="26" t="s">
        <v>418</v>
      </c>
      <c r="C265" s="26" t="s">
        <v>495</v>
      </c>
      <c r="D265" s="27" t="s">
        <v>496</v>
      </c>
      <c r="E265" s="6" t="b">
        <f t="shared" si="1"/>
        <v>1</v>
      </c>
      <c r="F265" s="6" t="b">
        <f>COUNTIFS('OLT DOWN Tickets'!$AB:$AB, "*" &amp; D265 &amp; "*", 'OLT DOWN Tickets'!$L:$L, "OLT DOWN") &gt; 0</f>
        <v>0</v>
      </c>
      <c r="G265" s="6" t="b">
        <f>COUNTIFS('OLT DOWN Tickets'!$AB:$AB, "*" &amp; D265 &amp; "*", 'OLT DOWN Tickets'!$L:$L, "OLT UPLINK LOW POWER") &gt; 0</f>
        <v>0</v>
      </c>
      <c r="H265" s="6" t="b">
        <f>COUNTIFS('OLT DOWN Tickets'!$AB:$AB, "*" &amp; D265 &amp; "*", 'OLT DOWN Tickets'!$L:$L, "OLT UPLINK DOWN") &gt; 0</f>
        <v>0</v>
      </c>
      <c r="I265" s="6" t="b">
        <f>COUNTIFS('OLT DOWN Tickets'!$AB:$AB, "*" &amp; D265 &amp; "*", 'OLT DOWN Tickets'!$L:$L, "OLT SERVICE DEGRADATION") &gt; 0</f>
        <v>0</v>
      </c>
      <c r="J265" s="32" t="str">
        <f>IFERROR(__xludf.DUMMYFUNCTION("IFERROR(INDEX(FILTER('OLT DOWN Tickets'!$F:$F, REGEXMATCH('OLT DOWN Tickets'!$AB:$AB, ""(?i)""&amp;TRIM(D265)), 'OLT DOWN Tickets'!$L:$L=""OLT DOWN""), 1), """")"),"")</f>
        <v/>
      </c>
      <c r="K265" s="32" t="str">
        <f>IFERROR(__xludf.DUMMYFUNCTION("IFERROR(INDEX(FILTER('OLT DOWN Tickets'!$F:$F, REGEXMATCH('OLT DOWN Tickets'!$AB:$AB, ""(?i)""&amp;TRIM(D265)), 'OLT DOWN Tickets'!$L:$L=""OLT UPLINK LOW POWER""), 1), """")"),"")</f>
        <v/>
      </c>
      <c r="L265" s="32" t="str">
        <f>IFERROR(__xludf.DUMMYFUNCTION("IFERROR(INDEX(FILTER('OLT DOWN Tickets'!$F:$F, REGEXMATCH('OLT DOWN Tickets'!$AB:$AB, ""(?i)""&amp;TRIM(D265)), 'OLT DOWN Tickets'!$L:$L=""OLT UPLINK DOWN""), 1), """")"),"")</f>
        <v/>
      </c>
      <c r="M265" s="32" t="str">
        <f>IFERROR(__xludf.DUMMYFUNCTION("IFERROR(INDEX(FILTER('OLT DOWN Tickets'!$F:$F, REGEXMATCH('OLT DOWN Tickets'!$AB:$AB, ""(?i)""&amp;TRIM(D265)), 'OLT DOWN Tickets'!$L:$L=""OLT SERVICE DEGRADATION""), 1), """")
"),"")</f>
        <v/>
      </c>
      <c r="N265" s="6" t="b">
        <v>0</v>
      </c>
      <c r="O265" s="6" t="b">
        <v>0</v>
      </c>
      <c r="P265" s="6" t="b">
        <v>0</v>
      </c>
      <c r="Q265" s="6" t="b">
        <v>0</v>
      </c>
      <c r="R265" s="6"/>
      <c r="S265" s="6"/>
      <c r="T265" s="6"/>
      <c r="U265" s="6"/>
    </row>
    <row r="266">
      <c r="A266" s="19"/>
      <c r="B266" s="26" t="s">
        <v>418</v>
      </c>
      <c r="C266" s="26" t="s">
        <v>495</v>
      </c>
      <c r="D266" s="27" t="s">
        <v>497</v>
      </c>
      <c r="E266" s="6" t="b">
        <f t="shared" si="1"/>
        <v>1</v>
      </c>
      <c r="F266" s="6" t="b">
        <f>COUNTIFS('OLT DOWN Tickets'!$AB:$AB, "*" &amp; D266 &amp; "*", 'OLT DOWN Tickets'!$L:$L, "OLT DOWN") &gt; 0</f>
        <v>0</v>
      </c>
      <c r="G266" s="6" t="b">
        <f>COUNTIFS('OLT DOWN Tickets'!$AB:$AB, "*" &amp; D266 &amp; "*", 'OLT DOWN Tickets'!$L:$L, "OLT UPLINK LOW POWER") &gt; 0</f>
        <v>0</v>
      </c>
      <c r="H266" s="6" t="b">
        <f>COUNTIFS('OLT DOWN Tickets'!$AB:$AB, "*" &amp; D266 &amp; "*", 'OLT DOWN Tickets'!$L:$L, "OLT UPLINK DOWN") &gt; 0</f>
        <v>0</v>
      </c>
      <c r="I266" s="6" t="b">
        <f>COUNTIFS('OLT DOWN Tickets'!$AB:$AB, "*" &amp; D266 &amp; "*", 'OLT DOWN Tickets'!$L:$L, "OLT SERVICE DEGRADATION") &gt; 0</f>
        <v>0</v>
      </c>
      <c r="J266" s="32" t="str">
        <f>IFERROR(__xludf.DUMMYFUNCTION("IFERROR(INDEX(FILTER('OLT DOWN Tickets'!$F:$F, REGEXMATCH('OLT DOWN Tickets'!$AB:$AB, ""(?i)""&amp;TRIM(D266)), 'OLT DOWN Tickets'!$L:$L=""OLT DOWN""), 1), """")"),"")</f>
        <v/>
      </c>
      <c r="K266" s="32" t="str">
        <f>IFERROR(__xludf.DUMMYFUNCTION("IFERROR(INDEX(FILTER('OLT DOWN Tickets'!$F:$F, REGEXMATCH('OLT DOWN Tickets'!$AB:$AB, ""(?i)""&amp;TRIM(D266)), 'OLT DOWN Tickets'!$L:$L=""OLT UPLINK LOW POWER""), 1), """")"),"")</f>
        <v/>
      </c>
      <c r="L266" s="32" t="str">
        <f>IFERROR(__xludf.DUMMYFUNCTION("IFERROR(INDEX(FILTER('OLT DOWN Tickets'!$F:$F, REGEXMATCH('OLT DOWN Tickets'!$AB:$AB, ""(?i)""&amp;TRIM(D266)), 'OLT DOWN Tickets'!$L:$L=""OLT UPLINK DOWN""), 1), """")"),"")</f>
        <v/>
      </c>
      <c r="M266" s="32" t="str">
        <f>IFERROR(__xludf.DUMMYFUNCTION("IFERROR(INDEX(FILTER('OLT DOWN Tickets'!$F:$F, REGEXMATCH('OLT DOWN Tickets'!$AB:$AB, ""(?i)""&amp;TRIM(D266)), 'OLT DOWN Tickets'!$L:$L=""OLT SERVICE DEGRADATION""), 1), """")
"),"")</f>
        <v/>
      </c>
      <c r="N266" s="6" t="b">
        <v>0</v>
      </c>
      <c r="O266" s="6" t="b">
        <v>0</v>
      </c>
      <c r="P266" s="6" t="b">
        <v>0</v>
      </c>
      <c r="Q266" s="6" t="b">
        <v>0</v>
      </c>
      <c r="R266" s="6"/>
      <c r="S266" s="6"/>
      <c r="T266" s="6"/>
      <c r="U266" s="6"/>
    </row>
    <row r="267">
      <c r="A267" s="19"/>
      <c r="B267" s="26" t="s">
        <v>418</v>
      </c>
      <c r="C267" s="26" t="s">
        <v>498</v>
      </c>
      <c r="D267" s="27" t="s">
        <v>499</v>
      </c>
      <c r="E267" s="6" t="b">
        <f t="shared" si="1"/>
        <v>1</v>
      </c>
      <c r="F267" s="6" t="b">
        <f>COUNTIFS('OLT DOWN Tickets'!$AB:$AB, "*" &amp; D267 &amp; "*", 'OLT DOWN Tickets'!$L:$L, "OLT DOWN") &gt; 0</f>
        <v>0</v>
      </c>
      <c r="G267" s="6" t="b">
        <f>COUNTIFS('OLT DOWN Tickets'!$AB:$AB, "*" &amp; D267 &amp; "*", 'OLT DOWN Tickets'!$L:$L, "OLT UPLINK LOW POWER") &gt; 0</f>
        <v>0</v>
      </c>
      <c r="H267" s="6" t="b">
        <f>COUNTIFS('OLT DOWN Tickets'!$AB:$AB, "*" &amp; D267 &amp; "*", 'OLT DOWN Tickets'!$L:$L, "OLT UPLINK DOWN") &gt; 0</f>
        <v>0</v>
      </c>
      <c r="I267" s="6" t="b">
        <f>COUNTIFS('OLT DOWN Tickets'!$AB:$AB, "*" &amp; D267 &amp; "*", 'OLT DOWN Tickets'!$L:$L, "OLT SERVICE DEGRADATION") &gt; 0</f>
        <v>0</v>
      </c>
      <c r="J267" s="32" t="str">
        <f>IFERROR(__xludf.DUMMYFUNCTION("IFERROR(INDEX(FILTER('OLT DOWN Tickets'!$F:$F, REGEXMATCH('OLT DOWN Tickets'!$AB:$AB, ""(?i)""&amp;TRIM(D267)), 'OLT DOWN Tickets'!$L:$L=""OLT DOWN""), 1), """")"),"")</f>
        <v/>
      </c>
      <c r="K267" s="32" t="str">
        <f>IFERROR(__xludf.DUMMYFUNCTION("IFERROR(INDEX(FILTER('OLT DOWN Tickets'!$F:$F, REGEXMATCH('OLT DOWN Tickets'!$AB:$AB, ""(?i)""&amp;TRIM(D267)), 'OLT DOWN Tickets'!$L:$L=""OLT UPLINK LOW POWER""), 1), """")"),"")</f>
        <v/>
      </c>
      <c r="L267" s="32" t="str">
        <f>IFERROR(__xludf.DUMMYFUNCTION("IFERROR(INDEX(FILTER('OLT DOWN Tickets'!$F:$F, REGEXMATCH('OLT DOWN Tickets'!$AB:$AB, ""(?i)""&amp;TRIM(D267)), 'OLT DOWN Tickets'!$L:$L=""OLT UPLINK DOWN""), 1), """")"),"")</f>
        <v/>
      </c>
      <c r="M267" s="32" t="str">
        <f>IFERROR(__xludf.DUMMYFUNCTION("IFERROR(INDEX(FILTER('OLT DOWN Tickets'!$F:$F, REGEXMATCH('OLT DOWN Tickets'!$AB:$AB, ""(?i)""&amp;TRIM(D267)), 'OLT DOWN Tickets'!$L:$L=""OLT SERVICE DEGRADATION""), 1), """")
"),"")</f>
        <v/>
      </c>
      <c r="N267" s="6" t="b">
        <v>0</v>
      </c>
      <c r="O267" s="6" t="b">
        <v>0</v>
      </c>
      <c r="P267" s="6" t="b">
        <v>0</v>
      </c>
      <c r="Q267" s="6" t="b">
        <v>0</v>
      </c>
      <c r="R267" s="6"/>
      <c r="S267" s="6"/>
      <c r="T267" s="6"/>
      <c r="U267" s="6"/>
    </row>
    <row r="268">
      <c r="A268" s="19"/>
      <c r="B268" s="26" t="s">
        <v>418</v>
      </c>
      <c r="C268" s="26" t="s">
        <v>498</v>
      </c>
      <c r="D268" s="27" t="s">
        <v>500</v>
      </c>
      <c r="E268" s="6" t="b">
        <f t="shared" si="1"/>
        <v>1</v>
      </c>
      <c r="F268" s="6" t="b">
        <f>COUNTIFS('OLT DOWN Tickets'!$AB:$AB, "*" &amp; D268 &amp; "*", 'OLT DOWN Tickets'!$L:$L, "OLT DOWN") &gt; 0</f>
        <v>0</v>
      </c>
      <c r="G268" s="6" t="b">
        <f>COUNTIFS('OLT DOWN Tickets'!$AB:$AB, "*" &amp; D268 &amp; "*", 'OLT DOWN Tickets'!$L:$L, "OLT UPLINK LOW POWER") &gt; 0</f>
        <v>0</v>
      </c>
      <c r="H268" s="6" t="b">
        <f>COUNTIFS('OLT DOWN Tickets'!$AB:$AB, "*" &amp; D268 &amp; "*", 'OLT DOWN Tickets'!$L:$L, "OLT UPLINK DOWN") &gt; 0</f>
        <v>0</v>
      </c>
      <c r="I268" s="6" t="b">
        <f>COUNTIFS('OLT DOWN Tickets'!$AB:$AB, "*" &amp; D268 &amp; "*", 'OLT DOWN Tickets'!$L:$L, "OLT SERVICE DEGRADATION") &gt; 0</f>
        <v>0</v>
      </c>
      <c r="J268" s="32" t="str">
        <f>IFERROR(__xludf.DUMMYFUNCTION("IFERROR(INDEX(FILTER('OLT DOWN Tickets'!$F:$F, REGEXMATCH('OLT DOWN Tickets'!$AB:$AB, ""(?i)""&amp;TRIM(D268)), 'OLT DOWN Tickets'!$L:$L=""OLT DOWN""), 1), """")"),"")</f>
        <v/>
      </c>
      <c r="K268" s="32" t="str">
        <f>IFERROR(__xludf.DUMMYFUNCTION("IFERROR(INDEX(FILTER('OLT DOWN Tickets'!$F:$F, REGEXMATCH('OLT DOWN Tickets'!$AB:$AB, ""(?i)""&amp;TRIM(D268)), 'OLT DOWN Tickets'!$L:$L=""OLT UPLINK LOW POWER""), 1), """")"),"")</f>
        <v/>
      </c>
      <c r="L268" s="32" t="str">
        <f>IFERROR(__xludf.DUMMYFUNCTION("IFERROR(INDEX(FILTER('OLT DOWN Tickets'!$F:$F, REGEXMATCH('OLT DOWN Tickets'!$AB:$AB, ""(?i)""&amp;TRIM(D268)), 'OLT DOWN Tickets'!$L:$L=""OLT UPLINK DOWN""), 1), """")"),"")</f>
        <v/>
      </c>
      <c r="M268" s="32" t="str">
        <f>IFERROR(__xludf.DUMMYFUNCTION("IFERROR(INDEX(FILTER('OLT DOWN Tickets'!$F:$F, REGEXMATCH('OLT DOWN Tickets'!$AB:$AB, ""(?i)""&amp;TRIM(D268)), 'OLT DOWN Tickets'!$L:$L=""OLT SERVICE DEGRADATION""), 1), """")
"),"")</f>
        <v/>
      </c>
      <c r="N268" s="6" t="b">
        <v>0</v>
      </c>
      <c r="O268" s="6" t="b">
        <v>0</v>
      </c>
      <c r="P268" s="6" t="b">
        <v>0</v>
      </c>
      <c r="Q268" s="6" t="b">
        <v>0</v>
      </c>
      <c r="R268" s="6"/>
      <c r="S268" s="6"/>
      <c r="T268" s="6"/>
      <c r="U268" s="6"/>
    </row>
    <row r="269">
      <c r="A269" s="19"/>
      <c r="B269" s="26" t="s">
        <v>418</v>
      </c>
      <c r="C269" s="26" t="s">
        <v>501</v>
      </c>
      <c r="D269" s="27" t="s">
        <v>502</v>
      </c>
      <c r="E269" s="6" t="b">
        <f t="shared" si="1"/>
        <v>1</v>
      </c>
      <c r="F269" s="6" t="b">
        <f>COUNTIFS('OLT DOWN Tickets'!$AB:$AB, "*" &amp; D269 &amp; "*", 'OLT DOWN Tickets'!$L:$L, "OLT DOWN") &gt; 0</f>
        <v>0</v>
      </c>
      <c r="G269" s="6" t="b">
        <f>COUNTIFS('OLT DOWN Tickets'!$AB:$AB, "*" &amp; D269 &amp; "*", 'OLT DOWN Tickets'!$L:$L, "OLT UPLINK LOW POWER") &gt; 0</f>
        <v>0</v>
      </c>
      <c r="H269" s="6" t="b">
        <f>COUNTIFS('OLT DOWN Tickets'!$AB:$AB, "*" &amp; D269 &amp; "*", 'OLT DOWN Tickets'!$L:$L, "OLT UPLINK DOWN") &gt; 0</f>
        <v>0</v>
      </c>
      <c r="I269" s="6" t="b">
        <f>COUNTIFS('OLT DOWN Tickets'!$AB:$AB, "*" &amp; D269 &amp; "*", 'OLT DOWN Tickets'!$L:$L, "OLT SERVICE DEGRADATION") &gt; 0</f>
        <v>0</v>
      </c>
      <c r="J269" s="32" t="str">
        <f>IFERROR(__xludf.DUMMYFUNCTION("IFERROR(INDEX(FILTER('OLT DOWN Tickets'!$F:$F, REGEXMATCH('OLT DOWN Tickets'!$AB:$AB, ""(?i)""&amp;TRIM(D269)), 'OLT DOWN Tickets'!$L:$L=""OLT DOWN""), 1), """")"),"")</f>
        <v/>
      </c>
      <c r="K269" s="32" t="str">
        <f>IFERROR(__xludf.DUMMYFUNCTION("IFERROR(INDEX(FILTER('OLT DOWN Tickets'!$F:$F, REGEXMATCH('OLT DOWN Tickets'!$AB:$AB, ""(?i)""&amp;TRIM(D269)), 'OLT DOWN Tickets'!$L:$L=""OLT UPLINK LOW POWER""), 1), """")"),"")</f>
        <v/>
      </c>
      <c r="L269" s="32" t="str">
        <f>IFERROR(__xludf.DUMMYFUNCTION("IFERROR(INDEX(FILTER('OLT DOWN Tickets'!$F:$F, REGEXMATCH('OLT DOWN Tickets'!$AB:$AB, ""(?i)""&amp;TRIM(D269)), 'OLT DOWN Tickets'!$L:$L=""OLT UPLINK DOWN""), 1), """")"),"")</f>
        <v/>
      </c>
      <c r="M269" s="32" t="str">
        <f>IFERROR(__xludf.DUMMYFUNCTION("IFERROR(INDEX(FILTER('OLT DOWN Tickets'!$F:$F, REGEXMATCH('OLT DOWN Tickets'!$AB:$AB, ""(?i)""&amp;TRIM(D269)), 'OLT DOWN Tickets'!$L:$L=""OLT SERVICE DEGRADATION""), 1), """")
"),"")</f>
        <v/>
      </c>
      <c r="N269" s="6" t="b">
        <v>0</v>
      </c>
      <c r="O269" s="6" t="b">
        <v>0</v>
      </c>
      <c r="P269" s="6" t="b">
        <v>0</v>
      </c>
      <c r="Q269" s="6" t="b">
        <v>0</v>
      </c>
      <c r="R269" s="6"/>
      <c r="S269" s="6"/>
      <c r="T269" s="6"/>
      <c r="U269" s="6"/>
    </row>
    <row r="270">
      <c r="A270" s="19"/>
      <c r="B270" s="26" t="s">
        <v>418</v>
      </c>
      <c r="C270" s="26" t="s">
        <v>503</v>
      </c>
      <c r="D270" s="27" t="s">
        <v>504</v>
      </c>
      <c r="E270" s="6" t="b">
        <f t="shared" si="1"/>
        <v>1</v>
      </c>
      <c r="F270" s="6" t="b">
        <f>COUNTIFS('OLT DOWN Tickets'!$AB:$AB, "*" &amp; D270 &amp; "*", 'OLT DOWN Tickets'!$L:$L, "OLT DOWN") &gt; 0</f>
        <v>0</v>
      </c>
      <c r="G270" s="6" t="b">
        <f>COUNTIFS('OLT DOWN Tickets'!$AB:$AB, "*" &amp; D270 &amp; "*", 'OLT DOWN Tickets'!$L:$L, "OLT UPLINK LOW POWER") &gt; 0</f>
        <v>0</v>
      </c>
      <c r="H270" s="6" t="b">
        <f>COUNTIFS('OLT DOWN Tickets'!$AB:$AB, "*" &amp; D270 &amp; "*", 'OLT DOWN Tickets'!$L:$L, "OLT UPLINK DOWN") &gt; 0</f>
        <v>0</v>
      </c>
      <c r="I270" s="6" t="b">
        <f>COUNTIFS('OLT DOWN Tickets'!$AB:$AB, "*" &amp; D270 &amp; "*", 'OLT DOWN Tickets'!$L:$L, "OLT SERVICE DEGRADATION") &gt; 0</f>
        <v>0</v>
      </c>
      <c r="J270" s="32" t="str">
        <f>IFERROR(__xludf.DUMMYFUNCTION("IFERROR(INDEX(FILTER('OLT DOWN Tickets'!$F:$F, REGEXMATCH('OLT DOWN Tickets'!$AB:$AB, ""(?i)""&amp;TRIM(D270)), 'OLT DOWN Tickets'!$L:$L=""OLT DOWN""), 1), """")"),"")</f>
        <v/>
      </c>
      <c r="K270" s="32" t="str">
        <f>IFERROR(__xludf.DUMMYFUNCTION("IFERROR(INDEX(FILTER('OLT DOWN Tickets'!$F:$F, REGEXMATCH('OLT DOWN Tickets'!$AB:$AB, ""(?i)""&amp;TRIM(D270)), 'OLT DOWN Tickets'!$L:$L=""OLT UPLINK LOW POWER""), 1), """")"),"")</f>
        <v/>
      </c>
      <c r="L270" s="32" t="str">
        <f>IFERROR(__xludf.DUMMYFUNCTION("IFERROR(INDEX(FILTER('OLT DOWN Tickets'!$F:$F, REGEXMATCH('OLT DOWN Tickets'!$AB:$AB, ""(?i)""&amp;TRIM(D270)), 'OLT DOWN Tickets'!$L:$L=""OLT UPLINK DOWN""), 1), """")"),"")</f>
        <v/>
      </c>
      <c r="M270" s="32" t="str">
        <f>IFERROR(__xludf.DUMMYFUNCTION("IFERROR(INDEX(FILTER('OLT DOWN Tickets'!$F:$F, REGEXMATCH('OLT DOWN Tickets'!$AB:$AB, ""(?i)""&amp;TRIM(D270)), 'OLT DOWN Tickets'!$L:$L=""OLT SERVICE DEGRADATION""), 1), """")
"),"")</f>
        <v/>
      </c>
      <c r="N270" s="6" t="b">
        <v>0</v>
      </c>
      <c r="O270" s="6" t="b">
        <v>0</v>
      </c>
      <c r="P270" s="6" t="b">
        <v>0</v>
      </c>
      <c r="Q270" s="6" t="b">
        <v>0</v>
      </c>
      <c r="R270" s="6"/>
      <c r="S270" s="6"/>
      <c r="T270" s="6"/>
      <c r="U270" s="6"/>
    </row>
    <row r="271">
      <c r="A271" s="19"/>
      <c r="B271" s="26" t="s">
        <v>418</v>
      </c>
      <c r="C271" s="26" t="s">
        <v>505</v>
      </c>
      <c r="D271" s="27" t="s">
        <v>506</v>
      </c>
      <c r="E271" s="6" t="b">
        <f t="shared" si="1"/>
        <v>1</v>
      </c>
      <c r="F271" s="6" t="b">
        <f>COUNTIFS('OLT DOWN Tickets'!$AB:$AB, "*" &amp; D271 &amp; "*", 'OLT DOWN Tickets'!$L:$L, "OLT DOWN") &gt; 0</f>
        <v>0</v>
      </c>
      <c r="G271" s="6" t="b">
        <f>COUNTIFS('OLT DOWN Tickets'!$AB:$AB, "*" &amp; D271 &amp; "*", 'OLT DOWN Tickets'!$L:$L, "OLT UPLINK LOW POWER") &gt; 0</f>
        <v>0</v>
      </c>
      <c r="H271" s="6" t="b">
        <f>COUNTIFS('OLT DOWN Tickets'!$AB:$AB, "*" &amp; D271 &amp; "*", 'OLT DOWN Tickets'!$L:$L, "OLT UPLINK DOWN") &gt; 0</f>
        <v>0</v>
      </c>
      <c r="I271" s="6" t="b">
        <f>COUNTIFS('OLT DOWN Tickets'!$AB:$AB, "*" &amp; D271 &amp; "*", 'OLT DOWN Tickets'!$L:$L, "OLT SERVICE DEGRADATION") &gt; 0</f>
        <v>0</v>
      </c>
      <c r="J271" s="32" t="str">
        <f>IFERROR(__xludf.DUMMYFUNCTION("IFERROR(INDEX(FILTER('OLT DOWN Tickets'!$F:$F, REGEXMATCH('OLT DOWN Tickets'!$AB:$AB, ""(?i)""&amp;TRIM(D271)), 'OLT DOWN Tickets'!$L:$L=""OLT DOWN""), 1), """")"),"")</f>
        <v/>
      </c>
      <c r="K271" s="32" t="str">
        <f>IFERROR(__xludf.DUMMYFUNCTION("IFERROR(INDEX(FILTER('OLT DOWN Tickets'!$F:$F, REGEXMATCH('OLT DOWN Tickets'!$AB:$AB, ""(?i)""&amp;TRIM(D271)), 'OLT DOWN Tickets'!$L:$L=""OLT UPLINK LOW POWER""), 1), """")"),"")</f>
        <v/>
      </c>
      <c r="L271" s="32" t="str">
        <f>IFERROR(__xludf.DUMMYFUNCTION("IFERROR(INDEX(FILTER('OLT DOWN Tickets'!$F:$F, REGEXMATCH('OLT DOWN Tickets'!$AB:$AB, ""(?i)""&amp;TRIM(D271)), 'OLT DOWN Tickets'!$L:$L=""OLT UPLINK DOWN""), 1), """")"),"")</f>
        <v/>
      </c>
      <c r="M271" s="32" t="str">
        <f>IFERROR(__xludf.DUMMYFUNCTION("IFERROR(INDEX(FILTER('OLT DOWN Tickets'!$F:$F, REGEXMATCH('OLT DOWN Tickets'!$AB:$AB, ""(?i)""&amp;TRIM(D271)), 'OLT DOWN Tickets'!$L:$L=""OLT SERVICE DEGRADATION""), 1), """")
"),"")</f>
        <v/>
      </c>
      <c r="N271" s="6" t="b">
        <v>0</v>
      </c>
      <c r="O271" s="6" t="b">
        <v>0</v>
      </c>
      <c r="P271" s="6" t="b">
        <v>0</v>
      </c>
      <c r="Q271" s="6" t="b">
        <v>0</v>
      </c>
      <c r="R271" s="6"/>
      <c r="S271" s="6"/>
      <c r="T271" s="6"/>
      <c r="U271" s="6"/>
    </row>
    <row r="272">
      <c r="A272" s="19"/>
      <c r="B272" s="26" t="s">
        <v>418</v>
      </c>
      <c r="C272" s="26" t="s">
        <v>507</v>
      </c>
      <c r="D272" s="27" t="s">
        <v>508</v>
      </c>
      <c r="E272" s="6" t="b">
        <f t="shared" si="1"/>
        <v>1</v>
      </c>
      <c r="F272" s="6" t="b">
        <f>COUNTIFS('OLT DOWN Tickets'!$AB:$AB, "*" &amp; D272 &amp; "*", 'OLT DOWN Tickets'!$L:$L, "OLT DOWN") &gt; 0</f>
        <v>0</v>
      </c>
      <c r="G272" s="6" t="b">
        <f>COUNTIFS('OLT DOWN Tickets'!$AB:$AB, "*" &amp; D272 &amp; "*", 'OLT DOWN Tickets'!$L:$L, "OLT UPLINK LOW POWER") &gt; 0</f>
        <v>0</v>
      </c>
      <c r="H272" s="6" t="b">
        <f>COUNTIFS('OLT DOWN Tickets'!$AB:$AB, "*" &amp; D272 &amp; "*", 'OLT DOWN Tickets'!$L:$L, "OLT UPLINK DOWN") &gt; 0</f>
        <v>0</v>
      </c>
      <c r="I272" s="6" t="b">
        <f>COUNTIFS('OLT DOWN Tickets'!$AB:$AB, "*" &amp; D272 &amp; "*", 'OLT DOWN Tickets'!$L:$L, "OLT SERVICE DEGRADATION") &gt; 0</f>
        <v>0</v>
      </c>
      <c r="J272" s="32" t="str">
        <f>IFERROR(__xludf.DUMMYFUNCTION("IFERROR(INDEX(FILTER('OLT DOWN Tickets'!$F:$F, REGEXMATCH('OLT DOWN Tickets'!$AB:$AB, ""(?i)""&amp;TRIM(D272)), 'OLT DOWN Tickets'!$L:$L=""OLT DOWN""), 1), """")"),"")</f>
        <v/>
      </c>
      <c r="K272" s="32" t="str">
        <f>IFERROR(__xludf.DUMMYFUNCTION("IFERROR(INDEX(FILTER('OLT DOWN Tickets'!$F:$F, REGEXMATCH('OLT DOWN Tickets'!$AB:$AB, ""(?i)""&amp;TRIM(D272)), 'OLT DOWN Tickets'!$L:$L=""OLT UPLINK LOW POWER""), 1), """")"),"")</f>
        <v/>
      </c>
      <c r="L272" s="32" t="str">
        <f>IFERROR(__xludf.DUMMYFUNCTION("IFERROR(INDEX(FILTER('OLT DOWN Tickets'!$F:$F, REGEXMATCH('OLT DOWN Tickets'!$AB:$AB, ""(?i)""&amp;TRIM(D272)), 'OLT DOWN Tickets'!$L:$L=""OLT UPLINK DOWN""), 1), """")"),"")</f>
        <v/>
      </c>
      <c r="M272" s="32" t="str">
        <f>IFERROR(__xludf.DUMMYFUNCTION("IFERROR(INDEX(FILTER('OLT DOWN Tickets'!$F:$F, REGEXMATCH('OLT DOWN Tickets'!$AB:$AB, ""(?i)""&amp;TRIM(D272)), 'OLT DOWN Tickets'!$L:$L=""OLT SERVICE DEGRADATION""), 1), """")
"),"")</f>
        <v/>
      </c>
      <c r="N272" s="6" t="b">
        <v>0</v>
      </c>
      <c r="O272" s="6" t="b">
        <v>0</v>
      </c>
      <c r="P272" s="6" t="b">
        <v>0</v>
      </c>
      <c r="Q272" s="6" t="b">
        <v>0</v>
      </c>
      <c r="R272" s="6"/>
      <c r="S272" s="6"/>
      <c r="T272" s="6"/>
      <c r="U272" s="6"/>
    </row>
    <row r="273">
      <c r="A273" s="19"/>
      <c r="B273" s="26" t="s">
        <v>418</v>
      </c>
      <c r="C273" s="26" t="s">
        <v>509</v>
      </c>
      <c r="D273" s="27" t="s">
        <v>510</v>
      </c>
      <c r="E273" s="6" t="b">
        <f t="shared" si="1"/>
        <v>1</v>
      </c>
      <c r="F273" s="6" t="b">
        <f>COUNTIFS('OLT DOWN Tickets'!$AB:$AB, "*" &amp; D273 &amp; "*", 'OLT DOWN Tickets'!$L:$L, "OLT DOWN") &gt; 0</f>
        <v>0</v>
      </c>
      <c r="G273" s="6" t="b">
        <f>COUNTIFS('OLT DOWN Tickets'!$AB:$AB, "*" &amp; D273 &amp; "*", 'OLT DOWN Tickets'!$L:$L, "OLT UPLINK LOW POWER") &gt; 0</f>
        <v>0</v>
      </c>
      <c r="H273" s="6" t="b">
        <f>COUNTIFS('OLT DOWN Tickets'!$AB:$AB, "*" &amp; D273 &amp; "*", 'OLT DOWN Tickets'!$L:$L, "OLT UPLINK DOWN") &gt; 0</f>
        <v>0</v>
      </c>
      <c r="I273" s="6" t="b">
        <f>COUNTIFS('OLT DOWN Tickets'!$AB:$AB, "*" &amp; D273 &amp; "*", 'OLT DOWN Tickets'!$L:$L, "OLT SERVICE DEGRADATION") &gt; 0</f>
        <v>0</v>
      </c>
      <c r="J273" s="32" t="str">
        <f>IFERROR(__xludf.DUMMYFUNCTION("IFERROR(INDEX(FILTER('OLT DOWN Tickets'!$F:$F, REGEXMATCH('OLT DOWN Tickets'!$AB:$AB, ""(?i)""&amp;TRIM(D273)), 'OLT DOWN Tickets'!$L:$L=""OLT DOWN""), 1), """")"),"")</f>
        <v/>
      </c>
      <c r="K273" s="32" t="str">
        <f>IFERROR(__xludf.DUMMYFUNCTION("IFERROR(INDEX(FILTER('OLT DOWN Tickets'!$F:$F, REGEXMATCH('OLT DOWN Tickets'!$AB:$AB, ""(?i)""&amp;TRIM(D273)), 'OLT DOWN Tickets'!$L:$L=""OLT UPLINK LOW POWER""), 1), """")"),"")</f>
        <v/>
      </c>
      <c r="L273" s="32" t="str">
        <f>IFERROR(__xludf.DUMMYFUNCTION("IFERROR(INDEX(FILTER('OLT DOWN Tickets'!$F:$F, REGEXMATCH('OLT DOWN Tickets'!$AB:$AB, ""(?i)""&amp;TRIM(D273)), 'OLT DOWN Tickets'!$L:$L=""OLT UPLINK DOWN""), 1), """")"),"")</f>
        <v/>
      </c>
      <c r="M273" s="32" t="str">
        <f>IFERROR(__xludf.DUMMYFUNCTION("IFERROR(INDEX(FILTER('OLT DOWN Tickets'!$F:$F, REGEXMATCH('OLT DOWN Tickets'!$AB:$AB, ""(?i)""&amp;TRIM(D273)), 'OLT DOWN Tickets'!$L:$L=""OLT SERVICE DEGRADATION""), 1), """")
"),"")</f>
        <v/>
      </c>
      <c r="N273" s="6" t="b">
        <v>0</v>
      </c>
      <c r="O273" s="6" t="b">
        <v>0</v>
      </c>
      <c r="P273" s="6" t="b">
        <v>0</v>
      </c>
      <c r="Q273" s="6" t="b">
        <v>0</v>
      </c>
      <c r="R273" s="6"/>
      <c r="S273" s="6"/>
      <c r="T273" s="6"/>
      <c r="U273" s="6"/>
    </row>
    <row r="274">
      <c r="A274" s="19"/>
      <c r="B274" s="26" t="s">
        <v>418</v>
      </c>
      <c r="C274" s="26" t="s">
        <v>509</v>
      </c>
      <c r="D274" s="27" t="s">
        <v>511</v>
      </c>
      <c r="E274" s="6" t="b">
        <f t="shared" si="1"/>
        <v>1</v>
      </c>
      <c r="F274" s="6" t="b">
        <f>COUNTIFS('OLT DOWN Tickets'!$AB:$AB, "*" &amp; D274 &amp; "*", 'OLT DOWN Tickets'!$L:$L, "OLT DOWN") &gt; 0</f>
        <v>0</v>
      </c>
      <c r="G274" s="6" t="b">
        <f>COUNTIFS('OLT DOWN Tickets'!$AB:$AB, "*" &amp; D274 &amp; "*", 'OLT DOWN Tickets'!$L:$L, "OLT UPLINK LOW POWER") &gt; 0</f>
        <v>0</v>
      </c>
      <c r="H274" s="6" t="b">
        <f>COUNTIFS('OLT DOWN Tickets'!$AB:$AB, "*" &amp; D274 &amp; "*", 'OLT DOWN Tickets'!$L:$L, "OLT UPLINK DOWN") &gt; 0</f>
        <v>0</v>
      </c>
      <c r="I274" s="6" t="b">
        <f>COUNTIFS('OLT DOWN Tickets'!$AB:$AB, "*" &amp; D274 &amp; "*", 'OLT DOWN Tickets'!$L:$L, "OLT SERVICE DEGRADATION") &gt; 0</f>
        <v>0</v>
      </c>
      <c r="J274" s="32" t="str">
        <f>IFERROR(__xludf.DUMMYFUNCTION("IFERROR(INDEX(FILTER('OLT DOWN Tickets'!$F:$F, REGEXMATCH('OLT DOWN Tickets'!$AB:$AB, ""(?i)""&amp;TRIM(D274)), 'OLT DOWN Tickets'!$L:$L=""OLT DOWN""), 1), """")"),"")</f>
        <v/>
      </c>
      <c r="K274" s="32" t="str">
        <f>IFERROR(__xludf.DUMMYFUNCTION("IFERROR(INDEX(FILTER('OLT DOWN Tickets'!$F:$F, REGEXMATCH('OLT DOWN Tickets'!$AB:$AB, ""(?i)""&amp;TRIM(D274)), 'OLT DOWN Tickets'!$L:$L=""OLT UPLINK LOW POWER""), 1), """")"),"")</f>
        <v/>
      </c>
      <c r="L274" s="32" t="str">
        <f>IFERROR(__xludf.DUMMYFUNCTION("IFERROR(INDEX(FILTER('OLT DOWN Tickets'!$F:$F, REGEXMATCH('OLT DOWN Tickets'!$AB:$AB, ""(?i)""&amp;TRIM(D274)), 'OLT DOWN Tickets'!$L:$L=""OLT UPLINK DOWN""), 1), """")"),"")</f>
        <v/>
      </c>
      <c r="M274" s="32" t="str">
        <f>IFERROR(__xludf.DUMMYFUNCTION("IFERROR(INDEX(FILTER('OLT DOWN Tickets'!$F:$F, REGEXMATCH('OLT DOWN Tickets'!$AB:$AB, ""(?i)""&amp;TRIM(D274)), 'OLT DOWN Tickets'!$L:$L=""OLT SERVICE DEGRADATION""), 1), """")
"),"")</f>
        <v/>
      </c>
      <c r="N274" s="6" t="b">
        <v>0</v>
      </c>
      <c r="O274" s="6" t="b">
        <v>0</v>
      </c>
      <c r="P274" s="6" t="b">
        <v>0</v>
      </c>
      <c r="Q274" s="6" t="b">
        <v>0</v>
      </c>
      <c r="R274" s="6"/>
      <c r="S274" s="6"/>
      <c r="T274" s="6"/>
      <c r="U274" s="6"/>
    </row>
    <row r="275">
      <c r="A275" s="19"/>
      <c r="B275" s="26" t="s">
        <v>418</v>
      </c>
      <c r="C275" s="26" t="s">
        <v>512</v>
      </c>
      <c r="D275" s="27" t="s">
        <v>513</v>
      </c>
      <c r="E275" s="6" t="b">
        <f t="shared" si="1"/>
        <v>1</v>
      </c>
      <c r="F275" s="6" t="b">
        <f>COUNTIFS('OLT DOWN Tickets'!$AB:$AB, "*" &amp; D275 &amp; "*", 'OLT DOWN Tickets'!$L:$L, "OLT DOWN") &gt; 0</f>
        <v>0</v>
      </c>
      <c r="G275" s="6" t="b">
        <f>COUNTIFS('OLT DOWN Tickets'!$AB:$AB, "*" &amp; D275 &amp; "*", 'OLT DOWN Tickets'!$L:$L, "OLT UPLINK LOW POWER") &gt; 0</f>
        <v>0</v>
      </c>
      <c r="H275" s="6" t="b">
        <f>COUNTIFS('OLT DOWN Tickets'!$AB:$AB, "*" &amp; D275 &amp; "*", 'OLT DOWN Tickets'!$L:$L, "OLT UPLINK DOWN") &gt; 0</f>
        <v>0</v>
      </c>
      <c r="I275" s="6" t="b">
        <f>COUNTIFS('OLT DOWN Tickets'!$AB:$AB, "*" &amp; D275 &amp; "*", 'OLT DOWN Tickets'!$L:$L, "OLT SERVICE DEGRADATION") &gt; 0</f>
        <v>0</v>
      </c>
      <c r="J275" s="32" t="str">
        <f>IFERROR(__xludf.DUMMYFUNCTION("IFERROR(INDEX(FILTER('OLT DOWN Tickets'!$F:$F, REGEXMATCH('OLT DOWN Tickets'!$AB:$AB, ""(?i)""&amp;TRIM(D275)), 'OLT DOWN Tickets'!$L:$L=""OLT DOWN""), 1), """")"),"")</f>
        <v/>
      </c>
      <c r="K275" s="32" t="str">
        <f>IFERROR(__xludf.DUMMYFUNCTION("IFERROR(INDEX(FILTER('OLT DOWN Tickets'!$F:$F, REGEXMATCH('OLT DOWN Tickets'!$AB:$AB, ""(?i)""&amp;TRIM(D275)), 'OLT DOWN Tickets'!$L:$L=""OLT UPLINK LOW POWER""), 1), """")"),"")</f>
        <v/>
      </c>
      <c r="L275" s="32" t="str">
        <f>IFERROR(__xludf.DUMMYFUNCTION("IFERROR(INDEX(FILTER('OLT DOWN Tickets'!$F:$F, REGEXMATCH('OLT DOWN Tickets'!$AB:$AB, ""(?i)""&amp;TRIM(D275)), 'OLT DOWN Tickets'!$L:$L=""OLT UPLINK DOWN""), 1), """")"),"")</f>
        <v/>
      </c>
      <c r="M275" s="32" t="str">
        <f>IFERROR(__xludf.DUMMYFUNCTION("IFERROR(INDEX(FILTER('OLT DOWN Tickets'!$F:$F, REGEXMATCH('OLT DOWN Tickets'!$AB:$AB, ""(?i)""&amp;TRIM(D275)), 'OLT DOWN Tickets'!$L:$L=""OLT SERVICE DEGRADATION""), 1), """")
"),"")</f>
        <v/>
      </c>
      <c r="N275" s="6" t="b">
        <v>0</v>
      </c>
      <c r="O275" s="6" t="b">
        <v>0</v>
      </c>
      <c r="P275" s="6" t="b">
        <v>0</v>
      </c>
      <c r="Q275" s="6" t="b">
        <v>0</v>
      </c>
      <c r="R275" s="6"/>
      <c r="S275" s="6"/>
      <c r="T275" s="6"/>
      <c r="U275" s="6"/>
    </row>
    <row r="276">
      <c r="A276" s="19"/>
      <c r="B276" s="26" t="s">
        <v>418</v>
      </c>
      <c r="C276" s="26" t="s">
        <v>401</v>
      </c>
      <c r="D276" s="27" t="s">
        <v>514</v>
      </c>
      <c r="E276" s="6" t="b">
        <f t="shared" si="1"/>
        <v>1</v>
      </c>
      <c r="F276" s="6" t="b">
        <f>COUNTIFS('OLT DOWN Tickets'!$AB:$AB, "*" &amp; D276 &amp; "*", 'OLT DOWN Tickets'!$L:$L, "OLT DOWN") &gt; 0</f>
        <v>0</v>
      </c>
      <c r="G276" s="6" t="b">
        <f>COUNTIFS('OLT DOWN Tickets'!$AB:$AB, "*" &amp; D276 &amp; "*", 'OLT DOWN Tickets'!$L:$L, "OLT UPLINK LOW POWER") &gt; 0</f>
        <v>0</v>
      </c>
      <c r="H276" s="6" t="b">
        <f>COUNTIFS('OLT DOWN Tickets'!$AB:$AB, "*" &amp; D276 &amp; "*", 'OLT DOWN Tickets'!$L:$L, "OLT UPLINK DOWN") &gt; 0</f>
        <v>0</v>
      </c>
      <c r="I276" s="6" t="b">
        <f>COUNTIFS('OLT DOWN Tickets'!$AB:$AB, "*" &amp; D276 &amp; "*", 'OLT DOWN Tickets'!$L:$L, "OLT SERVICE DEGRADATION") &gt; 0</f>
        <v>0</v>
      </c>
      <c r="J276" s="32" t="str">
        <f>IFERROR(__xludf.DUMMYFUNCTION("IFERROR(INDEX(FILTER('OLT DOWN Tickets'!$F:$F, REGEXMATCH('OLT DOWN Tickets'!$AB:$AB, ""(?i)""&amp;TRIM(D276)), 'OLT DOWN Tickets'!$L:$L=""OLT DOWN""), 1), """")"),"")</f>
        <v/>
      </c>
      <c r="K276" s="32" t="str">
        <f>IFERROR(__xludf.DUMMYFUNCTION("IFERROR(INDEX(FILTER('OLT DOWN Tickets'!$F:$F, REGEXMATCH('OLT DOWN Tickets'!$AB:$AB, ""(?i)""&amp;TRIM(D276)), 'OLT DOWN Tickets'!$L:$L=""OLT UPLINK LOW POWER""), 1), """")"),"")</f>
        <v/>
      </c>
      <c r="L276" s="32" t="str">
        <f>IFERROR(__xludf.DUMMYFUNCTION("IFERROR(INDEX(FILTER('OLT DOWN Tickets'!$F:$F, REGEXMATCH('OLT DOWN Tickets'!$AB:$AB, ""(?i)""&amp;TRIM(D276)), 'OLT DOWN Tickets'!$L:$L=""OLT UPLINK DOWN""), 1), """")"),"")</f>
        <v/>
      </c>
      <c r="M276" s="32" t="str">
        <f>IFERROR(__xludf.DUMMYFUNCTION("IFERROR(INDEX(FILTER('OLT DOWN Tickets'!$F:$F, REGEXMATCH('OLT DOWN Tickets'!$AB:$AB, ""(?i)""&amp;TRIM(D276)), 'OLT DOWN Tickets'!$L:$L=""OLT SERVICE DEGRADATION""), 1), """")
"),"")</f>
        <v/>
      </c>
      <c r="N276" s="6" t="b">
        <v>0</v>
      </c>
      <c r="O276" s="6" t="b">
        <v>0</v>
      </c>
      <c r="P276" s="6" t="b">
        <v>0</v>
      </c>
      <c r="Q276" s="6" t="b">
        <v>0</v>
      </c>
      <c r="R276" s="6"/>
      <c r="S276" s="6"/>
      <c r="T276" s="6"/>
      <c r="U276" s="6"/>
    </row>
    <row r="277">
      <c r="A277" s="19"/>
      <c r="B277" s="26" t="s">
        <v>418</v>
      </c>
      <c r="C277" s="26" t="s">
        <v>515</v>
      </c>
      <c r="D277" s="27" t="s">
        <v>516</v>
      </c>
      <c r="E277" s="6" t="b">
        <f t="shared" si="1"/>
        <v>1</v>
      </c>
      <c r="F277" s="6" t="b">
        <f>COUNTIFS('OLT DOWN Tickets'!$AB:$AB, "*" &amp; D277 &amp; "*", 'OLT DOWN Tickets'!$L:$L, "OLT DOWN") &gt; 0</f>
        <v>0</v>
      </c>
      <c r="G277" s="6" t="b">
        <f>COUNTIFS('OLT DOWN Tickets'!$AB:$AB, "*" &amp; D277 &amp; "*", 'OLT DOWN Tickets'!$L:$L, "OLT UPLINK LOW POWER") &gt; 0</f>
        <v>0</v>
      </c>
      <c r="H277" s="6" t="b">
        <f>COUNTIFS('OLT DOWN Tickets'!$AB:$AB, "*" &amp; D277 &amp; "*", 'OLT DOWN Tickets'!$L:$L, "OLT UPLINK DOWN") &gt; 0</f>
        <v>0</v>
      </c>
      <c r="I277" s="6" t="b">
        <f>COUNTIFS('OLT DOWN Tickets'!$AB:$AB, "*" &amp; D277 &amp; "*", 'OLT DOWN Tickets'!$L:$L, "OLT SERVICE DEGRADATION") &gt; 0</f>
        <v>0</v>
      </c>
      <c r="J277" s="32" t="str">
        <f>IFERROR(__xludf.DUMMYFUNCTION("IFERROR(INDEX(FILTER('OLT DOWN Tickets'!$F:$F, REGEXMATCH('OLT DOWN Tickets'!$AB:$AB, ""(?i)""&amp;TRIM(D277)), 'OLT DOWN Tickets'!$L:$L=""OLT DOWN""), 1), """")"),"")</f>
        <v/>
      </c>
      <c r="K277" s="32" t="str">
        <f>IFERROR(__xludf.DUMMYFUNCTION("IFERROR(INDEX(FILTER('OLT DOWN Tickets'!$F:$F, REGEXMATCH('OLT DOWN Tickets'!$AB:$AB, ""(?i)""&amp;TRIM(D277)), 'OLT DOWN Tickets'!$L:$L=""OLT UPLINK LOW POWER""), 1), """")"),"")</f>
        <v/>
      </c>
      <c r="L277" s="32" t="str">
        <f>IFERROR(__xludf.DUMMYFUNCTION("IFERROR(INDEX(FILTER('OLT DOWN Tickets'!$F:$F, REGEXMATCH('OLT DOWN Tickets'!$AB:$AB, ""(?i)""&amp;TRIM(D277)), 'OLT DOWN Tickets'!$L:$L=""OLT UPLINK DOWN""), 1), """")"),"")</f>
        <v/>
      </c>
      <c r="M277" s="32" t="str">
        <f>IFERROR(__xludf.DUMMYFUNCTION("IFERROR(INDEX(FILTER('OLT DOWN Tickets'!$F:$F, REGEXMATCH('OLT DOWN Tickets'!$AB:$AB, ""(?i)""&amp;TRIM(D277)), 'OLT DOWN Tickets'!$L:$L=""OLT SERVICE DEGRADATION""), 1), """")
"),"")</f>
        <v/>
      </c>
      <c r="N277" s="6" t="b">
        <v>0</v>
      </c>
      <c r="O277" s="6" t="b">
        <v>0</v>
      </c>
      <c r="P277" s="6" t="b">
        <v>0</v>
      </c>
      <c r="Q277" s="6" t="b">
        <v>0</v>
      </c>
      <c r="R277" s="6"/>
      <c r="S277" s="6"/>
      <c r="T277" s="6"/>
      <c r="U277" s="6"/>
    </row>
    <row r="278">
      <c r="A278" s="19"/>
      <c r="B278" s="26" t="s">
        <v>418</v>
      </c>
      <c r="C278" s="26" t="s">
        <v>296</v>
      </c>
      <c r="D278" s="27" t="s">
        <v>517</v>
      </c>
      <c r="E278" s="6" t="b">
        <f t="shared" si="1"/>
        <v>1</v>
      </c>
      <c r="F278" s="6" t="b">
        <f>COUNTIFS('OLT DOWN Tickets'!$AB:$AB, "*" &amp; D278 &amp; "*", 'OLT DOWN Tickets'!$L:$L, "OLT DOWN") &gt; 0</f>
        <v>0</v>
      </c>
      <c r="G278" s="6" t="b">
        <f>COUNTIFS('OLT DOWN Tickets'!$AB:$AB, "*" &amp; D278 &amp; "*", 'OLT DOWN Tickets'!$L:$L, "OLT UPLINK LOW POWER") &gt; 0</f>
        <v>0</v>
      </c>
      <c r="H278" s="6" t="b">
        <f>COUNTIFS('OLT DOWN Tickets'!$AB:$AB, "*" &amp; D278 &amp; "*", 'OLT DOWN Tickets'!$L:$L, "OLT UPLINK DOWN") &gt; 0</f>
        <v>0</v>
      </c>
      <c r="I278" s="6" t="b">
        <f>COUNTIFS('OLT DOWN Tickets'!$AB:$AB, "*" &amp; D278 &amp; "*", 'OLT DOWN Tickets'!$L:$L, "OLT SERVICE DEGRADATION") &gt; 0</f>
        <v>0</v>
      </c>
      <c r="J278" s="32" t="str">
        <f>IFERROR(__xludf.DUMMYFUNCTION("IFERROR(INDEX(FILTER('OLT DOWN Tickets'!$F:$F, REGEXMATCH('OLT DOWN Tickets'!$AB:$AB, ""(?i)""&amp;TRIM(D278)), 'OLT DOWN Tickets'!$L:$L=""OLT DOWN""), 1), """")"),"")</f>
        <v/>
      </c>
      <c r="K278" s="32" t="str">
        <f>IFERROR(__xludf.DUMMYFUNCTION("IFERROR(INDEX(FILTER('OLT DOWN Tickets'!$F:$F, REGEXMATCH('OLT DOWN Tickets'!$AB:$AB, ""(?i)""&amp;TRIM(D278)), 'OLT DOWN Tickets'!$L:$L=""OLT UPLINK LOW POWER""), 1), """")"),"")</f>
        <v/>
      </c>
      <c r="L278" s="32" t="str">
        <f>IFERROR(__xludf.DUMMYFUNCTION("IFERROR(INDEX(FILTER('OLT DOWN Tickets'!$F:$F, REGEXMATCH('OLT DOWN Tickets'!$AB:$AB, ""(?i)""&amp;TRIM(D278)), 'OLT DOWN Tickets'!$L:$L=""OLT UPLINK DOWN""), 1), """")"),"")</f>
        <v/>
      </c>
      <c r="M278" s="32" t="str">
        <f>IFERROR(__xludf.DUMMYFUNCTION("IFERROR(INDEX(FILTER('OLT DOWN Tickets'!$F:$F, REGEXMATCH('OLT DOWN Tickets'!$AB:$AB, ""(?i)""&amp;TRIM(D278)), 'OLT DOWN Tickets'!$L:$L=""OLT SERVICE DEGRADATION""), 1), """")
"),"")</f>
        <v/>
      </c>
      <c r="N278" s="6" t="b">
        <v>0</v>
      </c>
      <c r="O278" s="6" t="b">
        <v>0</v>
      </c>
      <c r="P278" s="6" t="b">
        <v>0</v>
      </c>
      <c r="Q278" s="6" t="b">
        <v>0</v>
      </c>
      <c r="R278" s="6"/>
      <c r="S278" s="6"/>
      <c r="T278" s="6"/>
      <c r="U278" s="6"/>
    </row>
    <row r="279">
      <c r="A279" s="19"/>
      <c r="B279" s="26" t="s">
        <v>418</v>
      </c>
      <c r="C279" s="26" t="s">
        <v>518</v>
      </c>
      <c r="D279" s="27" t="s">
        <v>519</v>
      </c>
      <c r="E279" s="6" t="b">
        <f t="shared" si="1"/>
        <v>1</v>
      </c>
      <c r="F279" s="6" t="b">
        <f>COUNTIFS('OLT DOWN Tickets'!$AB:$AB, "*" &amp; D279 &amp; "*", 'OLT DOWN Tickets'!$L:$L, "OLT DOWN") &gt; 0</f>
        <v>0</v>
      </c>
      <c r="G279" s="6" t="b">
        <f>COUNTIFS('OLT DOWN Tickets'!$AB:$AB, "*" &amp; D279 &amp; "*", 'OLT DOWN Tickets'!$L:$L, "OLT UPLINK LOW POWER") &gt; 0</f>
        <v>0</v>
      </c>
      <c r="H279" s="6" t="b">
        <f>COUNTIFS('OLT DOWN Tickets'!$AB:$AB, "*" &amp; D279 &amp; "*", 'OLT DOWN Tickets'!$L:$L, "OLT UPLINK DOWN") &gt; 0</f>
        <v>0</v>
      </c>
      <c r="I279" s="6" t="b">
        <f>COUNTIFS('OLT DOWN Tickets'!$AB:$AB, "*" &amp; D279 &amp; "*", 'OLT DOWN Tickets'!$L:$L, "OLT SERVICE DEGRADATION") &gt; 0</f>
        <v>0</v>
      </c>
      <c r="J279" s="32" t="str">
        <f>IFERROR(__xludf.DUMMYFUNCTION("IFERROR(INDEX(FILTER('OLT DOWN Tickets'!$F:$F, REGEXMATCH('OLT DOWN Tickets'!$AB:$AB, ""(?i)""&amp;TRIM(D279)), 'OLT DOWN Tickets'!$L:$L=""OLT DOWN""), 1), """")"),"")</f>
        <v/>
      </c>
      <c r="K279" s="32" t="str">
        <f>IFERROR(__xludf.DUMMYFUNCTION("IFERROR(INDEX(FILTER('OLT DOWN Tickets'!$F:$F, REGEXMATCH('OLT DOWN Tickets'!$AB:$AB, ""(?i)""&amp;TRIM(D279)), 'OLT DOWN Tickets'!$L:$L=""OLT UPLINK LOW POWER""), 1), """")"),"")</f>
        <v/>
      </c>
      <c r="L279" s="32" t="str">
        <f>IFERROR(__xludf.DUMMYFUNCTION("IFERROR(INDEX(FILTER('OLT DOWN Tickets'!$F:$F, REGEXMATCH('OLT DOWN Tickets'!$AB:$AB, ""(?i)""&amp;TRIM(D279)), 'OLT DOWN Tickets'!$L:$L=""OLT UPLINK DOWN""), 1), """")"),"")</f>
        <v/>
      </c>
      <c r="M279" s="32" t="str">
        <f>IFERROR(__xludf.DUMMYFUNCTION("IFERROR(INDEX(FILTER('OLT DOWN Tickets'!$F:$F, REGEXMATCH('OLT DOWN Tickets'!$AB:$AB, ""(?i)""&amp;TRIM(D279)), 'OLT DOWN Tickets'!$L:$L=""OLT SERVICE DEGRADATION""), 1), """")
"),"")</f>
        <v/>
      </c>
      <c r="N279" s="6" t="b">
        <v>0</v>
      </c>
      <c r="O279" s="6" t="b">
        <v>0</v>
      </c>
      <c r="P279" s="6" t="b">
        <v>0</v>
      </c>
      <c r="Q279" s="6" t="b">
        <v>0</v>
      </c>
      <c r="R279" s="6"/>
      <c r="S279" s="6"/>
      <c r="T279" s="6"/>
      <c r="U279" s="6"/>
    </row>
    <row r="280">
      <c r="A280" s="19"/>
      <c r="B280" s="26" t="s">
        <v>418</v>
      </c>
      <c r="C280" s="26" t="s">
        <v>518</v>
      </c>
      <c r="D280" s="27" t="s">
        <v>520</v>
      </c>
      <c r="E280" s="6" t="b">
        <f t="shared" si="1"/>
        <v>1</v>
      </c>
      <c r="F280" s="6" t="b">
        <f>COUNTIFS('OLT DOWN Tickets'!$AB:$AB, "*" &amp; D280 &amp; "*", 'OLT DOWN Tickets'!$L:$L, "OLT DOWN") &gt; 0</f>
        <v>0</v>
      </c>
      <c r="G280" s="6" t="b">
        <f>COUNTIFS('OLT DOWN Tickets'!$AB:$AB, "*" &amp; D280 &amp; "*", 'OLT DOWN Tickets'!$L:$L, "OLT UPLINK LOW POWER") &gt; 0</f>
        <v>0</v>
      </c>
      <c r="H280" s="6" t="b">
        <f>COUNTIFS('OLT DOWN Tickets'!$AB:$AB, "*" &amp; D280 &amp; "*", 'OLT DOWN Tickets'!$L:$L, "OLT UPLINK DOWN") &gt; 0</f>
        <v>0</v>
      </c>
      <c r="I280" s="6" t="b">
        <f>COUNTIFS('OLT DOWN Tickets'!$AB:$AB, "*" &amp; D280 &amp; "*", 'OLT DOWN Tickets'!$L:$L, "OLT SERVICE DEGRADATION") &gt; 0</f>
        <v>0</v>
      </c>
      <c r="J280" s="32" t="str">
        <f>IFERROR(__xludf.DUMMYFUNCTION("IFERROR(INDEX(FILTER('OLT DOWN Tickets'!$F:$F, REGEXMATCH('OLT DOWN Tickets'!$AB:$AB, ""(?i)""&amp;TRIM(D280)), 'OLT DOWN Tickets'!$L:$L=""OLT DOWN""), 1), """")"),"")</f>
        <v/>
      </c>
      <c r="K280" s="32" t="str">
        <f>IFERROR(__xludf.DUMMYFUNCTION("IFERROR(INDEX(FILTER('OLT DOWN Tickets'!$F:$F, REGEXMATCH('OLT DOWN Tickets'!$AB:$AB, ""(?i)""&amp;TRIM(D280)), 'OLT DOWN Tickets'!$L:$L=""OLT UPLINK LOW POWER""), 1), """")"),"")</f>
        <v/>
      </c>
      <c r="L280" s="32" t="str">
        <f>IFERROR(__xludf.DUMMYFUNCTION("IFERROR(INDEX(FILTER('OLT DOWN Tickets'!$F:$F, REGEXMATCH('OLT DOWN Tickets'!$AB:$AB, ""(?i)""&amp;TRIM(D280)), 'OLT DOWN Tickets'!$L:$L=""OLT UPLINK DOWN""), 1), """")"),"")</f>
        <v/>
      </c>
      <c r="M280" s="32" t="str">
        <f>IFERROR(__xludf.DUMMYFUNCTION("IFERROR(INDEX(FILTER('OLT DOWN Tickets'!$F:$F, REGEXMATCH('OLT DOWN Tickets'!$AB:$AB, ""(?i)""&amp;TRIM(D280)), 'OLT DOWN Tickets'!$L:$L=""OLT SERVICE DEGRADATION""), 1), """")
"),"")</f>
        <v/>
      </c>
      <c r="N280" s="6" t="b">
        <v>0</v>
      </c>
      <c r="O280" s="6" t="b">
        <v>0</v>
      </c>
      <c r="P280" s="6" t="b">
        <v>0</v>
      </c>
      <c r="Q280" s="6" t="b">
        <v>0</v>
      </c>
      <c r="R280" s="6"/>
      <c r="S280" s="6"/>
      <c r="T280" s="6"/>
      <c r="U280" s="6"/>
    </row>
    <row r="281">
      <c r="A281" s="19"/>
      <c r="B281" s="26" t="s">
        <v>418</v>
      </c>
      <c r="C281" s="26" t="s">
        <v>518</v>
      </c>
      <c r="D281" s="27" t="s">
        <v>521</v>
      </c>
      <c r="E281" s="6" t="b">
        <f t="shared" si="1"/>
        <v>1</v>
      </c>
      <c r="F281" s="6" t="b">
        <f>COUNTIFS('OLT DOWN Tickets'!$AB:$AB, "*" &amp; D281 &amp; "*", 'OLT DOWN Tickets'!$L:$L, "OLT DOWN") &gt; 0</f>
        <v>0</v>
      </c>
      <c r="G281" s="6" t="b">
        <f>COUNTIFS('OLT DOWN Tickets'!$AB:$AB, "*" &amp; D281 &amp; "*", 'OLT DOWN Tickets'!$L:$L, "OLT UPLINK LOW POWER") &gt; 0</f>
        <v>0</v>
      </c>
      <c r="H281" s="6" t="b">
        <f>COUNTIFS('OLT DOWN Tickets'!$AB:$AB, "*" &amp; D281 &amp; "*", 'OLT DOWN Tickets'!$L:$L, "OLT UPLINK DOWN") &gt; 0</f>
        <v>0</v>
      </c>
      <c r="I281" s="6" t="b">
        <f>COUNTIFS('OLT DOWN Tickets'!$AB:$AB, "*" &amp; D281 &amp; "*", 'OLT DOWN Tickets'!$L:$L, "OLT SERVICE DEGRADATION") &gt; 0</f>
        <v>0</v>
      </c>
      <c r="J281" s="32" t="str">
        <f>IFERROR(__xludf.DUMMYFUNCTION("IFERROR(INDEX(FILTER('OLT DOWN Tickets'!$F:$F, REGEXMATCH('OLT DOWN Tickets'!$AB:$AB, ""(?i)""&amp;TRIM(D281)), 'OLT DOWN Tickets'!$L:$L=""OLT DOWN""), 1), """")"),"")</f>
        <v/>
      </c>
      <c r="K281" s="32" t="str">
        <f>IFERROR(__xludf.DUMMYFUNCTION("IFERROR(INDEX(FILTER('OLT DOWN Tickets'!$F:$F, REGEXMATCH('OLT DOWN Tickets'!$AB:$AB, ""(?i)""&amp;TRIM(D281)), 'OLT DOWN Tickets'!$L:$L=""OLT UPLINK LOW POWER""), 1), """")"),"")</f>
        <v/>
      </c>
      <c r="L281" s="32" t="str">
        <f>IFERROR(__xludf.DUMMYFUNCTION("IFERROR(INDEX(FILTER('OLT DOWN Tickets'!$F:$F, REGEXMATCH('OLT DOWN Tickets'!$AB:$AB, ""(?i)""&amp;TRIM(D281)), 'OLT DOWN Tickets'!$L:$L=""OLT UPLINK DOWN""), 1), """")"),"")</f>
        <v/>
      </c>
      <c r="M281" s="32" t="str">
        <f>IFERROR(__xludf.DUMMYFUNCTION("IFERROR(INDEX(FILTER('OLT DOWN Tickets'!$F:$F, REGEXMATCH('OLT DOWN Tickets'!$AB:$AB, ""(?i)""&amp;TRIM(D281)), 'OLT DOWN Tickets'!$L:$L=""OLT SERVICE DEGRADATION""), 1), """")
"),"")</f>
        <v/>
      </c>
      <c r="N281" s="6" t="b">
        <v>0</v>
      </c>
      <c r="O281" s="6" t="b">
        <v>0</v>
      </c>
      <c r="P281" s="6" t="b">
        <v>0</v>
      </c>
      <c r="Q281" s="6" t="b">
        <v>0</v>
      </c>
      <c r="R281" s="6"/>
      <c r="S281" s="6"/>
      <c r="T281" s="6"/>
      <c r="U281" s="6"/>
    </row>
    <row r="282">
      <c r="A282" s="19"/>
      <c r="B282" s="26" t="s">
        <v>418</v>
      </c>
      <c r="C282" s="26" t="s">
        <v>518</v>
      </c>
      <c r="D282" s="27" t="s">
        <v>522</v>
      </c>
      <c r="E282" s="6" t="b">
        <f t="shared" si="1"/>
        <v>1</v>
      </c>
      <c r="F282" s="6" t="b">
        <f>COUNTIFS('OLT DOWN Tickets'!$AB:$AB, "*" &amp; D282 &amp; "*", 'OLT DOWN Tickets'!$L:$L, "OLT DOWN") &gt; 0</f>
        <v>0</v>
      </c>
      <c r="G282" s="6" t="b">
        <f>COUNTIFS('OLT DOWN Tickets'!$AB:$AB, "*" &amp; D282 &amp; "*", 'OLT DOWN Tickets'!$L:$L, "OLT UPLINK LOW POWER") &gt; 0</f>
        <v>0</v>
      </c>
      <c r="H282" s="6" t="b">
        <f>COUNTIFS('OLT DOWN Tickets'!$AB:$AB, "*" &amp; D282 &amp; "*", 'OLT DOWN Tickets'!$L:$L, "OLT UPLINK DOWN") &gt; 0</f>
        <v>0</v>
      </c>
      <c r="I282" s="6" t="b">
        <f>COUNTIFS('OLT DOWN Tickets'!$AB:$AB, "*" &amp; D282 &amp; "*", 'OLT DOWN Tickets'!$L:$L, "OLT SERVICE DEGRADATION") &gt; 0</f>
        <v>0</v>
      </c>
      <c r="J282" s="32" t="str">
        <f>IFERROR(__xludf.DUMMYFUNCTION("IFERROR(INDEX(FILTER('OLT DOWN Tickets'!$F:$F, REGEXMATCH('OLT DOWN Tickets'!$AB:$AB, ""(?i)""&amp;TRIM(D282)), 'OLT DOWN Tickets'!$L:$L=""OLT DOWN""), 1), """")"),"")</f>
        <v/>
      </c>
      <c r="K282" s="32" t="str">
        <f>IFERROR(__xludf.DUMMYFUNCTION("IFERROR(INDEX(FILTER('OLT DOWN Tickets'!$F:$F, REGEXMATCH('OLT DOWN Tickets'!$AB:$AB, ""(?i)""&amp;TRIM(D282)), 'OLT DOWN Tickets'!$L:$L=""OLT UPLINK LOW POWER""), 1), """")"),"")</f>
        <v/>
      </c>
      <c r="L282" s="32" t="str">
        <f>IFERROR(__xludf.DUMMYFUNCTION("IFERROR(INDEX(FILTER('OLT DOWN Tickets'!$F:$F, REGEXMATCH('OLT DOWN Tickets'!$AB:$AB, ""(?i)""&amp;TRIM(D282)), 'OLT DOWN Tickets'!$L:$L=""OLT UPLINK DOWN""), 1), """")"),"")</f>
        <v/>
      </c>
      <c r="M282" s="32" t="str">
        <f>IFERROR(__xludf.DUMMYFUNCTION("IFERROR(INDEX(FILTER('OLT DOWN Tickets'!$F:$F, REGEXMATCH('OLT DOWN Tickets'!$AB:$AB, ""(?i)""&amp;TRIM(D282)), 'OLT DOWN Tickets'!$L:$L=""OLT SERVICE DEGRADATION""), 1), """")
"),"")</f>
        <v/>
      </c>
      <c r="N282" s="6" t="b">
        <v>0</v>
      </c>
      <c r="O282" s="6" t="b">
        <v>0</v>
      </c>
      <c r="P282" s="6" t="b">
        <v>0</v>
      </c>
      <c r="Q282" s="6" t="b">
        <v>0</v>
      </c>
      <c r="R282" s="6"/>
      <c r="S282" s="6"/>
      <c r="T282" s="6"/>
      <c r="U282" s="6"/>
    </row>
    <row r="283">
      <c r="A283" s="19"/>
      <c r="B283" s="26" t="s">
        <v>418</v>
      </c>
      <c r="C283" s="26" t="s">
        <v>518</v>
      </c>
      <c r="D283" s="27" t="s">
        <v>523</v>
      </c>
      <c r="E283" s="6" t="b">
        <f t="shared" si="1"/>
        <v>1</v>
      </c>
      <c r="F283" s="6" t="b">
        <f>COUNTIFS('OLT DOWN Tickets'!$AB:$AB, "*" &amp; D283 &amp; "*", 'OLT DOWN Tickets'!$L:$L, "OLT DOWN") &gt; 0</f>
        <v>0</v>
      </c>
      <c r="G283" s="6" t="b">
        <f>COUNTIFS('OLT DOWN Tickets'!$AB:$AB, "*" &amp; D283 &amp; "*", 'OLT DOWN Tickets'!$L:$L, "OLT UPLINK LOW POWER") &gt; 0</f>
        <v>0</v>
      </c>
      <c r="H283" s="6" t="b">
        <f>COUNTIFS('OLT DOWN Tickets'!$AB:$AB, "*" &amp; D283 &amp; "*", 'OLT DOWN Tickets'!$L:$L, "OLT UPLINK DOWN") &gt; 0</f>
        <v>0</v>
      </c>
      <c r="I283" s="6" t="b">
        <f>COUNTIFS('OLT DOWN Tickets'!$AB:$AB, "*" &amp; D283 &amp; "*", 'OLT DOWN Tickets'!$L:$L, "OLT SERVICE DEGRADATION") &gt; 0</f>
        <v>0</v>
      </c>
      <c r="J283" s="32" t="str">
        <f>IFERROR(__xludf.DUMMYFUNCTION("IFERROR(INDEX(FILTER('OLT DOWN Tickets'!$F:$F, REGEXMATCH('OLT DOWN Tickets'!$AB:$AB, ""(?i)""&amp;TRIM(D283)), 'OLT DOWN Tickets'!$L:$L=""OLT DOWN""), 1), """")"),"")</f>
        <v/>
      </c>
      <c r="K283" s="32" t="str">
        <f>IFERROR(__xludf.DUMMYFUNCTION("IFERROR(INDEX(FILTER('OLT DOWN Tickets'!$F:$F, REGEXMATCH('OLT DOWN Tickets'!$AB:$AB, ""(?i)""&amp;TRIM(D283)), 'OLT DOWN Tickets'!$L:$L=""OLT UPLINK LOW POWER""), 1), """")"),"")</f>
        <v/>
      </c>
      <c r="L283" s="32" t="str">
        <f>IFERROR(__xludf.DUMMYFUNCTION("IFERROR(INDEX(FILTER('OLT DOWN Tickets'!$F:$F, REGEXMATCH('OLT DOWN Tickets'!$AB:$AB, ""(?i)""&amp;TRIM(D283)), 'OLT DOWN Tickets'!$L:$L=""OLT UPLINK DOWN""), 1), """")"),"")</f>
        <v/>
      </c>
      <c r="M283" s="32" t="str">
        <f>IFERROR(__xludf.DUMMYFUNCTION("IFERROR(INDEX(FILTER('OLT DOWN Tickets'!$F:$F, REGEXMATCH('OLT DOWN Tickets'!$AB:$AB, ""(?i)""&amp;TRIM(D283)), 'OLT DOWN Tickets'!$L:$L=""OLT SERVICE DEGRADATION""), 1), """")
"),"")</f>
        <v/>
      </c>
      <c r="N283" s="6" t="b">
        <v>0</v>
      </c>
      <c r="O283" s="6" t="b">
        <v>0</v>
      </c>
      <c r="P283" s="6" t="b">
        <v>0</v>
      </c>
      <c r="Q283" s="6" t="b">
        <v>0</v>
      </c>
      <c r="R283" s="6"/>
      <c r="S283" s="6"/>
      <c r="T283" s="6"/>
      <c r="U283" s="6"/>
    </row>
    <row r="284">
      <c r="A284" s="19"/>
      <c r="B284" s="26" t="s">
        <v>418</v>
      </c>
      <c r="C284" s="26" t="s">
        <v>524</v>
      </c>
      <c r="D284" s="27" t="s">
        <v>525</v>
      </c>
      <c r="E284" s="6" t="b">
        <f t="shared" si="1"/>
        <v>1</v>
      </c>
      <c r="F284" s="6" t="b">
        <f>COUNTIFS('OLT DOWN Tickets'!$AB:$AB, "*" &amp; D284 &amp; "*", 'OLT DOWN Tickets'!$L:$L, "OLT DOWN") &gt; 0</f>
        <v>0</v>
      </c>
      <c r="G284" s="6" t="b">
        <f>COUNTIFS('OLT DOWN Tickets'!$AB:$AB, "*" &amp; D284 &amp; "*", 'OLT DOWN Tickets'!$L:$L, "OLT UPLINK LOW POWER") &gt; 0</f>
        <v>0</v>
      </c>
      <c r="H284" s="6" t="b">
        <f>COUNTIFS('OLT DOWN Tickets'!$AB:$AB, "*" &amp; D284 &amp; "*", 'OLT DOWN Tickets'!$L:$L, "OLT UPLINK DOWN") &gt; 0</f>
        <v>0</v>
      </c>
      <c r="I284" s="6" t="b">
        <f>COUNTIFS('OLT DOWN Tickets'!$AB:$AB, "*" &amp; D284 &amp; "*", 'OLT DOWN Tickets'!$L:$L, "OLT SERVICE DEGRADATION") &gt; 0</f>
        <v>0</v>
      </c>
      <c r="J284" s="32" t="str">
        <f>IFERROR(__xludf.DUMMYFUNCTION("IFERROR(INDEX(FILTER('OLT DOWN Tickets'!$F:$F, REGEXMATCH('OLT DOWN Tickets'!$AB:$AB, ""(?i)""&amp;TRIM(D284)), 'OLT DOWN Tickets'!$L:$L=""OLT DOWN""), 1), """")"),"")</f>
        <v/>
      </c>
      <c r="K284" s="32" t="str">
        <f>IFERROR(__xludf.DUMMYFUNCTION("IFERROR(INDEX(FILTER('OLT DOWN Tickets'!$F:$F, REGEXMATCH('OLT DOWN Tickets'!$AB:$AB, ""(?i)""&amp;TRIM(D284)), 'OLT DOWN Tickets'!$L:$L=""OLT UPLINK LOW POWER""), 1), """")"),"")</f>
        <v/>
      </c>
      <c r="L284" s="32" t="str">
        <f>IFERROR(__xludf.DUMMYFUNCTION("IFERROR(INDEX(FILTER('OLT DOWN Tickets'!$F:$F, REGEXMATCH('OLT DOWN Tickets'!$AB:$AB, ""(?i)""&amp;TRIM(D284)), 'OLT DOWN Tickets'!$L:$L=""OLT UPLINK DOWN""), 1), """")"),"")</f>
        <v/>
      </c>
      <c r="M284" s="32" t="str">
        <f>IFERROR(__xludf.DUMMYFUNCTION("IFERROR(INDEX(FILTER('OLT DOWN Tickets'!$F:$F, REGEXMATCH('OLT DOWN Tickets'!$AB:$AB, ""(?i)""&amp;TRIM(D284)), 'OLT DOWN Tickets'!$L:$L=""OLT SERVICE DEGRADATION""), 1), """")
"),"")</f>
        <v/>
      </c>
      <c r="N284" s="6" t="b">
        <v>0</v>
      </c>
      <c r="O284" s="6" t="b">
        <v>0</v>
      </c>
      <c r="P284" s="6" t="b">
        <v>0</v>
      </c>
      <c r="Q284" s="6" t="b">
        <v>0</v>
      </c>
      <c r="R284" s="6"/>
      <c r="S284" s="6"/>
      <c r="T284" s="6"/>
      <c r="U284" s="6"/>
    </row>
    <row r="285">
      <c r="A285" s="19"/>
      <c r="B285" s="26" t="s">
        <v>526</v>
      </c>
      <c r="C285" s="26" t="s">
        <v>527</v>
      </c>
      <c r="D285" s="27" t="s">
        <v>528</v>
      </c>
      <c r="E285" s="6" t="b">
        <f t="shared" si="1"/>
        <v>1</v>
      </c>
      <c r="F285" s="6" t="b">
        <f>COUNTIFS('OLT DOWN Tickets'!$AB:$AB, "*" &amp; D285 &amp; "*", 'OLT DOWN Tickets'!$L:$L, "OLT DOWN") &gt; 0</f>
        <v>0</v>
      </c>
      <c r="G285" s="6" t="b">
        <f>COUNTIFS('OLT DOWN Tickets'!$AB:$AB, "*" &amp; D285 &amp; "*", 'OLT DOWN Tickets'!$L:$L, "OLT UPLINK LOW POWER") &gt; 0</f>
        <v>0</v>
      </c>
      <c r="H285" s="6" t="b">
        <f>COUNTIFS('OLT DOWN Tickets'!$AB:$AB, "*" &amp; D285 &amp; "*", 'OLT DOWN Tickets'!$L:$L, "OLT UPLINK DOWN") &gt; 0</f>
        <v>0</v>
      </c>
      <c r="I285" s="6" t="b">
        <f>COUNTIFS('OLT DOWN Tickets'!$AB:$AB, "*" &amp; D285 &amp; "*", 'OLT DOWN Tickets'!$L:$L, "OLT SERVICE DEGRADATION") &gt; 0</f>
        <v>0</v>
      </c>
      <c r="J285" s="32" t="str">
        <f>IFERROR(__xludf.DUMMYFUNCTION("IFERROR(INDEX(FILTER('OLT DOWN Tickets'!$F:$F, REGEXMATCH('OLT DOWN Tickets'!$AB:$AB, ""(?i)""&amp;TRIM(D285)), 'OLT DOWN Tickets'!$L:$L=""OLT DOWN""), 1), """")"),"")</f>
        <v/>
      </c>
      <c r="K285" s="32" t="str">
        <f>IFERROR(__xludf.DUMMYFUNCTION("IFERROR(INDEX(FILTER('OLT DOWN Tickets'!$F:$F, REGEXMATCH('OLT DOWN Tickets'!$AB:$AB, ""(?i)""&amp;TRIM(D285)), 'OLT DOWN Tickets'!$L:$L=""OLT UPLINK LOW POWER""), 1), """")"),"")</f>
        <v/>
      </c>
      <c r="L285" s="32" t="str">
        <f>IFERROR(__xludf.DUMMYFUNCTION("IFERROR(INDEX(FILTER('OLT DOWN Tickets'!$F:$F, REGEXMATCH('OLT DOWN Tickets'!$AB:$AB, ""(?i)""&amp;TRIM(D285)), 'OLT DOWN Tickets'!$L:$L=""OLT UPLINK DOWN""), 1), """")"),"")</f>
        <v/>
      </c>
      <c r="M285" s="32" t="str">
        <f>IFERROR(__xludf.DUMMYFUNCTION("IFERROR(INDEX(FILTER('OLT DOWN Tickets'!$F:$F, REGEXMATCH('OLT DOWN Tickets'!$AB:$AB, ""(?i)""&amp;TRIM(D285)), 'OLT DOWN Tickets'!$L:$L=""OLT SERVICE DEGRADATION""), 1), """")
"),"")</f>
        <v/>
      </c>
      <c r="N285" s="6" t="b">
        <v>0</v>
      </c>
      <c r="O285" s="6" t="b">
        <v>0</v>
      </c>
      <c r="P285" s="6" t="b">
        <v>0</v>
      </c>
      <c r="Q285" s="6" t="b">
        <v>0</v>
      </c>
      <c r="R285" s="6"/>
      <c r="S285" s="6"/>
      <c r="T285" s="6"/>
      <c r="U285" s="6"/>
    </row>
    <row r="286">
      <c r="A286" s="19"/>
      <c r="B286" s="26" t="s">
        <v>526</v>
      </c>
      <c r="C286" s="26" t="s">
        <v>527</v>
      </c>
      <c r="D286" s="27" t="s">
        <v>529</v>
      </c>
      <c r="E286" s="6" t="b">
        <f t="shared" si="1"/>
        <v>1</v>
      </c>
      <c r="F286" s="6" t="b">
        <f>COUNTIFS('OLT DOWN Tickets'!$AB:$AB, "*" &amp; D286 &amp; "*", 'OLT DOWN Tickets'!$L:$L, "OLT DOWN") &gt; 0</f>
        <v>0</v>
      </c>
      <c r="G286" s="6" t="b">
        <f>COUNTIFS('OLT DOWN Tickets'!$AB:$AB, "*" &amp; D286 &amp; "*", 'OLT DOWN Tickets'!$L:$L, "OLT UPLINK LOW POWER") &gt; 0</f>
        <v>0</v>
      </c>
      <c r="H286" s="6" t="b">
        <f>COUNTIFS('OLT DOWN Tickets'!$AB:$AB, "*" &amp; D286 &amp; "*", 'OLT DOWN Tickets'!$L:$L, "OLT UPLINK DOWN") &gt; 0</f>
        <v>0</v>
      </c>
      <c r="I286" s="6" t="b">
        <f>COUNTIFS('OLT DOWN Tickets'!$AB:$AB, "*" &amp; D286 &amp; "*", 'OLT DOWN Tickets'!$L:$L, "OLT SERVICE DEGRADATION") &gt; 0</f>
        <v>0</v>
      </c>
      <c r="J286" s="32" t="str">
        <f>IFERROR(__xludf.DUMMYFUNCTION("IFERROR(INDEX(FILTER('OLT DOWN Tickets'!$F:$F, REGEXMATCH('OLT DOWN Tickets'!$AB:$AB, ""(?i)""&amp;TRIM(D286)), 'OLT DOWN Tickets'!$L:$L=""OLT DOWN""), 1), """")"),"")</f>
        <v/>
      </c>
      <c r="K286" s="32" t="str">
        <f>IFERROR(__xludf.DUMMYFUNCTION("IFERROR(INDEX(FILTER('OLT DOWN Tickets'!$F:$F, REGEXMATCH('OLT DOWN Tickets'!$AB:$AB, ""(?i)""&amp;TRIM(D286)), 'OLT DOWN Tickets'!$L:$L=""OLT UPLINK LOW POWER""), 1), """")"),"")</f>
        <v/>
      </c>
      <c r="L286" s="32" t="str">
        <f>IFERROR(__xludf.DUMMYFUNCTION("IFERROR(INDEX(FILTER('OLT DOWN Tickets'!$F:$F, REGEXMATCH('OLT DOWN Tickets'!$AB:$AB, ""(?i)""&amp;TRIM(D286)), 'OLT DOWN Tickets'!$L:$L=""OLT UPLINK DOWN""), 1), """")"),"")</f>
        <v/>
      </c>
      <c r="M286" s="32" t="str">
        <f>IFERROR(__xludf.DUMMYFUNCTION("IFERROR(INDEX(FILTER('OLT DOWN Tickets'!$F:$F, REGEXMATCH('OLT DOWN Tickets'!$AB:$AB, ""(?i)""&amp;TRIM(D286)), 'OLT DOWN Tickets'!$L:$L=""OLT SERVICE DEGRADATION""), 1), """")
"),"")</f>
        <v/>
      </c>
      <c r="N286" s="6" t="b">
        <v>0</v>
      </c>
      <c r="O286" s="6" t="b">
        <v>0</v>
      </c>
      <c r="P286" s="6" t="b">
        <v>0</v>
      </c>
      <c r="Q286" s="6" t="b">
        <v>0</v>
      </c>
      <c r="R286" s="6"/>
      <c r="S286" s="6"/>
      <c r="T286" s="6"/>
      <c r="U286" s="6"/>
    </row>
    <row r="287">
      <c r="A287" s="19"/>
      <c r="B287" s="26" t="s">
        <v>526</v>
      </c>
      <c r="C287" s="26" t="s">
        <v>527</v>
      </c>
      <c r="D287" s="27" t="s">
        <v>530</v>
      </c>
      <c r="E287" s="6" t="b">
        <f t="shared" si="1"/>
        <v>1</v>
      </c>
      <c r="F287" s="6" t="b">
        <f>COUNTIFS('OLT DOWN Tickets'!$AB:$AB, "*" &amp; D287 &amp; "*", 'OLT DOWN Tickets'!$L:$L, "OLT DOWN") &gt; 0</f>
        <v>0</v>
      </c>
      <c r="G287" s="6" t="b">
        <f>COUNTIFS('OLT DOWN Tickets'!$AB:$AB, "*" &amp; D287 &amp; "*", 'OLT DOWN Tickets'!$L:$L, "OLT UPLINK LOW POWER") &gt; 0</f>
        <v>0</v>
      </c>
      <c r="H287" s="6" t="b">
        <f>COUNTIFS('OLT DOWN Tickets'!$AB:$AB, "*" &amp; D287 &amp; "*", 'OLT DOWN Tickets'!$L:$L, "OLT UPLINK DOWN") &gt; 0</f>
        <v>0</v>
      </c>
      <c r="I287" s="6" t="b">
        <f>COUNTIFS('OLT DOWN Tickets'!$AB:$AB, "*" &amp; D287 &amp; "*", 'OLT DOWN Tickets'!$L:$L, "OLT SERVICE DEGRADATION") &gt; 0</f>
        <v>0</v>
      </c>
      <c r="J287" s="32" t="str">
        <f>IFERROR(__xludf.DUMMYFUNCTION("IFERROR(INDEX(FILTER('OLT DOWN Tickets'!$F:$F, REGEXMATCH('OLT DOWN Tickets'!$AB:$AB, ""(?i)""&amp;TRIM(D287)), 'OLT DOWN Tickets'!$L:$L=""OLT DOWN""), 1), """")"),"")</f>
        <v/>
      </c>
      <c r="K287" s="32" t="str">
        <f>IFERROR(__xludf.DUMMYFUNCTION("IFERROR(INDEX(FILTER('OLT DOWN Tickets'!$F:$F, REGEXMATCH('OLT DOWN Tickets'!$AB:$AB, ""(?i)""&amp;TRIM(D287)), 'OLT DOWN Tickets'!$L:$L=""OLT UPLINK LOW POWER""), 1), """")"),"")</f>
        <v/>
      </c>
      <c r="L287" s="32" t="str">
        <f>IFERROR(__xludf.DUMMYFUNCTION("IFERROR(INDEX(FILTER('OLT DOWN Tickets'!$F:$F, REGEXMATCH('OLT DOWN Tickets'!$AB:$AB, ""(?i)""&amp;TRIM(D287)), 'OLT DOWN Tickets'!$L:$L=""OLT UPLINK DOWN""), 1), """")"),"")</f>
        <v/>
      </c>
      <c r="M287" s="32" t="str">
        <f>IFERROR(__xludf.DUMMYFUNCTION("IFERROR(INDEX(FILTER('OLT DOWN Tickets'!$F:$F, REGEXMATCH('OLT DOWN Tickets'!$AB:$AB, ""(?i)""&amp;TRIM(D287)), 'OLT DOWN Tickets'!$L:$L=""OLT SERVICE DEGRADATION""), 1), """")
"),"")</f>
        <v/>
      </c>
      <c r="N287" s="6" t="b">
        <v>0</v>
      </c>
      <c r="O287" s="6" t="b">
        <v>0</v>
      </c>
      <c r="P287" s="6" t="b">
        <v>0</v>
      </c>
      <c r="Q287" s="6" t="b">
        <v>0</v>
      </c>
      <c r="R287" s="6"/>
      <c r="S287" s="6"/>
      <c r="T287" s="6"/>
      <c r="U287" s="6"/>
    </row>
    <row r="288">
      <c r="A288" s="19"/>
      <c r="B288" s="26" t="s">
        <v>526</v>
      </c>
      <c r="C288" s="26" t="s">
        <v>279</v>
      </c>
      <c r="D288" s="27" t="s">
        <v>531</v>
      </c>
      <c r="E288" s="6" t="b">
        <f t="shared" si="1"/>
        <v>1</v>
      </c>
      <c r="F288" s="6" t="b">
        <f>COUNTIFS('OLT DOWN Tickets'!$AB:$AB, "*" &amp; D288 &amp; "*", 'OLT DOWN Tickets'!$L:$L, "OLT DOWN") &gt; 0</f>
        <v>0</v>
      </c>
      <c r="G288" s="6" t="b">
        <f>COUNTIFS('OLT DOWN Tickets'!$AB:$AB, "*" &amp; D288 &amp; "*", 'OLT DOWN Tickets'!$L:$L, "OLT UPLINK LOW POWER") &gt; 0</f>
        <v>0</v>
      </c>
      <c r="H288" s="6" t="b">
        <f>COUNTIFS('OLT DOWN Tickets'!$AB:$AB, "*" &amp; D288 &amp; "*", 'OLT DOWN Tickets'!$L:$L, "OLT UPLINK DOWN") &gt; 0</f>
        <v>0</v>
      </c>
      <c r="I288" s="6" t="b">
        <f>COUNTIFS('OLT DOWN Tickets'!$AB:$AB, "*" &amp; D288 &amp; "*", 'OLT DOWN Tickets'!$L:$L, "OLT SERVICE DEGRADATION") &gt; 0</f>
        <v>0</v>
      </c>
      <c r="J288" s="32" t="str">
        <f>IFERROR(__xludf.DUMMYFUNCTION("IFERROR(INDEX(FILTER('OLT DOWN Tickets'!$F:$F, REGEXMATCH('OLT DOWN Tickets'!$AB:$AB, ""(?i)""&amp;TRIM(D288)), 'OLT DOWN Tickets'!$L:$L=""OLT DOWN""), 1), """")"),"")</f>
        <v/>
      </c>
      <c r="K288" s="32" t="str">
        <f>IFERROR(__xludf.DUMMYFUNCTION("IFERROR(INDEX(FILTER('OLT DOWN Tickets'!$F:$F, REGEXMATCH('OLT DOWN Tickets'!$AB:$AB, ""(?i)""&amp;TRIM(D288)), 'OLT DOWN Tickets'!$L:$L=""OLT UPLINK LOW POWER""), 1), """")"),"")</f>
        <v/>
      </c>
      <c r="L288" s="32" t="str">
        <f>IFERROR(__xludf.DUMMYFUNCTION("IFERROR(INDEX(FILTER('OLT DOWN Tickets'!$F:$F, REGEXMATCH('OLT DOWN Tickets'!$AB:$AB, ""(?i)""&amp;TRIM(D288)), 'OLT DOWN Tickets'!$L:$L=""OLT UPLINK DOWN""), 1), """")"),"")</f>
        <v/>
      </c>
      <c r="M288" s="32" t="str">
        <f>IFERROR(__xludf.DUMMYFUNCTION("IFERROR(INDEX(FILTER('OLT DOWN Tickets'!$F:$F, REGEXMATCH('OLT DOWN Tickets'!$AB:$AB, ""(?i)""&amp;TRIM(D288)), 'OLT DOWN Tickets'!$L:$L=""OLT SERVICE DEGRADATION""), 1), """")
"),"")</f>
        <v/>
      </c>
      <c r="N288" s="6" t="b">
        <v>0</v>
      </c>
      <c r="O288" s="6" t="b">
        <v>0</v>
      </c>
      <c r="P288" s="6" t="b">
        <v>0</v>
      </c>
      <c r="Q288" s="6" t="b">
        <v>0</v>
      </c>
      <c r="R288" s="6"/>
      <c r="S288" s="6"/>
      <c r="T288" s="6"/>
      <c r="U288" s="6"/>
    </row>
    <row r="289">
      <c r="A289" s="19"/>
      <c r="B289" s="26" t="s">
        <v>526</v>
      </c>
      <c r="C289" s="26" t="s">
        <v>279</v>
      </c>
      <c r="D289" s="27" t="s">
        <v>532</v>
      </c>
      <c r="E289" s="6" t="b">
        <f t="shared" si="1"/>
        <v>1</v>
      </c>
      <c r="F289" s="6" t="b">
        <f>COUNTIFS('OLT DOWN Tickets'!$AB:$AB, "*" &amp; D289 &amp; "*", 'OLT DOWN Tickets'!$L:$L, "OLT DOWN") &gt; 0</f>
        <v>0</v>
      </c>
      <c r="G289" s="6" t="b">
        <f>COUNTIFS('OLT DOWN Tickets'!$AB:$AB, "*" &amp; D289 &amp; "*", 'OLT DOWN Tickets'!$L:$L, "OLT UPLINK LOW POWER") &gt; 0</f>
        <v>0</v>
      </c>
      <c r="H289" s="6" t="b">
        <f>COUNTIFS('OLT DOWN Tickets'!$AB:$AB, "*" &amp; D289 &amp; "*", 'OLT DOWN Tickets'!$L:$L, "OLT UPLINK DOWN") &gt; 0</f>
        <v>0</v>
      </c>
      <c r="I289" s="6" t="b">
        <f>COUNTIFS('OLT DOWN Tickets'!$AB:$AB, "*" &amp; D289 &amp; "*", 'OLT DOWN Tickets'!$L:$L, "OLT SERVICE DEGRADATION") &gt; 0</f>
        <v>0</v>
      </c>
      <c r="J289" s="32" t="str">
        <f>IFERROR(__xludf.DUMMYFUNCTION("IFERROR(INDEX(FILTER('OLT DOWN Tickets'!$F:$F, REGEXMATCH('OLT DOWN Tickets'!$AB:$AB, ""(?i)""&amp;TRIM(D289)), 'OLT DOWN Tickets'!$L:$L=""OLT DOWN""), 1), """")"),"")</f>
        <v/>
      </c>
      <c r="K289" s="32" t="str">
        <f>IFERROR(__xludf.DUMMYFUNCTION("IFERROR(INDEX(FILTER('OLT DOWN Tickets'!$F:$F, REGEXMATCH('OLT DOWN Tickets'!$AB:$AB, ""(?i)""&amp;TRIM(D289)), 'OLT DOWN Tickets'!$L:$L=""OLT UPLINK LOW POWER""), 1), """")"),"")</f>
        <v/>
      </c>
      <c r="L289" s="32" t="str">
        <f>IFERROR(__xludf.DUMMYFUNCTION("IFERROR(INDEX(FILTER('OLT DOWN Tickets'!$F:$F, REGEXMATCH('OLT DOWN Tickets'!$AB:$AB, ""(?i)""&amp;TRIM(D289)), 'OLT DOWN Tickets'!$L:$L=""OLT UPLINK DOWN""), 1), """")"),"")</f>
        <v/>
      </c>
      <c r="M289" s="32" t="str">
        <f>IFERROR(__xludf.DUMMYFUNCTION("IFERROR(INDEX(FILTER('OLT DOWN Tickets'!$F:$F, REGEXMATCH('OLT DOWN Tickets'!$AB:$AB, ""(?i)""&amp;TRIM(D289)), 'OLT DOWN Tickets'!$L:$L=""OLT SERVICE DEGRADATION""), 1), """")
"),"")</f>
        <v/>
      </c>
      <c r="N289" s="6" t="b">
        <v>0</v>
      </c>
      <c r="O289" s="6" t="b">
        <v>0</v>
      </c>
      <c r="P289" s="6" t="b">
        <v>0</v>
      </c>
      <c r="Q289" s="6" t="b">
        <v>0</v>
      </c>
      <c r="R289" s="6"/>
      <c r="S289" s="6"/>
      <c r="T289" s="6"/>
      <c r="U289" s="6"/>
    </row>
    <row r="290">
      <c r="A290" s="19"/>
      <c r="B290" s="26" t="s">
        <v>526</v>
      </c>
      <c r="C290" s="26" t="s">
        <v>533</v>
      </c>
      <c r="D290" s="27" t="s">
        <v>534</v>
      </c>
      <c r="E290" s="6" t="b">
        <f t="shared" si="1"/>
        <v>1</v>
      </c>
      <c r="F290" s="6" t="b">
        <f>COUNTIFS('OLT DOWN Tickets'!$AB:$AB, "*" &amp; D290 &amp; "*", 'OLT DOWN Tickets'!$L:$L, "OLT DOWN") &gt; 0</f>
        <v>0</v>
      </c>
      <c r="G290" s="6" t="b">
        <f>COUNTIFS('OLT DOWN Tickets'!$AB:$AB, "*" &amp; D290 &amp; "*", 'OLT DOWN Tickets'!$L:$L, "OLT UPLINK LOW POWER") &gt; 0</f>
        <v>0</v>
      </c>
      <c r="H290" s="6" t="b">
        <f>COUNTIFS('OLT DOWN Tickets'!$AB:$AB, "*" &amp; D290 &amp; "*", 'OLT DOWN Tickets'!$L:$L, "OLT UPLINK DOWN") &gt; 0</f>
        <v>0</v>
      </c>
      <c r="I290" s="6" t="b">
        <f>COUNTIFS('OLT DOWN Tickets'!$AB:$AB, "*" &amp; D290 &amp; "*", 'OLT DOWN Tickets'!$L:$L, "OLT SERVICE DEGRADATION") &gt; 0</f>
        <v>0</v>
      </c>
      <c r="J290" s="32" t="str">
        <f>IFERROR(__xludf.DUMMYFUNCTION("IFERROR(INDEX(FILTER('OLT DOWN Tickets'!$F:$F, REGEXMATCH('OLT DOWN Tickets'!$AB:$AB, ""(?i)""&amp;TRIM(D290)), 'OLT DOWN Tickets'!$L:$L=""OLT DOWN""), 1), """")"),"")</f>
        <v/>
      </c>
      <c r="K290" s="32" t="str">
        <f>IFERROR(__xludf.DUMMYFUNCTION("IFERROR(INDEX(FILTER('OLT DOWN Tickets'!$F:$F, REGEXMATCH('OLT DOWN Tickets'!$AB:$AB, ""(?i)""&amp;TRIM(D290)), 'OLT DOWN Tickets'!$L:$L=""OLT UPLINK LOW POWER""), 1), """")"),"")</f>
        <v/>
      </c>
      <c r="L290" s="32" t="str">
        <f>IFERROR(__xludf.DUMMYFUNCTION("IFERROR(INDEX(FILTER('OLT DOWN Tickets'!$F:$F, REGEXMATCH('OLT DOWN Tickets'!$AB:$AB, ""(?i)""&amp;TRIM(D290)), 'OLT DOWN Tickets'!$L:$L=""OLT UPLINK DOWN""), 1), """")"),"")</f>
        <v/>
      </c>
      <c r="M290" s="32" t="str">
        <f>IFERROR(__xludf.DUMMYFUNCTION("IFERROR(INDEX(FILTER('OLT DOWN Tickets'!$F:$F, REGEXMATCH('OLT DOWN Tickets'!$AB:$AB, ""(?i)""&amp;TRIM(D290)), 'OLT DOWN Tickets'!$L:$L=""OLT SERVICE DEGRADATION""), 1), """")
"),"")</f>
        <v/>
      </c>
      <c r="N290" s="6" t="b">
        <v>0</v>
      </c>
      <c r="O290" s="6" t="b">
        <v>0</v>
      </c>
      <c r="P290" s="6" t="b">
        <v>0</v>
      </c>
      <c r="Q290" s="6" t="b">
        <v>0</v>
      </c>
      <c r="R290" s="6"/>
      <c r="S290" s="6"/>
      <c r="T290" s="6"/>
      <c r="U290" s="6"/>
    </row>
    <row r="291">
      <c r="A291" s="19"/>
      <c r="B291" s="26" t="s">
        <v>526</v>
      </c>
      <c r="C291" s="26" t="s">
        <v>533</v>
      </c>
      <c r="D291" s="27" t="s">
        <v>535</v>
      </c>
      <c r="E291" s="6" t="b">
        <f t="shared" si="1"/>
        <v>1</v>
      </c>
      <c r="F291" s="6" t="b">
        <f>COUNTIFS('OLT DOWN Tickets'!$AB:$AB, "*" &amp; D291 &amp; "*", 'OLT DOWN Tickets'!$L:$L, "OLT DOWN") &gt; 0</f>
        <v>0</v>
      </c>
      <c r="G291" s="6" t="b">
        <f>COUNTIFS('OLT DOWN Tickets'!$AB:$AB, "*" &amp; D291 &amp; "*", 'OLT DOWN Tickets'!$L:$L, "OLT UPLINK LOW POWER") &gt; 0</f>
        <v>0</v>
      </c>
      <c r="H291" s="6" t="b">
        <f>COUNTIFS('OLT DOWN Tickets'!$AB:$AB, "*" &amp; D291 &amp; "*", 'OLT DOWN Tickets'!$L:$L, "OLT UPLINK DOWN") &gt; 0</f>
        <v>0</v>
      </c>
      <c r="I291" s="6" t="b">
        <f>COUNTIFS('OLT DOWN Tickets'!$AB:$AB, "*" &amp; D291 &amp; "*", 'OLT DOWN Tickets'!$L:$L, "OLT SERVICE DEGRADATION") &gt; 0</f>
        <v>0</v>
      </c>
      <c r="J291" s="32" t="str">
        <f>IFERROR(__xludf.DUMMYFUNCTION("IFERROR(INDEX(FILTER('OLT DOWN Tickets'!$F:$F, REGEXMATCH('OLT DOWN Tickets'!$AB:$AB, ""(?i)""&amp;TRIM(D291)), 'OLT DOWN Tickets'!$L:$L=""OLT DOWN""), 1), """")"),"")</f>
        <v/>
      </c>
      <c r="K291" s="32" t="str">
        <f>IFERROR(__xludf.DUMMYFUNCTION("IFERROR(INDEX(FILTER('OLT DOWN Tickets'!$F:$F, REGEXMATCH('OLT DOWN Tickets'!$AB:$AB, ""(?i)""&amp;TRIM(D291)), 'OLT DOWN Tickets'!$L:$L=""OLT UPLINK LOW POWER""), 1), """")"),"")</f>
        <v/>
      </c>
      <c r="L291" s="32" t="str">
        <f>IFERROR(__xludf.DUMMYFUNCTION("IFERROR(INDEX(FILTER('OLT DOWN Tickets'!$F:$F, REGEXMATCH('OLT DOWN Tickets'!$AB:$AB, ""(?i)""&amp;TRIM(D291)), 'OLT DOWN Tickets'!$L:$L=""OLT UPLINK DOWN""), 1), """")"),"")</f>
        <v/>
      </c>
      <c r="M291" s="32" t="str">
        <f>IFERROR(__xludf.DUMMYFUNCTION("IFERROR(INDEX(FILTER('OLT DOWN Tickets'!$F:$F, REGEXMATCH('OLT DOWN Tickets'!$AB:$AB, ""(?i)""&amp;TRIM(D291)), 'OLT DOWN Tickets'!$L:$L=""OLT SERVICE DEGRADATION""), 1), """")
"),"")</f>
        <v/>
      </c>
      <c r="N291" s="6" t="b">
        <v>0</v>
      </c>
      <c r="O291" s="6" t="b">
        <v>0</v>
      </c>
      <c r="P291" s="6" t="b">
        <v>0</v>
      </c>
      <c r="Q291" s="6" t="b">
        <v>0</v>
      </c>
      <c r="R291" s="6"/>
      <c r="S291" s="6"/>
      <c r="T291" s="6"/>
      <c r="U291" s="6"/>
    </row>
    <row r="292">
      <c r="A292" s="19"/>
      <c r="B292" s="26" t="s">
        <v>526</v>
      </c>
      <c r="C292" s="26" t="s">
        <v>533</v>
      </c>
      <c r="D292" s="27" t="s">
        <v>536</v>
      </c>
      <c r="E292" s="6" t="b">
        <f t="shared" si="1"/>
        <v>1</v>
      </c>
      <c r="F292" s="6" t="b">
        <f>COUNTIFS('OLT DOWN Tickets'!$AB:$AB, "*" &amp; D292 &amp; "*", 'OLT DOWN Tickets'!$L:$L, "OLT DOWN") &gt; 0</f>
        <v>0</v>
      </c>
      <c r="G292" s="6" t="b">
        <f>COUNTIFS('OLT DOWN Tickets'!$AB:$AB, "*" &amp; D292 &amp; "*", 'OLT DOWN Tickets'!$L:$L, "OLT UPLINK LOW POWER") &gt; 0</f>
        <v>0</v>
      </c>
      <c r="H292" s="6" t="b">
        <f>COUNTIFS('OLT DOWN Tickets'!$AB:$AB, "*" &amp; D292 &amp; "*", 'OLT DOWN Tickets'!$L:$L, "OLT UPLINK DOWN") &gt; 0</f>
        <v>0</v>
      </c>
      <c r="I292" s="6" t="b">
        <f>COUNTIFS('OLT DOWN Tickets'!$AB:$AB, "*" &amp; D292 &amp; "*", 'OLT DOWN Tickets'!$L:$L, "OLT SERVICE DEGRADATION") &gt; 0</f>
        <v>0</v>
      </c>
      <c r="J292" s="32" t="str">
        <f>IFERROR(__xludf.DUMMYFUNCTION("IFERROR(INDEX(FILTER('OLT DOWN Tickets'!$F:$F, REGEXMATCH('OLT DOWN Tickets'!$AB:$AB, ""(?i)""&amp;TRIM(D292)), 'OLT DOWN Tickets'!$L:$L=""OLT DOWN""), 1), """")"),"")</f>
        <v/>
      </c>
      <c r="K292" s="32" t="str">
        <f>IFERROR(__xludf.DUMMYFUNCTION("IFERROR(INDEX(FILTER('OLT DOWN Tickets'!$F:$F, REGEXMATCH('OLT DOWN Tickets'!$AB:$AB, ""(?i)""&amp;TRIM(D292)), 'OLT DOWN Tickets'!$L:$L=""OLT UPLINK LOW POWER""), 1), """")"),"")</f>
        <v/>
      </c>
      <c r="L292" s="32" t="str">
        <f>IFERROR(__xludf.DUMMYFUNCTION("IFERROR(INDEX(FILTER('OLT DOWN Tickets'!$F:$F, REGEXMATCH('OLT DOWN Tickets'!$AB:$AB, ""(?i)""&amp;TRIM(D292)), 'OLT DOWN Tickets'!$L:$L=""OLT UPLINK DOWN""), 1), """")"),"")</f>
        <v/>
      </c>
      <c r="M292" s="32" t="str">
        <f>IFERROR(__xludf.DUMMYFUNCTION("IFERROR(INDEX(FILTER('OLT DOWN Tickets'!$F:$F, REGEXMATCH('OLT DOWN Tickets'!$AB:$AB, ""(?i)""&amp;TRIM(D292)), 'OLT DOWN Tickets'!$L:$L=""OLT SERVICE DEGRADATION""), 1), """")
"),"")</f>
        <v/>
      </c>
      <c r="N292" s="6" t="b">
        <v>0</v>
      </c>
      <c r="O292" s="6" t="b">
        <v>0</v>
      </c>
      <c r="P292" s="6" t="b">
        <v>0</v>
      </c>
      <c r="Q292" s="6" t="b">
        <v>0</v>
      </c>
      <c r="R292" s="6"/>
      <c r="S292" s="6"/>
      <c r="T292" s="6"/>
      <c r="U292" s="6"/>
    </row>
    <row r="293">
      <c r="A293" s="19"/>
      <c r="B293" s="26" t="s">
        <v>526</v>
      </c>
      <c r="C293" s="26" t="s">
        <v>533</v>
      </c>
      <c r="D293" s="27" t="s">
        <v>537</v>
      </c>
      <c r="E293" s="6" t="b">
        <f t="shared" si="1"/>
        <v>1</v>
      </c>
      <c r="F293" s="6" t="b">
        <f>COUNTIFS('OLT DOWN Tickets'!$AB:$AB, "*" &amp; D293 &amp; "*", 'OLT DOWN Tickets'!$L:$L, "OLT DOWN") &gt; 0</f>
        <v>0</v>
      </c>
      <c r="G293" s="6" t="b">
        <f>COUNTIFS('OLT DOWN Tickets'!$AB:$AB, "*" &amp; D293 &amp; "*", 'OLT DOWN Tickets'!$L:$L, "OLT UPLINK LOW POWER") &gt; 0</f>
        <v>0</v>
      </c>
      <c r="H293" s="6" t="b">
        <f>COUNTIFS('OLT DOWN Tickets'!$AB:$AB, "*" &amp; D293 &amp; "*", 'OLT DOWN Tickets'!$L:$L, "OLT UPLINK DOWN") &gt; 0</f>
        <v>0</v>
      </c>
      <c r="I293" s="6" t="b">
        <f>COUNTIFS('OLT DOWN Tickets'!$AB:$AB, "*" &amp; D293 &amp; "*", 'OLT DOWN Tickets'!$L:$L, "OLT SERVICE DEGRADATION") &gt; 0</f>
        <v>0</v>
      </c>
      <c r="J293" s="32" t="str">
        <f>IFERROR(__xludf.DUMMYFUNCTION("IFERROR(INDEX(FILTER('OLT DOWN Tickets'!$F:$F, REGEXMATCH('OLT DOWN Tickets'!$AB:$AB, ""(?i)""&amp;TRIM(D293)), 'OLT DOWN Tickets'!$L:$L=""OLT DOWN""), 1), """")"),"")</f>
        <v/>
      </c>
      <c r="K293" s="32" t="str">
        <f>IFERROR(__xludf.DUMMYFUNCTION("IFERROR(INDEX(FILTER('OLT DOWN Tickets'!$F:$F, REGEXMATCH('OLT DOWN Tickets'!$AB:$AB, ""(?i)""&amp;TRIM(D293)), 'OLT DOWN Tickets'!$L:$L=""OLT UPLINK LOW POWER""), 1), """")"),"")</f>
        <v/>
      </c>
      <c r="L293" s="32" t="str">
        <f>IFERROR(__xludf.DUMMYFUNCTION("IFERROR(INDEX(FILTER('OLT DOWN Tickets'!$F:$F, REGEXMATCH('OLT DOWN Tickets'!$AB:$AB, ""(?i)""&amp;TRIM(D293)), 'OLT DOWN Tickets'!$L:$L=""OLT UPLINK DOWN""), 1), """")"),"")</f>
        <v/>
      </c>
      <c r="M293" s="32" t="str">
        <f>IFERROR(__xludf.DUMMYFUNCTION("IFERROR(INDEX(FILTER('OLT DOWN Tickets'!$F:$F, REGEXMATCH('OLT DOWN Tickets'!$AB:$AB, ""(?i)""&amp;TRIM(D293)), 'OLT DOWN Tickets'!$L:$L=""OLT SERVICE DEGRADATION""), 1), """")
"),"")</f>
        <v/>
      </c>
      <c r="N293" s="6" t="b">
        <v>0</v>
      </c>
      <c r="O293" s="6" t="b">
        <v>0</v>
      </c>
      <c r="P293" s="6" t="b">
        <v>0</v>
      </c>
      <c r="Q293" s="6" t="b">
        <v>0</v>
      </c>
      <c r="R293" s="6"/>
      <c r="S293" s="6"/>
      <c r="T293" s="6"/>
      <c r="U293" s="6"/>
    </row>
    <row r="294">
      <c r="A294" s="19"/>
      <c r="B294" s="26" t="s">
        <v>526</v>
      </c>
      <c r="C294" s="26" t="s">
        <v>533</v>
      </c>
      <c r="D294" s="27" t="s">
        <v>538</v>
      </c>
      <c r="E294" s="6" t="b">
        <f t="shared" si="1"/>
        <v>1</v>
      </c>
      <c r="F294" s="6" t="b">
        <f>COUNTIFS('OLT DOWN Tickets'!$AB:$AB, "*" &amp; D294 &amp; "*", 'OLT DOWN Tickets'!$L:$L, "OLT DOWN") &gt; 0</f>
        <v>0</v>
      </c>
      <c r="G294" s="6" t="b">
        <f>COUNTIFS('OLT DOWN Tickets'!$AB:$AB, "*" &amp; D294 &amp; "*", 'OLT DOWN Tickets'!$L:$L, "OLT UPLINK LOW POWER") &gt; 0</f>
        <v>0</v>
      </c>
      <c r="H294" s="6" t="b">
        <f>COUNTIFS('OLT DOWN Tickets'!$AB:$AB, "*" &amp; D294 &amp; "*", 'OLT DOWN Tickets'!$L:$L, "OLT UPLINK DOWN") &gt; 0</f>
        <v>0</v>
      </c>
      <c r="I294" s="6" t="b">
        <f>COUNTIFS('OLT DOWN Tickets'!$AB:$AB, "*" &amp; D294 &amp; "*", 'OLT DOWN Tickets'!$L:$L, "OLT SERVICE DEGRADATION") &gt; 0</f>
        <v>0</v>
      </c>
      <c r="J294" s="32" t="str">
        <f>IFERROR(__xludf.DUMMYFUNCTION("IFERROR(INDEX(FILTER('OLT DOWN Tickets'!$F:$F, REGEXMATCH('OLT DOWN Tickets'!$AB:$AB, ""(?i)""&amp;TRIM(D294)), 'OLT DOWN Tickets'!$L:$L=""OLT DOWN""), 1), """")"),"")</f>
        <v/>
      </c>
      <c r="K294" s="32" t="str">
        <f>IFERROR(__xludf.DUMMYFUNCTION("IFERROR(INDEX(FILTER('OLT DOWN Tickets'!$F:$F, REGEXMATCH('OLT DOWN Tickets'!$AB:$AB, ""(?i)""&amp;TRIM(D294)), 'OLT DOWN Tickets'!$L:$L=""OLT UPLINK LOW POWER""), 1), """")"),"")</f>
        <v/>
      </c>
      <c r="L294" s="32" t="str">
        <f>IFERROR(__xludf.DUMMYFUNCTION("IFERROR(INDEX(FILTER('OLT DOWN Tickets'!$F:$F, REGEXMATCH('OLT DOWN Tickets'!$AB:$AB, ""(?i)""&amp;TRIM(D294)), 'OLT DOWN Tickets'!$L:$L=""OLT UPLINK DOWN""), 1), """")"),"")</f>
        <v/>
      </c>
      <c r="M294" s="32" t="str">
        <f>IFERROR(__xludf.DUMMYFUNCTION("IFERROR(INDEX(FILTER('OLT DOWN Tickets'!$F:$F, REGEXMATCH('OLT DOWN Tickets'!$AB:$AB, ""(?i)""&amp;TRIM(D294)), 'OLT DOWN Tickets'!$L:$L=""OLT SERVICE DEGRADATION""), 1), """")
"),"")</f>
        <v/>
      </c>
      <c r="N294" s="6" t="b">
        <v>0</v>
      </c>
      <c r="O294" s="6" t="b">
        <v>0</v>
      </c>
      <c r="P294" s="6" t="b">
        <v>0</v>
      </c>
      <c r="Q294" s="6" t="b">
        <v>0</v>
      </c>
      <c r="R294" s="6"/>
      <c r="S294" s="6"/>
      <c r="T294" s="6"/>
      <c r="U294" s="6"/>
    </row>
    <row r="295">
      <c r="A295" s="19"/>
      <c r="B295" s="26" t="s">
        <v>539</v>
      </c>
      <c r="C295" s="26" t="s">
        <v>540</v>
      </c>
      <c r="D295" s="27" t="s">
        <v>541</v>
      </c>
      <c r="E295" s="6" t="b">
        <f t="shared" si="1"/>
        <v>1</v>
      </c>
      <c r="F295" s="6" t="b">
        <f>COUNTIFS('OLT DOWN Tickets'!$AB:$AB, "*" &amp; D295 &amp; "*", 'OLT DOWN Tickets'!$L:$L, "OLT DOWN") &gt; 0</f>
        <v>0</v>
      </c>
      <c r="G295" s="6" t="b">
        <f>COUNTIFS('OLT DOWN Tickets'!$AB:$AB, "*" &amp; D295 &amp; "*", 'OLT DOWN Tickets'!$L:$L, "OLT UPLINK LOW POWER") &gt; 0</f>
        <v>0</v>
      </c>
      <c r="H295" s="6" t="b">
        <f>COUNTIFS('OLT DOWN Tickets'!$AB:$AB, "*" &amp; D295 &amp; "*", 'OLT DOWN Tickets'!$L:$L, "OLT UPLINK DOWN") &gt; 0</f>
        <v>0</v>
      </c>
      <c r="I295" s="6" t="b">
        <f>COUNTIFS('OLT DOWN Tickets'!$AB:$AB, "*" &amp; D295 &amp; "*", 'OLT DOWN Tickets'!$L:$L, "OLT SERVICE DEGRADATION") &gt; 0</f>
        <v>0</v>
      </c>
      <c r="J295" s="32" t="str">
        <f>IFERROR(__xludf.DUMMYFUNCTION("IFERROR(INDEX(FILTER('OLT DOWN Tickets'!$F:$F, REGEXMATCH('OLT DOWN Tickets'!$AB:$AB, ""(?i)""&amp;TRIM(D295)), 'OLT DOWN Tickets'!$L:$L=""OLT DOWN""), 1), """")"),"")</f>
        <v/>
      </c>
      <c r="K295" s="32" t="str">
        <f>IFERROR(__xludf.DUMMYFUNCTION("IFERROR(INDEX(FILTER('OLT DOWN Tickets'!$F:$F, REGEXMATCH('OLT DOWN Tickets'!$AB:$AB, ""(?i)""&amp;TRIM(D295)), 'OLT DOWN Tickets'!$L:$L=""OLT UPLINK LOW POWER""), 1), """")"),"")</f>
        <v/>
      </c>
      <c r="L295" s="32" t="str">
        <f>IFERROR(__xludf.DUMMYFUNCTION("IFERROR(INDEX(FILTER('OLT DOWN Tickets'!$F:$F, REGEXMATCH('OLT DOWN Tickets'!$AB:$AB, ""(?i)""&amp;TRIM(D295)), 'OLT DOWN Tickets'!$L:$L=""OLT UPLINK DOWN""), 1), """")"),"")</f>
        <v/>
      </c>
      <c r="M295" s="32" t="str">
        <f>IFERROR(__xludf.DUMMYFUNCTION("IFERROR(INDEX(FILTER('OLT DOWN Tickets'!$F:$F, REGEXMATCH('OLT DOWN Tickets'!$AB:$AB, ""(?i)""&amp;TRIM(D295)), 'OLT DOWN Tickets'!$L:$L=""OLT SERVICE DEGRADATION""), 1), """")
"),"")</f>
        <v/>
      </c>
      <c r="N295" s="6" t="b">
        <v>0</v>
      </c>
      <c r="O295" s="6" t="b">
        <v>0</v>
      </c>
      <c r="P295" s="6" t="b">
        <v>0</v>
      </c>
      <c r="Q295" s="6" t="b">
        <v>0</v>
      </c>
      <c r="R295" s="6"/>
      <c r="S295" s="6"/>
      <c r="T295" s="6"/>
      <c r="U295" s="6"/>
    </row>
    <row r="296">
      <c r="A296" s="19"/>
      <c r="B296" s="26" t="s">
        <v>539</v>
      </c>
      <c r="C296" s="26" t="s">
        <v>542</v>
      </c>
      <c r="D296" s="27" t="s">
        <v>543</v>
      </c>
      <c r="E296" s="6" t="b">
        <f t="shared" si="1"/>
        <v>1</v>
      </c>
      <c r="F296" s="6" t="b">
        <f>COUNTIFS('OLT DOWN Tickets'!$AB:$AB, "*" &amp; D296 &amp; "*", 'OLT DOWN Tickets'!$L:$L, "OLT DOWN") &gt; 0</f>
        <v>0</v>
      </c>
      <c r="G296" s="6" t="b">
        <f>COUNTIFS('OLT DOWN Tickets'!$AB:$AB, "*" &amp; D296 &amp; "*", 'OLT DOWN Tickets'!$L:$L, "OLT UPLINK LOW POWER") &gt; 0</f>
        <v>0</v>
      </c>
      <c r="H296" s="6" t="b">
        <f>COUNTIFS('OLT DOWN Tickets'!$AB:$AB, "*" &amp; D296 &amp; "*", 'OLT DOWN Tickets'!$L:$L, "OLT UPLINK DOWN") &gt; 0</f>
        <v>0</v>
      </c>
      <c r="I296" s="6" t="b">
        <f>COUNTIFS('OLT DOWN Tickets'!$AB:$AB, "*" &amp; D296 &amp; "*", 'OLT DOWN Tickets'!$L:$L, "OLT SERVICE DEGRADATION") &gt; 0</f>
        <v>0</v>
      </c>
      <c r="J296" s="32" t="str">
        <f>IFERROR(__xludf.DUMMYFUNCTION("IFERROR(INDEX(FILTER('OLT DOWN Tickets'!$F:$F, REGEXMATCH('OLT DOWN Tickets'!$AB:$AB, ""(?i)""&amp;TRIM(D296)), 'OLT DOWN Tickets'!$L:$L=""OLT DOWN""), 1), """")"),"")</f>
        <v/>
      </c>
      <c r="K296" s="32" t="str">
        <f>IFERROR(__xludf.DUMMYFUNCTION("IFERROR(INDEX(FILTER('OLT DOWN Tickets'!$F:$F, REGEXMATCH('OLT DOWN Tickets'!$AB:$AB, ""(?i)""&amp;TRIM(D296)), 'OLT DOWN Tickets'!$L:$L=""OLT UPLINK LOW POWER""), 1), """")"),"")</f>
        <v/>
      </c>
      <c r="L296" s="32" t="str">
        <f>IFERROR(__xludf.DUMMYFUNCTION("IFERROR(INDEX(FILTER('OLT DOWN Tickets'!$F:$F, REGEXMATCH('OLT DOWN Tickets'!$AB:$AB, ""(?i)""&amp;TRIM(D296)), 'OLT DOWN Tickets'!$L:$L=""OLT UPLINK DOWN""), 1), """")"),"")</f>
        <v/>
      </c>
      <c r="M296" s="32" t="str">
        <f>IFERROR(__xludf.DUMMYFUNCTION("IFERROR(INDEX(FILTER('OLT DOWN Tickets'!$F:$F, REGEXMATCH('OLT DOWN Tickets'!$AB:$AB, ""(?i)""&amp;TRIM(D296)), 'OLT DOWN Tickets'!$L:$L=""OLT SERVICE DEGRADATION""), 1), """")
"),"")</f>
        <v/>
      </c>
      <c r="N296" s="6" t="b">
        <v>0</v>
      </c>
      <c r="O296" s="6" t="b">
        <v>0</v>
      </c>
      <c r="P296" s="6" t="b">
        <v>0</v>
      </c>
      <c r="Q296" s="6" t="b">
        <v>0</v>
      </c>
      <c r="R296" s="6"/>
      <c r="S296" s="6"/>
      <c r="T296" s="6"/>
      <c r="U296" s="6"/>
    </row>
    <row r="297">
      <c r="A297" s="19"/>
      <c r="B297" s="26" t="s">
        <v>539</v>
      </c>
      <c r="C297" s="26" t="s">
        <v>542</v>
      </c>
      <c r="D297" s="27" t="s">
        <v>544</v>
      </c>
      <c r="E297" s="6" t="b">
        <f t="shared" si="1"/>
        <v>1</v>
      </c>
      <c r="F297" s="6" t="b">
        <f>COUNTIFS('OLT DOWN Tickets'!$AB:$AB, "*" &amp; D297 &amp; "*", 'OLT DOWN Tickets'!$L:$L, "OLT DOWN") &gt; 0</f>
        <v>0</v>
      </c>
      <c r="G297" s="6" t="b">
        <f>COUNTIFS('OLT DOWN Tickets'!$AB:$AB, "*" &amp; D297 &amp; "*", 'OLT DOWN Tickets'!$L:$L, "OLT UPLINK LOW POWER") &gt; 0</f>
        <v>0</v>
      </c>
      <c r="H297" s="6" t="b">
        <f>COUNTIFS('OLT DOWN Tickets'!$AB:$AB, "*" &amp; D297 &amp; "*", 'OLT DOWN Tickets'!$L:$L, "OLT UPLINK DOWN") &gt; 0</f>
        <v>0</v>
      </c>
      <c r="I297" s="6" t="b">
        <f>COUNTIFS('OLT DOWN Tickets'!$AB:$AB, "*" &amp; D297 &amp; "*", 'OLT DOWN Tickets'!$L:$L, "OLT SERVICE DEGRADATION") &gt; 0</f>
        <v>0</v>
      </c>
      <c r="J297" s="32" t="str">
        <f>IFERROR(__xludf.DUMMYFUNCTION("IFERROR(INDEX(FILTER('OLT DOWN Tickets'!$F:$F, REGEXMATCH('OLT DOWN Tickets'!$AB:$AB, ""(?i)""&amp;TRIM(D297)), 'OLT DOWN Tickets'!$L:$L=""OLT DOWN""), 1), """")"),"")</f>
        <v/>
      </c>
      <c r="K297" s="32" t="str">
        <f>IFERROR(__xludf.DUMMYFUNCTION("IFERROR(INDEX(FILTER('OLT DOWN Tickets'!$F:$F, REGEXMATCH('OLT DOWN Tickets'!$AB:$AB, ""(?i)""&amp;TRIM(D297)), 'OLT DOWN Tickets'!$L:$L=""OLT UPLINK LOW POWER""), 1), """")"),"")</f>
        <v/>
      </c>
      <c r="L297" s="32" t="str">
        <f>IFERROR(__xludf.DUMMYFUNCTION("IFERROR(INDEX(FILTER('OLT DOWN Tickets'!$F:$F, REGEXMATCH('OLT DOWN Tickets'!$AB:$AB, ""(?i)""&amp;TRIM(D297)), 'OLT DOWN Tickets'!$L:$L=""OLT UPLINK DOWN""), 1), """")"),"")</f>
        <v/>
      </c>
      <c r="M297" s="32" t="str">
        <f>IFERROR(__xludf.DUMMYFUNCTION("IFERROR(INDEX(FILTER('OLT DOWN Tickets'!$F:$F, REGEXMATCH('OLT DOWN Tickets'!$AB:$AB, ""(?i)""&amp;TRIM(D297)), 'OLT DOWN Tickets'!$L:$L=""OLT SERVICE DEGRADATION""), 1), """")
"),"")</f>
        <v/>
      </c>
      <c r="N297" s="6" t="b">
        <v>0</v>
      </c>
      <c r="O297" s="6" t="b">
        <v>0</v>
      </c>
      <c r="P297" s="6" t="b">
        <v>0</v>
      </c>
      <c r="Q297" s="6" t="b">
        <v>0</v>
      </c>
      <c r="R297" s="6"/>
      <c r="S297" s="6"/>
      <c r="T297" s="6"/>
      <c r="U297" s="6"/>
    </row>
    <row r="298">
      <c r="A298" s="19"/>
      <c r="B298" s="26" t="s">
        <v>539</v>
      </c>
      <c r="C298" s="26" t="s">
        <v>132</v>
      </c>
      <c r="D298" s="27" t="s">
        <v>545</v>
      </c>
      <c r="E298" s="6" t="b">
        <f t="shared" si="1"/>
        <v>1</v>
      </c>
      <c r="F298" s="6" t="b">
        <f>COUNTIFS('OLT DOWN Tickets'!$AB:$AB, "*" &amp; D298 &amp; "*", 'OLT DOWN Tickets'!$L:$L, "OLT DOWN") &gt; 0</f>
        <v>0</v>
      </c>
      <c r="G298" s="6" t="b">
        <f>COUNTIFS('OLT DOWN Tickets'!$AB:$AB, "*" &amp; D298 &amp; "*", 'OLT DOWN Tickets'!$L:$L, "OLT UPLINK LOW POWER") &gt; 0</f>
        <v>0</v>
      </c>
      <c r="H298" s="6" t="b">
        <f>COUNTIFS('OLT DOWN Tickets'!$AB:$AB, "*" &amp; D298 &amp; "*", 'OLT DOWN Tickets'!$L:$L, "OLT UPLINK DOWN") &gt; 0</f>
        <v>0</v>
      </c>
      <c r="I298" s="6" t="b">
        <f>COUNTIFS('OLT DOWN Tickets'!$AB:$AB, "*" &amp; D298 &amp; "*", 'OLT DOWN Tickets'!$L:$L, "OLT SERVICE DEGRADATION") &gt; 0</f>
        <v>0</v>
      </c>
      <c r="J298" s="32" t="str">
        <f>IFERROR(__xludf.DUMMYFUNCTION("IFERROR(INDEX(FILTER('OLT DOWN Tickets'!$F:$F, REGEXMATCH('OLT DOWN Tickets'!$AB:$AB, ""(?i)""&amp;TRIM(D298)), 'OLT DOWN Tickets'!$L:$L=""OLT DOWN""), 1), """")"),"")</f>
        <v/>
      </c>
      <c r="K298" s="32" t="str">
        <f>IFERROR(__xludf.DUMMYFUNCTION("IFERROR(INDEX(FILTER('OLT DOWN Tickets'!$F:$F, REGEXMATCH('OLT DOWN Tickets'!$AB:$AB, ""(?i)""&amp;TRIM(D298)), 'OLT DOWN Tickets'!$L:$L=""OLT UPLINK LOW POWER""), 1), """")"),"")</f>
        <v/>
      </c>
      <c r="L298" s="32" t="str">
        <f>IFERROR(__xludf.DUMMYFUNCTION("IFERROR(INDEX(FILTER('OLT DOWN Tickets'!$F:$F, REGEXMATCH('OLT DOWN Tickets'!$AB:$AB, ""(?i)""&amp;TRIM(D298)), 'OLT DOWN Tickets'!$L:$L=""OLT UPLINK DOWN""), 1), """")"),"")</f>
        <v/>
      </c>
      <c r="M298" s="32" t="str">
        <f>IFERROR(__xludf.DUMMYFUNCTION("IFERROR(INDEX(FILTER('OLT DOWN Tickets'!$F:$F, REGEXMATCH('OLT DOWN Tickets'!$AB:$AB, ""(?i)""&amp;TRIM(D298)), 'OLT DOWN Tickets'!$L:$L=""OLT SERVICE DEGRADATION""), 1), """")
"),"")</f>
        <v/>
      </c>
      <c r="N298" s="6" t="b">
        <v>0</v>
      </c>
      <c r="O298" s="6" t="b">
        <v>0</v>
      </c>
      <c r="P298" s="6" t="b">
        <v>0</v>
      </c>
      <c r="Q298" s="6" t="b">
        <v>0</v>
      </c>
      <c r="R298" s="6"/>
      <c r="S298" s="6"/>
      <c r="T298" s="6"/>
      <c r="U298" s="6"/>
    </row>
    <row r="299">
      <c r="A299" s="19"/>
      <c r="B299" s="26" t="s">
        <v>539</v>
      </c>
      <c r="C299" s="26" t="s">
        <v>546</v>
      </c>
      <c r="D299" s="27" t="s">
        <v>547</v>
      </c>
      <c r="E299" s="6" t="b">
        <f t="shared" si="1"/>
        <v>1</v>
      </c>
      <c r="F299" s="6" t="b">
        <f>COUNTIFS('OLT DOWN Tickets'!$AB:$AB, "*" &amp; D299 &amp; "*", 'OLT DOWN Tickets'!$L:$L, "OLT DOWN") &gt; 0</f>
        <v>0</v>
      </c>
      <c r="G299" s="6" t="b">
        <f>COUNTIFS('OLT DOWN Tickets'!$AB:$AB, "*" &amp; D299 &amp; "*", 'OLT DOWN Tickets'!$L:$L, "OLT UPLINK LOW POWER") &gt; 0</f>
        <v>0</v>
      </c>
      <c r="H299" s="6" t="b">
        <f>COUNTIFS('OLT DOWN Tickets'!$AB:$AB, "*" &amp; D299 &amp; "*", 'OLT DOWN Tickets'!$L:$L, "OLT UPLINK DOWN") &gt; 0</f>
        <v>0</v>
      </c>
      <c r="I299" s="6" t="b">
        <f>COUNTIFS('OLT DOWN Tickets'!$AB:$AB, "*" &amp; D299 &amp; "*", 'OLT DOWN Tickets'!$L:$L, "OLT SERVICE DEGRADATION") &gt; 0</f>
        <v>0</v>
      </c>
      <c r="J299" s="32" t="str">
        <f>IFERROR(__xludf.DUMMYFUNCTION("IFERROR(INDEX(FILTER('OLT DOWN Tickets'!$F:$F, REGEXMATCH('OLT DOWN Tickets'!$AB:$AB, ""(?i)""&amp;TRIM(D299)), 'OLT DOWN Tickets'!$L:$L=""OLT DOWN""), 1), """")"),"")</f>
        <v/>
      </c>
      <c r="K299" s="32" t="str">
        <f>IFERROR(__xludf.DUMMYFUNCTION("IFERROR(INDEX(FILTER('OLT DOWN Tickets'!$F:$F, REGEXMATCH('OLT DOWN Tickets'!$AB:$AB, ""(?i)""&amp;TRIM(D299)), 'OLT DOWN Tickets'!$L:$L=""OLT UPLINK LOW POWER""), 1), """")"),"")</f>
        <v/>
      </c>
      <c r="L299" s="32" t="str">
        <f>IFERROR(__xludf.DUMMYFUNCTION("IFERROR(INDEX(FILTER('OLT DOWN Tickets'!$F:$F, REGEXMATCH('OLT DOWN Tickets'!$AB:$AB, ""(?i)""&amp;TRIM(D299)), 'OLT DOWN Tickets'!$L:$L=""OLT UPLINK DOWN""), 1), """")"),"")</f>
        <v/>
      </c>
      <c r="M299" s="32" t="str">
        <f>IFERROR(__xludf.DUMMYFUNCTION("IFERROR(INDEX(FILTER('OLT DOWN Tickets'!$F:$F, REGEXMATCH('OLT DOWN Tickets'!$AB:$AB, ""(?i)""&amp;TRIM(D299)), 'OLT DOWN Tickets'!$L:$L=""OLT SERVICE DEGRADATION""), 1), """")
"),"")</f>
        <v/>
      </c>
      <c r="N299" s="6" t="b">
        <v>0</v>
      </c>
      <c r="O299" s="6" t="b">
        <v>0</v>
      </c>
      <c r="P299" s="6" t="b">
        <v>0</v>
      </c>
      <c r="Q299" s="6" t="b">
        <v>0</v>
      </c>
      <c r="R299" s="6"/>
      <c r="S299" s="6"/>
      <c r="T299" s="6"/>
      <c r="U299" s="6"/>
    </row>
    <row r="300">
      <c r="A300" s="19"/>
      <c r="B300" s="26" t="s">
        <v>539</v>
      </c>
      <c r="C300" s="26" t="s">
        <v>546</v>
      </c>
      <c r="D300" s="27" t="s">
        <v>548</v>
      </c>
      <c r="E300" s="6" t="b">
        <f t="shared" si="1"/>
        <v>1</v>
      </c>
      <c r="F300" s="6" t="b">
        <f>COUNTIFS('OLT DOWN Tickets'!$AB:$AB, "*" &amp; D300 &amp; "*", 'OLT DOWN Tickets'!$L:$L, "OLT DOWN") &gt; 0</f>
        <v>0</v>
      </c>
      <c r="G300" s="6" t="b">
        <f>COUNTIFS('OLT DOWN Tickets'!$AB:$AB, "*" &amp; D300 &amp; "*", 'OLT DOWN Tickets'!$L:$L, "OLT UPLINK LOW POWER") &gt; 0</f>
        <v>0</v>
      </c>
      <c r="H300" s="6" t="b">
        <f>COUNTIFS('OLT DOWN Tickets'!$AB:$AB, "*" &amp; D300 &amp; "*", 'OLT DOWN Tickets'!$L:$L, "OLT UPLINK DOWN") &gt; 0</f>
        <v>0</v>
      </c>
      <c r="I300" s="6" t="b">
        <f>COUNTIFS('OLT DOWN Tickets'!$AB:$AB, "*" &amp; D300 &amp; "*", 'OLT DOWN Tickets'!$L:$L, "OLT SERVICE DEGRADATION") &gt; 0</f>
        <v>0</v>
      </c>
      <c r="J300" s="32" t="str">
        <f>IFERROR(__xludf.DUMMYFUNCTION("IFERROR(INDEX(FILTER('OLT DOWN Tickets'!$F:$F, REGEXMATCH('OLT DOWN Tickets'!$AB:$AB, ""(?i)""&amp;TRIM(D300)), 'OLT DOWN Tickets'!$L:$L=""OLT DOWN""), 1), """")"),"")</f>
        <v/>
      </c>
      <c r="K300" s="32" t="str">
        <f>IFERROR(__xludf.DUMMYFUNCTION("IFERROR(INDEX(FILTER('OLT DOWN Tickets'!$F:$F, REGEXMATCH('OLT DOWN Tickets'!$AB:$AB, ""(?i)""&amp;TRIM(D300)), 'OLT DOWN Tickets'!$L:$L=""OLT UPLINK LOW POWER""), 1), """")"),"")</f>
        <v/>
      </c>
      <c r="L300" s="32" t="str">
        <f>IFERROR(__xludf.DUMMYFUNCTION("IFERROR(INDEX(FILTER('OLT DOWN Tickets'!$F:$F, REGEXMATCH('OLT DOWN Tickets'!$AB:$AB, ""(?i)""&amp;TRIM(D300)), 'OLT DOWN Tickets'!$L:$L=""OLT UPLINK DOWN""), 1), """")"),"")</f>
        <v/>
      </c>
      <c r="M300" s="32" t="str">
        <f>IFERROR(__xludf.DUMMYFUNCTION("IFERROR(INDEX(FILTER('OLT DOWN Tickets'!$F:$F, REGEXMATCH('OLT DOWN Tickets'!$AB:$AB, ""(?i)""&amp;TRIM(D300)), 'OLT DOWN Tickets'!$L:$L=""OLT SERVICE DEGRADATION""), 1), """")
"),"")</f>
        <v/>
      </c>
      <c r="N300" s="6" t="b">
        <v>0</v>
      </c>
      <c r="O300" s="6" t="b">
        <v>0</v>
      </c>
      <c r="P300" s="6" t="b">
        <v>0</v>
      </c>
      <c r="Q300" s="6" t="b">
        <v>0</v>
      </c>
      <c r="R300" s="6"/>
      <c r="S300" s="6"/>
      <c r="T300" s="6"/>
      <c r="U300" s="6"/>
    </row>
    <row r="301">
      <c r="A301" s="19"/>
      <c r="B301" s="26" t="s">
        <v>539</v>
      </c>
      <c r="C301" s="26" t="s">
        <v>549</v>
      </c>
      <c r="D301" s="27" t="s">
        <v>550</v>
      </c>
      <c r="E301" s="6" t="b">
        <f t="shared" si="1"/>
        <v>1</v>
      </c>
      <c r="F301" s="6" t="b">
        <f>COUNTIFS('OLT DOWN Tickets'!$AB:$AB, "*" &amp; D301 &amp; "*", 'OLT DOWN Tickets'!$L:$L, "OLT DOWN") &gt; 0</f>
        <v>0</v>
      </c>
      <c r="G301" s="6" t="b">
        <f>COUNTIFS('OLT DOWN Tickets'!$AB:$AB, "*" &amp; D301 &amp; "*", 'OLT DOWN Tickets'!$L:$L, "OLT UPLINK LOW POWER") &gt; 0</f>
        <v>0</v>
      </c>
      <c r="H301" s="6" t="b">
        <f>COUNTIFS('OLT DOWN Tickets'!$AB:$AB, "*" &amp; D301 &amp; "*", 'OLT DOWN Tickets'!$L:$L, "OLT UPLINK DOWN") &gt; 0</f>
        <v>0</v>
      </c>
      <c r="I301" s="6" t="b">
        <f>COUNTIFS('OLT DOWN Tickets'!$AB:$AB, "*" &amp; D301 &amp; "*", 'OLT DOWN Tickets'!$L:$L, "OLT SERVICE DEGRADATION") &gt; 0</f>
        <v>0</v>
      </c>
      <c r="J301" s="32" t="str">
        <f>IFERROR(__xludf.DUMMYFUNCTION("IFERROR(INDEX(FILTER('OLT DOWN Tickets'!$F:$F, REGEXMATCH('OLT DOWN Tickets'!$AB:$AB, ""(?i)""&amp;TRIM(D301)), 'OLT DOWN Tickets'!$L:$L=""OLT DOWN""), 1), """")"),"")</f>
        <v/>
      </c>
      <c r="K301" s="32" t="str">
        <f>IFERROR(__xludf.DUMMYFUNCTION("IFERROR(INDEX(FILTER('OLT DOWN Tickets'!$F:$F, REGEXMATCH('OLT DOWN Tickets'!$AB:$AB, ""(?i)""&amp;TRIM(D301)), 'OLT DOWN Tickets'!$L:$L=""OLT UPLINK LOW POWER""), 1), """")"),"")</f>
        <v/>
      </c>
      <c r="L301" s="32" t="str">
        <f>IFERROR(__xludf.DUMMYFUNCTION("IFERROR(INDEX(FILTER('OLT DOWN Tickets'!$F:$F, REGEXMATCH('OLT DOWN Tickets'!$AB:$AB, ""(?i)""&amp;TRIM(D301)), 'OLT DOWN Tickets'!$L:$L=""OLT UPLINK DOWN""), 1), """")"),"")</f>
        <v/>
      </c>
      <c r="M301" s="32" t="str">
        <f>IFERROR(__xludf.DUMMYFUNCTION("IFERROR(INDEX(FILTER('OLT DOWN Tickets'!$F:$F, REGEXMATCH('OLT DOWN Tickets'!$AB:$AB, ""(?i)""&amp;TRIM(D301)), 'OLT DOWN Tickets'!$L:$L=""OLT SERVICE DEGRADATION""), 1), """")
"),"")</f>
        <v/>
      </c>
      <c r="N301" s="6" t="b">
        <v>0</v>
      </c>
      <c r="O301" s="6" t="b">
        <v>0</v>
      </c>
      <c r="P301" s="6" t="b">
        <v>0</v>
      </c>
      <c r="Q301" s="6" t="b">
        <v>0</v>
      </c>
      <c r="R301" s="6"/>
      <c r="S301" s="6"/>
      <c r="T301" s="6"/>
      <c r="U301" s="6"/>
    </row>
    <row r="302">
      <c r="A302" s="19"/>
      <c r="B302" s="26" t="s">
        <v>539</v>
      </c>
      <c r="C302" s="26" t="s">
        <v>551</v>
      </c>
      <c r="D302" s="27" t="s">
        <v>552</v>
      </c>
      <c r="E302" s="6" t="b">
        <f t="shared" si="1"/>
        <v>1</v>
      </c>
      <c r="F302" s="6" t="b">
        <f>COUNTIFS('OLT DOWN Tickets'!$AB:$AB, "*" &amp; D302 &amp; "*", 'OLT DOWN Tickets'!$L:$L, "OLT DOWN") &gt; 0</f>
        <v>0</v>
      </c>
      <c r="G302" s="6" t="b">
        <f>COUNTIFS('OLT DOWN Tickets'!$AB:$AB, "*" &amp; D302 &amp; "*", 'OLT DOWN Tickets'!$L:$L, "OLT UPLINK LOW POWER") &gt; 0</f>
        <v>0</v>
      </c>
      <c r="H302" s="6" t="b">
        <f>COUNTIFS('OLT DOWN Tickets'!$AB:$AB, "*" &amp; D302 &amp; "*", 'OLT DOWN Tickets'!$L:$L, "OLT UPLINK DOWN") &gt; 0</f>
        <v>0</v>
      </c>
      <c r="I302" s="6" t="b">
        <f>COUNTIFS('OLT DOWN Tickets'!$AB:$AB, "*" &amp; D302 &amp; "*", 'OLT DOWN Tickets'!$L:$L, "OLT SERVICE DEGRADATION") &gt; 0</f>
        <v>0</v>
      </c>
      <c r="J302" s="32" t="str">
        <f>IFERROR(__xludf.DUMMYFUNCTION("IFERROR(INDEX(FILTER('OLT DOWN Tickets'!$F:$F, REGEXMATCH('OLT DOWN Tickets'!$AB:$AB, ""(?i)""&amp;TRIM(D302)), 'OLT DOWN Tickets'!$L:$L=""OLT DOWN""), 1), """")"),"")</f>
        <v/>
      </c>
      <c r="K302" s="32" t="str">
        <f>IFERROR(__xludf.DUMMYFUNCTION("IFERROR(INDEX(FILTER('OLT DOWN Tickets'!$F:$F, REGEXMATCH('OLT DOWN Tickets'!$AB:$AB, ""(?i)""&amp;TRIM(D302)), 'OLT DOWN Tickets'!$L:$L=""OLT UPLINK LOW POWER""), 1), """")"),"")</f>
        <v/>
      </c>
      <c r="L302" s="32" t="str">
        <f>IFERROR(__xludf.DUMMYFUNCTION("IFERROR(INDEX(FILTER('OLT DOWN Tickets'!$F:$F, REGEXMATCH('OLT DOWN Tickets'!$AB:$AB, ""(?i)""&amp;TRIM(D302)), 'OLT DOWN Tickets'!$L:$L=""OLT UPLINK DOWN""), 1), """")"),"")</f>
        <v/>
      </c>
      <c r="M302" s="32" t="str">
        <f>IFERROR(__xludf.DUMMYFUNCTION("IFERROR(INDEX(FILTER('OLT DOWN Tickets'!$F:$F, REGEXMATCH('OLT DOWN Tickets'!$AB:$AB, ""(?i)""&amp;TRIM(D302)), 'OLT DOWN Tickets'!$L:$L=""OLT SERVICE DEGRADATION""), 1), """")
"),"")</f>
        <v/>
      </c>
      <c r="N302" s="6" t="b">
        <v>0</v>
      </c>
      <c r="O302" s="6" t="b">
        <v>0</v>
      </c>
      <c r="P302" s="6" t="b">
        <v>0</v>
      </c>
      <c r="Q302" s="6" t="b">
        <v>0</v>
      </c>
      <c r="R302" s="6"/>
      <c r="S302" s="6"/>
      <c r="T302" s="6"/>
      <c r="U302" s="6"/>
    </row>
    <row r="303">
      <c r="A303" s="19"/>
      <c r="B303" s="26" t="s">
        <v>539</v>
      </c>
      <c r="C303" s="26" t="s">
        <v>551</v>
      </c>
      <c r="D303" s="27" t="s">
        <v>553</v>
      </c>
      <c r="E303" s="6" t="b">
        <f t="shared" si="1"/>
        <v>1</v>
      </c>
      <c r="F303" s="6" t="b">
        <f>COUNTIFS('OLT DOWN Tickets'!$AB:$AB, "*" &amp; D303 &amp; "*", 'OLT DOWN Tickets'!$L:$L, "OLT DOWN") &gt; 0</f>
        <v>0</v>
      </c>
      <c r="G303" s="6" t="b">
        <f>COUNTIFS('OLT DOWN Tickets'!$AB:$AB, "*" &amp; D303 &amp; "*", 'OLT DOWN Tickets'!$L:$L, "OLT UPLINK LOW POWER") &gt; 0</f>
        <v>0</v>
      </c>
      <c r="H303" s="6" t="b">
        <f>COUNTIFS('OLT DOWN Tickets'!$AB:$AB, "*" &amp; D303 &amp; "*", 'OLT DOWN Tickets'!$L:$L, "OLT UPLINK DOWN") &gt; 0</f>
        <v>0</v>
      </c>
      <c r="I303" s="6" t="b">
        <f>COUNTIFS('OLT DOWN Tickets'!$AB:$AB, "*" &amp; D303 &amp; "*", 'OLT DOWN Tickets'!$L:$L, "OLT SERVICE DEGRADATION") &gt; 0</f>
        <v>0</v>
      </c>
      <c r="J303" s="32" t="str">
        <f>IFERROR(__xludf.DUMMYFUNCTION("IFERROR(INDEX(FILTER('OLT DOWN Tickets'!$F:$F, REGEXMATCH('OLT DOWN Tickets'!$AB:$AB, ""(?i)""&amp;TRIM(D303)), 'OLT DOWN Tickets'!$L:$L=""OLT DOWN""), 1), """")"),"")</f>
        <v/>
      </c>
      <c r="K303" s="32" t="str">
        <f>IFERROR(__xludf.DUMMYFUNCTION("IFERROR(INDEX(FILTER('OLT DOWN Tickets'!$F:$F, REGEXMATCH('OLT DOWN Tickets'!$AB:$AB, ""(?i)""&amp;TRIM(D303)), 'OLT DOWN Tickets'!$L:$L=""OLT UPLINK LOW POWER""), 1), """")"),"")</f>
        <v/>
      </c>
      <c r="L303" s="32" t="str">
        <f>IFERROR(__xludf.DUMMYFUNCTION("IFERROR(INDEX(FILTER('OLT DOWN Tickets'!$F:$F, REGEXMATCH('OLT DOWN Tickets'!$AB:$AB, ""(?i)""&amp;TRIM(D303)), 'OLT DOWN Tickets'!$L:$L=""OLT UPLINK DOWN""), 1), """")"),"")</f>
        <v/>
      </c>
      <c r="M303" s="32" t="str">
        <f>IFERROR(__xludf.DUMMYFUNCTION("IFERROR(INDEX(FILTER('OLT DOWN Tickets'!$F:$F, REGEXMATCH('OLT DOWN Tickets'!$AB:$AB, ""(?i)""&amp;TRIM(D303)), 'OLT DOWN Tickets'!$L:$L=""OLT SERVICE DEGRADATION""), 1), """")
"),"")</f>
        <v/>
      </c>
      <c r="N303" s="6" t="b">
        <v>0</v>
      </c>
      <c r="O303" s="6" t="b">
        <v>0</v>
      </c>
      <c r="P303" s="6" t="b">
        <v>0</v>
      </c>
      <c r="Q303" s="6" t="b">
        <v>0</v>
      </c>
      <c r="R303" s="6"/>
      <c r="S303" s="6"/>
      <c r="T303" s="6"/>
      <c r="U303" s="6"/>
    </row>
    <row r="304">
      <c r="A304" s="19"/>
      <c r="B304" s="26" t="s">
        <v>539</v>
      </c>
      <c r="C304" s="26" t="s">
        <v>554</v>
      </c>
      <c r="D304" s="27" t="s">
        <v>555</v>
      </c>
      <c r="E304" s="6" t="b">
        <f t="shared" si="1"/>
        <v>1</v>
      </c>
      <c r="F304" s="6" t="b">
        <f>COUNTIFS('OLT DOWN Tickets'!$AB:$AB, "*" &amp; D304 &amp; "*", 'OLT DOWN Tickets'!$L:$L, "OLT DOWN") &gt; 0</f>
        <v>0</v>
      </c>
      <c r="G304" s="6" t="b">
        <f>COUNTIFS('OLT DOWN Tickets'!$AB:$AB, "*" &amp; D304 &amp; "*", 'OLT DOWN Tickets'!$L:$L, "OLT UPLINK LOW POWER") &gt; 0</f>
        <v>0</v>
      </c>
      <c r="H304" s="6" t="b">
        <f>COUNTIFS('OLT DOWN Tickets'!$AB:$AB, "*" &amp; D304 &amp; "*", 'OLT DOWN Tickets'!$L:$L, "OLT UPLINK DOWN") &gt; 0</f>
        <v>0</v>
      </c>
      <c r="I304" s="6" t="b">
        <f>COUNTIFS('OLT DOWN Tickets'!$AB:$AB, "*" &amp; D304 &amp; "*", 'OLT DOWN Tickets'!$L:$L, "OLT SERVICE DEGRADATION") &gt; 0</f>
        <v>0</v>
      </c>
      <c r="J304" s="32" t="str">
        <f>IFERROR(__xludf.DUMMYFUNCTION("IFERROR(INDEX(FILTER('OLT DOWN Tickets'!$F:$F, REGEXMATCH('OLT DOWN Tickets'!$AB:$AB, ""(?i)""&amp;TRIM(D304)), 'OLT DOWN Tickets'!$L:$L=""OLT DOWN""), 1), """")"),"")</f>
        <v/>
      </c>
      <c r="K304" s="32" t="str">
        <f>IFERROR(__xludf.DUMMYFUNCTION("IFERROR(INDEX(FILTER('OLT DOWN Tickets'!$F:$F, REGEXMATCH('OLT DOWN Tickets'!$AB:$AB, ""(?i)""&amp;TRIM(D304)), 'OLT DOWN Tickets'!$L:$L=""OLT UPLINK LOW POWER""), 1), """")"),"")</f>
        <v/>
      </c>
      <c r="L304" s="32" t="str">
        <f>IFERROR(__xludf.DUMMYFUNCTION("IFERROR(INDEX(FILTER('OLT DOWN Tickets'!$F:$F, REGEXMATCH('OLT DOWN Tickets'!$AB:$AB, ""(?i)""&amp;TRIM(D304)), 'OLT DOWN Tickets'!$L:$L=""OLT UPLINK DOWN""), 1), """")"),"")</f>
        <v/>
      </c>
      <c r="M304" s="32" t="str">
        <f>IFERROR(__xludf.DUMMYFUNCTION("IFERROR(INDEX(FILTER('OLT DOWN Tickets'!$F:$F, REGEXMATCH('OLT DOWN Tickets'!$AB:$AB, ""(?i)""&amp;TRIM(D304)), 'OLT DOWN Tickets'!$L:$L=""OLT SERVICE DEGRADATION""), 1), """")
"),"")</f>
        <v/>
      </c>
      <c r="N304" s="6" t="b">
        <v>0</v>
      </c>
      <c r="O304" s="6" t="b">
        <v>0</v>
      </c>
      <c r="P304" s="6" t="b">
        <v>0</v>
      </c>
      <c r="Q304" s="6" t="b">
        <v>0</v>
      </c>
      <c r="R304" s="6"/>
      <c r="S304" s="6"/>
      <c r="T304" s="6"/>
      <c r="U304" s="6"/>
    </row>
    <row r="305">
      <c r="A305" s="19"/>
      <c r="B305" s="26" t="s">
        <v>539</v>
      </c>
      <c r="C305" s="26" t="s">
        <v>485</v>
      </c>
      <c r="D305" s="27" t="s">
        <v>556</v>
      </c>
      <c r="E305" s="6" t="b">
        <f t="shared" si="1"/>
        <v>1</v>
      </c>
      <c r="F305" s="6" t="b">
        <f>COUNTIFS('OLT DOWN Tickets'!$AB:$AB, "*" &amp; D305 &amp; "*", 'OLT DOWN Tickets'!$L:$L, "OLT DOWN") &gt; 0</f>
        <v>0</v>
      </c>
      <c r="G305" s="6" t="b">
        <f>COUNTIFS('OLT DOWN Tickets'!$AB:$AB, "*" &amp; D305 &amp; "*", 'OLT DOWN Tickets'!$L:$L, "OLT UPLINK LOW POWER") &gt; 0</f>
        <v>0</v>
      </c>
      <c r="H305" s="6" t="b">
        <f>COUNTIFS('OLT DOWN Tickets'!$AB:$AB, "*" &amp; D305 &amp; "*", 'OLT DOWN Tickets'!$L:$L, "OLT UPLINK DOWN") &gt; 0</f>
        <v>0</v>
      </c>
      <c r="I305" s="6" t="b">
        <f>COUNTIFS('OLT DOWN Tickets'!$AB:$AB, "*" &amp; D305 &amp; "*", 'OLT DOWN Tickets'!$L:$L, "OLT SERVICE DEGRADATION") &gt; 0</f>
        <v>0</v>
      </c>
      <c r="J305" s="32" t="str">
        <f>IFERROR(__xludf.DUMMYFUNCTION("IFERROR(INDEX(FILTER('OLT DOWN Tickets'!$F:$F, REGEXMATCH('OLT DOWN Tickets'!$AB:$AB, ""(?i)""&amp;TRIM(D305)), 'OLT DOWN Tickets'!$L:$L=""OLT DOWN""), 1), """")"),"")</f>
        <v/>
      </c>
      <c r="K305" s="32" t="str">
        <f>IFERROR(__xludf.DUMMYFUNCTION("IFERROR(INDEX(FILTER('OLT DOWN Tickets'!$F:$F, REGEXMATCH('OLT DOWN Tickets'!$AB:$AB, ""(?i)""&amp;TRIM(D305)), 'OLT DOWN Tickets'!$L:$L=""OLT UPLINK LOW POWER""), 1), """")"),"")</f>
        <v/>
      </c>
      <c r="L305" s="32" t="str">
        <f>IFERROR(__xludf.DUMMYFUNCTION("IFERROR(INDEX(FILTER('OLT DOWN Tickets'!$F:$F, REGEXMATCH('OLT DOWN Tickets'!$AB:$AB, ""(?i)""&amp;TRIM(D305)), 'OLT DOWN Tickets'!$L:$L=""OLT UPLINK DOWN""), 1), """")"),"")</f>
        <v/>
      </c>
      <c r="M305" s="32" t="str">
        <f>IFERROR(__xludf.DUMMYFUNCTION("IFERROR(INDEX(FILTER('OLT DOWN Tickets'!$F:$F, REGEXMATCH('OLT DOWN Tickets'!$AB:$AB, ""(?i)""&amp;TRIM(D305)), 'OLT DOWN Tickets'!$L:$L=""OLT SERVICE DEGRADATION""), 1), """")
"),"")</f>
        <v/>
      </c>
      <c r="N305" s="6" t="b">
        <v>0</v>
      </c>
      <c r="O305" s="6" t="b">
        <v>0</v>
      </c>
      <c r="P305" s="6" t="b">
        <v>0</v>
      </c>
      <c r="Q305" s="6" t="b">
        <v>0</v>
      </c>
      <c r="R305" s="6"/>
      <c r="S305" s="6"/>
      <c r="T305" s="6"/>
      <c r="U305" s="6"/>
    </row>
    <row r="306">
      <c r="A306" s="19"/>
      <c r="B306" s="26" t="s">
        <v>539</v>
      </c>
      <c r="C306" s="26" t="s">
        <v>557</v>
      </c>
      <c r="D306" s="27" t="s">
        <v>558</v>
      </c>
      <c r="E306" s="6" t="b">
        <f t="shared" si="1"/>
        <v>1</v>
      </c>
      <c r="F306" s="6" t="b">
        <f>COUNTIFS('OLT DOWN Tickets'!$AB:$AB, "*" &amp; D306 &amp; "*", 'OLT DOWN Tickets'!$L:$L, "OLT DOWN") &gt; 0</f>
        <v>0</v>
      </c>
      <c r="G306" s="6" t="b">
        <f>COUNTIFS('OLT DOWN Tickets'!$AB:$AB, "*" &amp; D306 &amp; "*", 'OLT DOWN Tickets'!$L:$L, "OLT UPLINK LOW POWER") &gt; 0</f>
        <v>0</v>
      </c>
      <c r="H306" s="6" t="b">
        <f>COUNTIFS('OLT DOWN Tickets'!$AB:$AB, "*" &amp; D306 &amp; "*", 'OLT DOWN Tickets'!$L:$L, "OLT UPLINK DOWN") &gt; 0</f>
        <v>0</v>
      </c>
      <c r="I306" s="6" t="b">
        <f>COUNTIFS('OLT DOWN Tickets'!$AB:$AB, "*" &amp; D306 &amp; "*", 'OLT DOWN Tickets'!$L:$L, "OLT SERVICE DEGRADATION") &gt; 0</f>
        <v>0</v>
      </c>
      <c r="J306" s="32" t="str">
        <f>IFERROR(__xludf.DUMMYFUNCTION("IFERROR(INDEX(FILTER('OLT DOWN Tickets'!$F:$F, REGEXMATCH('OLT DOWN Tickets'!$AB:$AB, ""(?i)""&amp;TRIM(D306)), 'OLT DOWN Tickets'!$L:$L=""OLT DOWN""), 1), """")"),"")</f>
        <v/>
      </c>
      <c r="K306" s="32" t="str">
        <f>IFERROR(__xludf.DUMMYFUNCTION("IFERROR(INDEX(FILTER('OLT DOWN Tickets'!$F:$F, REGEXMATCH('OLT DOWN Tickets'!$AB:$AB, ""(?i)""&amp;TRIM(D306)), 'OLT DOWN Tickets'!$L:$L=""OLT UPLINK LOW POWER""), 1), """")"),"")</f>
        <v/>
      </c>
      <c r="L306" s="32" t="str">
        <f>IFERROR(__xludf.DUMMYFUNCTION("IFERROR(INDEX(FILTER('OLT DOWN Tickets'!$F:$F, REGEXMATCH('OLT DOWN Tickets'!$AB:$AB, ""(?i)""&amp;TRIM(D306)), 'OLT DOWN Tickets'!$L:$L=""OLT UPLINK DOWN""), 1), """")"),"")</f>
        <v/>
      </c>
      <c r="M306" s="32" t="str">
        <f>IFERROR(__xludf.DUMMYFUNCTION("IFERROR(INDEX(FILTER('OLT DOWN Tickets'!$F:$F, REGEXMATCH('OLT DOWN Tickets'!$AB:$AB, ""(?i)""&amp;TRIM(D306)), 'OLT DOWN Tickets'!$L:$L=""OLT SERVICE DEGRADATION""), 1), """")
"),"")</f>
        <v/>
      </c>
      <c r="N306" s="6" t="b">
        <v>0</v>
      </c>
      <c r="O306" s="6" t="b">
        <v>0</v>
      </c>
      <c r="P306" s="6" t="b">
        <v>0</v>
      </c>
      <c r="Q306" s="6" t="b">
        <v>0</v>
      </c>
      <c r="R306" s="6"/>
      <c r="S306" s="6"/>
      <c r="T306" s="6"/>
      <c r="U306" s="6"/>
    </row>
    <row r="307">
      <c r="A307" s="19"/>
      <c r="B307" s="26" t="s">
        <v>539</v>
      </c>
      <c r="C307" s="26" t="s">
        <v>557</v>
      </c>
      <c r="D307" s="27" t="s">
        <v>559</v>
      </c>
      <c r="E307" s="6" t="b">
        <f t="shared" si="1"/>
        <v>1</v>
      </c>
      <c r="F307" s="6" t="b">
        <f>COUNTIFS('OLT DOWN Tickets'!$AB:$AB, "*" &amp; D307 &amp; "*", 'OLT DOWN Tickets'!$L:$L, "OLT DOWN") &gt; 0</f>
        <v>0</v>
      </c>
      <c r="G307" s="6" t="b">
        <f>COUNTIFS('OLT DOWN Tickets'!$AB:$AB, "*" &amp; D307 &amp; "*", 'OLT DOWN Tickets'!$L:$L, "OLT UPLINK LOW POWER") &gt; 0</f>
        <v>0</v>
      </c>
      <c r="H307" s="6" t="b">
        <f>COUNTIFS('OLT DOWN Tickets'!$AB:$AB, "*" &amp; D307 &amp; "*", 'OLT DOWN Tickets'!$L:$L, "OLT UPLINK DOWN") &gt; 0</f>
        <v>0</v>
      </c>
      <c r="I307" s="6" t="b">
        <f>COUNTIFS('OLT DOWN Tickets'!$AB:$AB, "*" &amp; D307 &amp; "*", 'OLT DOWN Tickets'!$L:$L, "OLT SERVICE DEGRADATION") &gt; 0</f>
        <v>0</v>
      </c>
      <c r="J307" s="32" t="str">
        <f>IFERROR(__xludf.DUMMYFUNCTION("IFERROR(INDEX(FILTER('OLT DOWN Tickets'!$F:$F, REGEXMATCH('OLT DOWN Tickets'!$AB:$AB, ""(?i)""&amp;TRIM(D307)), 'OLT DOWN Tickets'!$L:$L=""OLT DOWN""), 1), """")"),"")</f>
        <v/>
      </c>
      <c r="K307" s="32" t="str">
        <f>IFERROR(__xludf.DUMMYFUNCTION("IFERROR(INDEX(FILTER('OLT DOWN Tickets'!$F:$F, REGEXMATCH('OLT DOWN Tickets'!$AB:$AB, ""(?i)""&amp;TRIM(D307)), 'OLT DOWN Tickets'!$L:$L=""OLT UPLINK LOW POWER""), 1), """")"),"")</f>
        <v/>
      </c>
      <c r="L307" s="32" t="str">
        <f>IFERROR(__xludf.DUMMYFUNCTION("IFERROR(INDEX(FILTER('OLT DOWN Tickets'!$F:$F, REGEXMATCH('OLT DOWN Tickets'!$AB:$AB, ""(?i)""&amp;TRIM(D307)), 'OLT DOWN Tickets'!$L:$L=""OLT UPLINK DOWN""), 1), """")"),"")</f>
        <v/>
      </c>
      <c r="M307" s="32" t="str">
        <f>IFERROR(__xludf.DUMMYFUNCTION("IFERROR(INDEX(FILTER('OLT DOWN Tickets'!$F:$F, REGEXMATCH('OLT DOWN Tickets'!$AB:$AB, ""(?i)""&amp;TRIM(D307)), 'OLT DOWN Tickets'!$L:$L=""OLT SERVICE DEGRADATION""), 1), """")
"),"")</f>
        <v/>
      </c>
      <c r="N307" s="6" t="b">
        <v>0</v>
      </c>
      <c r="O307" s="6" t="b">
        <v>0</v>
      </c>
      <c r="P307" s="6" t="b">
        <v>0</v>
      </c>
      <c r="Q307" s="6" t="b">
        <v>0</v>
      </c>
      <c r="R307" s="6"/>
      <c r="S307" s="6"/>
      <c r="T307" s="6"/>
      <c r="U307" s="6"/>
    </row>
    <row r="308">
      <c r="A308" s="19"/>
      <c r="B308" s="26" t="s">
        <v>539</v>
      </c>
      <c r="C308" s="26" t="s">
        <v>560</v>
      </c>
      <c r="D308" s="27" t="s">
        <v>561</v>
      </c>
      <c r="E308" s="6" t="b">
        <f t="shared" si="1"/>
        <v>1</v>
      </c>
      <c r="F308" s="6" t="b">
        <f>COUNTIFS('OLT DOWN Tickets'!$AB:$AB, "*" &amp; D308 &amp; "*", 'OLT DOWN Tickets'!$L:$L, "OLT DOWN") &gt; 0</f>
        <v>0</v>
      </c>
      <c r="G308" s="6" t="b">
        <f>COUNTIFS('OLT DOWN Tickets'!$AB:$AB, "*" &amp; D308 &amp; "*", 'OLT DOWN Tickets'!$L:$L, "OLT UPLINK LOW POWER") &gt; 0</f>
        <v>0</v>
      </c>
      <c r="H308" s="6" t="b">
        <f>COUNTIFS('OLT DOWN Tickets'!$AB:$AB, "*" &amp; D308 &amp; "*", 'OLT DOWN Tickets'!$L:$L, "OLT UPLINK DOWN") &gt; 0</f>
        <v>0</v>
      </c>
      <c r="I308" s="6" t="b">
        <f>COUNTIFS('OLT DOWN Tickets'!$AB:$AB, "*" &amp; D308 &amp; "*", 'OLT DOWN Tickets'!$L:$L, "OLT SERVICE DEGRADATION") &gt; 0</f>
        <v>0</v>
      </c>
      <c r="J308" s="32" t="str">
        <f>IFERROR(__xludf.DUMMYFUNCTION("IFERROR(INDEX(FILTER('OLT DOWN Tickets'!$F:$F, REGEXMATCH('OLT DOWN Tickets'!$AB:$AB, ""(?i)""&amp;TRIM(D308)), 'OLT DOWN Tickets'!$L:$L=""OLT DOWN""), 1), """")"),"")</f>
        <v/>
      </c>
      <c r="K308" s="32" t="str">
        <f>IFERROR(__xludf.DUMMYFUNCTION("IFERROR(INDEX(FILTER('OLT DOWN Tickets'!$F:$F, REGEXMATCH('OLT DOWN Tickets'!$AB:$AB, ""(?i)""&amp;TRIM(D308)), 'OLT DOWN Tickets'!$L:$L=""OLT UPLINK LOW POWER""), 1), """")"),"")</f>
        <v/>
      </c>
      <c r="L308" s="32" t="str">
        <f>IFERROR(__xludf.DUMMYFUNCTION("IFERROR(INDEX(FILTER('OLT DOWN Tickets'!$F:$F, REGEXMATCH('OLT DOWN Tickets'!$AB:$AB, ""(?i)""&amp;TRIM(D308)), 'OLT DOWN Tickets'!$L:$L=""OLT UPLINK DOWN""), 1), """")"),"")</f>
        <v/>
      </c>
      <c r="M308" s="32" t="str">
        <f>IFERROR(__xludf.DUMMYFUNCTION("IFERROR(INDEX(FILTER('OLT DOWN Tickets'!$F:$F, REGEXMATCH('OLT DOWN Tickets'!$AB:$AB, ""(?i)""&amp;TRIM(D308)), 'OLT DOWN Tickets'!$L:$L=""OLT SERVICE DEGRADATION""), 1), """")
"),"")</f>
        <v/>
      </c>
      <c r="N308" s="6" t="b">
        <v>0</v>
      </c>
      <c r="O308" s="6" t="b">
        <v>0</v>
      </c>
      <c r="P308" s="6" t="b">
        <v>0</v>
      </c>
      <c r="Q308" s="6" t="b">
        <v>0</v>
      </c>
      <c r="R308" s="6"/>
      <c r="S308" s="6"/>
      <c r="T308" s="6"/>
      <c r="U308" s="6"/>
    </row>
    <row r="309">
      <c r="A309" s="19"/>
      <c r="B309" s="26" t="s">
        <v>539</v>
      </c>
      <c r="C309" s="26" t="s">
        <v>562</v>
      </c>
      <c r="D309" s="27" t="s">
        <v>563</v>
      </c>
      <c r="E309" s="6" t="b">
        <f t="shared" si="1"/>
        <v>1</v>
      </c>
      <c r="F309" s="6" t="b">
        <f>COUNTIFS('OLT DOWN Tickets'!$AB:$AB, "*" &amp; D309 &amp; "*", 'OLT DOWN Tickets'!$L:$L, "OLT DOWN") &gt; 0</f>
        <v>0</v>
      </c>
      <c r="G309" s="6" t="b">
        <f>COUNTIFS('OLT DOWN Tickets'!$AB:$AB, "*" &amp; D309 &amp; "*", 'OLT DOWN Tickets'!$L:$L, "OLT UPLINK LOW POWER") &gt; 0</f>
        <v>0</v>
      </c>
      <c r="H309" s="6" t="b">
        <f>COUNTIFS('OLT DOWN Tickets'!$AB:$AB, "*" &amp; D309 &amp; "*", 'OLT DOWN Tickets'!$L:$L, "OLT UPLINK DOWN") &gt; 0</f>
        <v>0</v>
      </c>
      <c r="I309" s="6" t="b">
        <f>COUNTIFS('OLT DOWN Tickets'!$AB:$AB, "*" &amp; D309 &amp; "*", 'OLT DOWN Tickets'!$L:$L, "OLT SERVICE DEGRADATION") &gt; 0</f>
        <v>0</v>
      </c>
      <c r="J309" s="32" t="str">
        <f>IFERROR(__xludf.DUMMYFUNCTION("IFERROR(INDEX(FILTER('OLT DOWN Tickets'!$F:$F, REGEXMATCH('OLT DOWN Tickets'!$AB:$AB, ""(?i)""&amp;TRIM(D309)), 'OLT DOWN Tickets'!$L:$L=""OLT DOWN""), 1), """")"),"")</f>
        <v/>
      </c>
      <c r="K309" s="32" t="str">
        <f>IFERROR(__xludf.DUMMYFUNCTION("IFERROR(INDEX(FILTER('OLT DOWN Tickets'!$F:$F, REGEXMATCH('OLT DOWN Tickets'!$AB:$AB, ""(?i)""&amp;TRIM(D309)), 'OLT DOWN Tickets'!$L:$L=""OLT UPLINK LOW POWER""), 1), """")"),"")</f>
        <v/>
      </c>
      <c r="L309" s="32" t="str">
        <f>IFERROR(__xludf.DUMMYFUNCTION("IFERROR(INDEX(FILTER('OLT DOWN Tickets'!$F:$F, REGEXMATCH('OLT DOWN Tickets'!$AB:$AB, ""(?i)""&amp;TRIM(D309)), 'OLT DOWN Tickets'!$L:$L=""OLT UPLINK DOWN""), 1), """")"),"")</f>
        <v/>
      </c>
      <c r="M309" s="32" t="str">
        <f>IFERROR(__xludf.DUMMYFUNCTION("IFERROR(INDEX(FILTER('OLT DOWN Tickets'!$F:$F, REGEXMATCH('OLT DOWN Tickets'!$AB:$AB, ""(?i)""&amp;TRIM(D309)), 'OLT DOWN Tickets'!$L:$L=""OLT SERVICE DEGRADATION""), 1), """")
"),"")</f>
        <v/>
      </c>
      <c r="N309" s="6" t="b">
        <v>0</v>
      </c>
      <c r="O309" s="6" t="b">
        <v>0</v>
      </c>
      <c r="P309" s="6" t="b">
        <v>0</v>
      </c>
      <c r="Q309" s="6" t="b">
        <v>0</v>
      </c>
      <c r="R309" s="6"/>
      <c r="S309" s="6"/>
      <c r="T309" s="6"/>
      <c r="U309" s="6"/>
    </row>
    <row r="310">
      <c r="A310" s="19"/>
      <c r="B310" s="26" t="s">
        <v>539</v>
      </c>
      <c r="C310" s="26" t="s">
        <v>562</v>
      </c>
      <c r="D310" s="27" t="s">
        <v>564</v>
      </c>
      <c r="E310" s="6" t="b">
        <f t="shared" si="1"/>
        <v>1</v>
      </c>
      <c r="F310" s="6" t="b">
        <f>COUNTIFS('OLT DOWN Tickets'!$AB:$AB, "*" &amp; D310 &amp; "*", 'OLT DOWN Tickets'!$L:$L, "OLT DOWN") &gt; 0</f>
        <v>0</v>
      </c>
      <c r="G310" s="6" t="b">
        <f>COUNTIFS('OLT DOWN Tickets'!$AB:$AB, "*" &amp; D310 &amp; "*", 'OLT DOWN Tickets'!$L:$L, "OLT UPLINK LOW POWER") &gt; 0</f>
        <v>0</v>
      </c>
      <c r="H310" s="6" t="b">
        <f>COUNTIFS('OLT DOWN Tickets'!$AB:$AB, "*" &amp; D310 &amp; "*", 'OLT DOWN Tickets'!$L:$L, "OLT UPLINK DOWN") &gt; 0</f>
        <v>0</v>
      </c>
      <c r="I310" s="6" t="b">
        <f>COUNTIFS('OLT DOWN Tickets'!$AB:$AB, "*" &amp; D310 &amp; "*", 'OLT DOWN Tickets'!$L:$L, "OLT SERVICE DEGRADATION") &gt; 0</f>
        <v>0</v>
      </c>
      <c r="J310" s="32" t="str">
        <f>IFERROR(__xludf.DUMMYFUNCTION("IFERROR(INDEX(FILTER('OLT DOWN Tickets'!$F:$F, REGEXMATCH('OLT DOWN Tickets'!$AB:$AB, ""(?i)""&amp;TRIM(D310)), 'OLT DOWN Tickets'!$L:$L=""OLT DOWN""), 1), """")"),"")</f>
        <v/>
      </c>
      <c r="K310" s="32" t="str">
        <f>IFERROR(__xludf.DUMMYFUNCTION("IFERROR(INDEX(FILTER('OLT DOWN Tickets'!$F:$F, REGEXMATCH('OLT DOWN Tickets'!$AB:$AB, ""(?i)""&amp;TRIM(D310)), 'OLT DOWN Tickets'!$L:$L=""OLT UPLINK LOW POWER""), 1), """")"),"")</f>
        <v/>
      </c>
      <c r="L310" s="32" t="str">
        <f>IFERROR(__xludf.DUMMYFUNCTION("IFERROR(INDEX(FILTER('OLT DOWN Tickets'!$F:$F, REGEXMATCH('OLT DOWN Tickets'!$AB:$AB, ""(?i)""&amp;TRIM(D310)), 'OLT DOWN Tickets'!$L:$L=""OLT UPLINK DOWN""), 1), """")"),"")</f>
        <v/>
      </c>
      <c r="M310" s="32" t="str">
        <f>IFERROR(__xludf.DUMMYFUNCTION("IFERROR(INDEX(FILTER('OLT DOWN Tickets'!$F:$F, REGEXMATCH('OLT DOWN Tickets'!$AB:$AB, ""(?i)""&amp;TRIM(D310)), 'OLT DOWN Tickets'!$L:$L=""OLT SERVICE DEGRADATION""), 1), """")
"),"")</f>
        <v/>
      </c>
      <c r="N310" s="6" t="b">
        <v>0</v>
      </c>
      <c r="O310" s="6" t="b">
        <v>0</v>
      </c>
      <c r="P310" s="6" t="b">
        <v>0</v>
      </c>
      <c r="Q310" s="6" t="b">
        <v>0</v>
      </c>
      <c r="R310" s="6"/>
      <c r="S310" s="6"/>
      <c r="T310" s="6"/>
      <c r="U310" s="6"/>
    </row>
    <row r="311">
      <c r="A311" s="19"/>
      <c r="B311" s="26" t="s">
        <v>539</v>
      </c>
      <c r="C311" s="26" t="s">
        <v>562</v>
      </c>
      <c r="D311" s="27" t="s">
        <v>565</v>
      </c>
      <c r="E311" s="6" t="b">
        <f t="shared" si="1"/>
        <v>1</v>
      </c>
      <c r="F311" s="6" t="b">
        <f>COUNTIFS('OLT DOWN Tickets'!$AB:$AB, "*" &amp; D311 &amp; "*", 'OLT DOWN Tickets'!$L:$L, "OLT DOWN") &gt; 0</f>
        <v>0</v>
      </c>
      <c r="G311" s="6" t="b">
        <f>COUNTIFS('OLT DOWN Tickets'!$AB:$AB, "*" &amp; D311 &amp; "*", 'OLT DOWN Tickets'!$L:$L, "OLT UPLINK LOW POWER") &gt; 0</f>
        <v>0</v>
      </c>
      <c r="H311" s="6" t="b">
        <f>COUNTIFS('OLT DOWN Tickets'!$AB:$AB, "*" &amp; D311 &amp; "*", 'OLT DOWN Tickets'!$L:$L, "OLT UPLINK DOWN") &gt; 0</f>
        <v>0</v>
      </c>
      <c r="I311" s="6" t="b">
        <f>COUNTIFS('OLT DOWN Tickets'!$AB:$AB, "*" &amp; D311 &amp; "*", 'OLT DOWN Tickets'!$L:$L, "OLT SERVICE DEGRADATION") &gt; 0</f>
        <v>0</v>
      </c>
      <c r="J311" s="32" t="str">
        <f>IFERROR(__xludf.DUMMYFUNCTION("IFERROR(INDEX(FILTER('OLT DOWN Tickets'!$F:$F, REGEXMATCH('OLT DOWN Tickets'!$AB:$AB, ""(?i)""&amp;TRIM(D311)), 'OLT DOWN Tickets'!$L:$L=""OLT DOWN""), 1), """")"),"")</f>
        <v/>
      </c>
      <c r="K311" s="32" t="str">
        <f>IFERROR(__xludf.DUMMYFUNCTION("IFERROR(INDEX(FILTER('OLT DOWN Tickets'!$F:$F, REGEXMATCH('OLT DOWN Tickets'!$AB:$AB, ""(?i)""&amp;TRIM(D311)), 'OLT DOWN Tickets'!$L:$L=""OLT UPLINK LOW POWER""), 1), """")"),"")</f>
        <v/>
      </c>
      <c r="L311" s="32" t="str">
        <f>IFERROR(__xludf.DUMMYFUNCTION("IFERROR(INDEX(FILTER('OLT DOWN Tickets'!$F:$F, REGEXMATCH('OLT DOWN Tickets'!$AB:$AB, ""(?i)""&amp;TRIM(D311)), 'OLT DOWN Tickets'!$L:$L=""OLT UPLINK DOWN""), 1), """")"),"")</f>
        <v/>
      </c>
      <c r="M311" s="32" t="str">
        <f>IFERROR(__xludf.DUMMYFUNCTION("IFERROR(INDEX(FILTER('OLT DOWN Tickets'!$F:$F, REGEXMATCH('OLT DOWN Tickets'!$AB:$AB, ""(?i)""&amp;TRIM(D311)), 'OLT DOWN Tickets'!$L:$L=""OLT SERVICE DEGRADATION""), 1), """")
"),"")</f>
        <v/>
      </c>
      <c r="N311" s="6" t="b">
        <v>0</v>
      </c>
      <c r="O311" s="6" t="b">
        <v>0</v>
      </c>
      <c r="P311" s="6" t="b">
        <v>0</v>
      </c>
      <c r="Q311" s="6" t="b">
        <v>0</v>
      </c>
      <c r="R311" s="6"/>
      <c r="S311" s="6"/>
      <c r="T311" s="6"/>
      <c r="U311" s="6"/>
    </row>
    <row r="312">
      <c r="A312" s="19"/>
      <c r="B312" s="26" t="s">
        <v>539</v>
      </c>
      <c r="C312" s="26" t="s">
        <v>566</v>
      </c>
      <c r="D312" s="27" t="s">
        <v>567</v>
      </c>
      <c r="E312" s="6" t="b">
        <f t="shared" si="1"/>
        <v>1</v>
      </c>
      <c r="F312" s="6" t="b">
        <f>COUNTIFS('OLT DOWN Tickets'!$AB:$AB, "*" &amp; D312 &amp; "*", 'OLT DOWN Tickets'!$L:$L, "OLT DOWN") &gt; 0</f>
        <v>0</v>
      </c>
      <c r="G312" s="6" t="b">
        <f>COUNTIFS('OLT DOWN Tickets'!$AB:$AB, "*" &amp; D312 &amp; "*", 'OLT DOWN Tickets'!$L:$L, "OLT UPLINK LOW POWER") &gt; 0</f>
        <v>0</v>
      </c>
      <c r="H312" s="6" t="b">
        <f>COUNTIFS('OLT DOWN Tickets'!$AB:$AB, "*" &amp; D312 &amp; "*", 'OLT DOWN Tickets'!$L:$L, "OLT UPLINK DOWN") &gt; 0</f>
        <v>0</v>
      </c>
      <c r="I312" s="6" t="b">
        <f>COUNTIFS('OLT DOWN Tickets'!$AB:$AB, "*" &amp; D312 &amp; "*", 'OLT DOWN Tickets'!$L:$L, "OLT SERVICE DEGRADATION") &gt; 0</f>
        <v>0</v>
      </c>
      <c r="J312" s="32" t="str">
        <f>IFERROR(__xludf.DUMMYFUNCTION("IFERROR(INDEX(FILTER('OLT DOWN Tickets'!$F:$F, REGEXMATCH('OLT DOWN Tickets'!$AB:$AB, ""(?i)""&amp;TRIM(D312)), 'OLT DOWN Tickets'!$L:$L=""OLT DOWN""), 1), """")"),"")</f>
        <v/>
      </c>
      <c r="K312" s="32" t="str">
        <f>IFERROR(__xludf.DUMMYFUNCTION("IFERROR(INDEX(FILTER('OLT DOWN Tickets'!$F:$F, REGEXMATCH('OLT DOWN Tickets'!$AB:$AB, ""(?i)""&amp;TRIM(D312)), 'OLT DOWN Tickets'!$L:$L=""OLT UPLINK LOW POWER""), 1), """")"),"")</f>
        <v/>
      </c>
      <c r="L312" s="32" t="str">
        <f>IFERROR(__xludf.DUMMYFUNCTION("IFERROR(INDEX(FILTER('OLT DOWN Tickets'!$F:$F, REGEXMATCH('OLT DOWN Tickets'!$AB:$AB, ""(?i)""&amp;TRIM(D312)), 'OLT DOWN Tickets'!$L:$L=""OLT UPLINK DOWN""), 1), """")"),"")</f>
        <v/>
      </c>
      <c r="M312" s="32" t="str">
        <f>IFERROR(__xludf.DUMMYFUNCTION("IFERROR(INDEX(FILTER('OLT DOWN Tickets'!$F:$F, REGEXMATCH('OLT DOWN Tickets'!$AB:$AB, ""(?i)""&amp;TRIM(D312)), 'OLT DOWN Tickets'!$L:$L=""OLT SERVICE DEGRADATION""), 1), """")
"),"")</f>
        <v/>
      </c>
      <c r="N312" s="6" t="b">
        <v>0</v>
      </c>
      <c r="O312" s="6" t="b">
        <v>0</v>
      </c>
      <c r="P312" s="6" t="b">
        <v>0</v>
      </c>
      <c r="Q312" s="6" t="b">
        <v>0</v>
      </c>
      <c r="R312" s="6"/>
      <c r="S312" s="6"/>
      <c r="T312" s="6"/>
      <c r="U312" s="6"/>
    </row>
    <row r="313">
      <c r="A313" s="19"/>
      <c r="B313" s="26" t="s">
        <v>539</v>
      </c>
      <c r="C313" s="26" t="s">
        <v>515</v>
      </c>
      <c r="D313" s="27" t="s">
        <v>568</v>
      </c>
      <c r="E313" s="6" t="b">
        <f t="shared" si="1"/>
        <v>1</v>
      </c>
      <c r="F313" s="6" t="b">
        <f>COUNTIFS('OLT DOWN Tickets'!$AB:$AB, "*" &amp; D313 &amp; "*", 'OLT DOWN Tickets'!$L:$L, "OLT DOWN") &gt; 0</f>
        <v>0</v>
      </c>
      <c r="G313" s="6" t="b">
        <f>COUNTIFS('OLT DOWN Tickets'!$AB:$AB, "*" &amp; D313 &amp; "*", 'OLT DOWN Tickets'!$L:$L, "OLT UPLINK LOW POWER") &gt; 0</f>
        <v>0</v>
      </c>
      <c r="H313" s="6" t="b">
        <f>COUNTIFS('OLT DOWN Tickets'!$AB:$AB, "*" &amp; D313 &amp; "*", 'OLT DOWN Tickets'!$L:$L, "OLT UPLINK DOWN") &gt; 0</f>
        <v>0</v>
      </c>
      <c r="I313" s="6" t="b">
        <f>COUNTIFS('OLT DOWN Tickets'!$AB:$AB, "*" &amp; D313 &amp; "*", 'OLT DOWN Tickets'!$L:$L, "OLT SERVICE DEGRADATION") &gt; 0</f>
        <v>0</v>
      </c>
      <c r="J313" s="32" t="str">
        <f>IFERROR(__xludf.DUMMYFUNCTION("IFERROR(INDEX(FILTER('OLT DOWN Tickets'!$F:$F, REGEXMATCH('OLT DOWN Tickets'!$AB:$AB, ""(?i)""&amp;TRIM(D313)), 'OLT DOWN Tickets'!$L:$L=""OLT DOWN""), 1), """")"),"")</f>
        <v/>
      </c>
      <c r="K313" s="32" t="str">
        <f>IFERROR(__xludf.DUMMYFUNCTION("IFERROR(INDEX(FILTER('OLT DOWN Tickets'!$F:$F, REGEXMATCH('OLT DOWN Tickets'!$AB:$AB, ""(?i)""&amp;TRIM(D313)), 'OLT DOWN Tickets'!$L:$L=""OLT UPLINK LOW POWER""), 1), """")"),"")</f>
        <v/>
      </c>
      <c r="L313" s="32" t="str">
        <f>IFERROR(__xludf.DUMMYFUNCTION("IFERROR(INDEX(FILTER('OLT DOWN Tickets'!$F:$F, REGEXMATCH('OLT DOWN Tickets'!$AB:$AB, ""(?i)""&amp;TRIM(D313)), 'OLT DOWN Tickets'!$L:$L=""OLT UPLINK DOWN""), 1), """")"),"")</f>
        <v/>
      </c>
      <c r="M313" s="32" t="str">
        <f>IFERROR(__xludf.DUMMYFUNCTION("IFERROR(INDEX(FILTER('OLT DOWN Tickets'!$F:$F, REGEXMATCH('OLT DOWN Tickets'!$AB:$AB, ""(?i)""&amp;TRIM(D313)), 'OLT DOWN Tickets'!$L:$L=""OLT SERVICE DEGRADATION""), 1), """")
"),"")</f>
        <v/>
      </c>
      <c r="N313" s="6" t="b">
        <v>0</v>
      </c>
      <c r="O313" s="6" t="b">
        <v>0</v>
      </c>
      <c r="P313" s="6" t="b">
        <v>0</v>
      </c>
      <c r="Q313" s="6" t="b">
        <v>0</v>
      </c>
      <c r="R313" s="6"/>
      <c r="S313" s="6"/>
      <c r="T313" s="6"/>
      <c r="U313" s="6"/>
    </row>
    <row r="314">
      <c r="A314" s="19"/>
      <c r="B314" s="26" t="s">
        <v>539</v>
      </c>
      <c r="C314" s="26" t="s">
        <v>515</v>
      </c>
      <c r="D314" s="27" t="s">
        <v>569</v>
      </c>
      <c r="E314" s="6" t="b">
        <f t="shared" si="1"/>
        <v>1</v>
      </c>
      <c r="F314" s="6" t="b">
        <f>COUNTIFS('OLT DOWN Tickets'!$AB:$AB, "*" &amp; D314 &amp; "*", 'OLT DOWN Tickets'!$L:$L, "OLT DOWN") &gt; 0</f>
        <v>0</v>
      </c>
      <c r="G314" s="6" t="b">
        <f>COUNTIFS('OLT DOWN Tickets'!$AB:$AB, "*" &amp; D314 &amp; "*", 'OLT DOWN Tickets'!$L:$L, "OLT UPLINK LOW POWER") &gt; 0</f>
        <v>0</v>
      </c>
      <c r="H314" s="6" t="b">
        <f>COUNTIFS('OLT DOWN Tickets'!$AB:$AB, "*" &amp; D314 &amp; "*", 'OLT DOWN Tickets'!$L:$L, "OLT UPLINK DOWN") &gt; 0</f>
        <v>0</v>
      </c>
      <c r="I314" s="6" t="b">
        <f>COUNTIFS('OLT DOWN Tickets'!$AB:$AB, "*" &amp; D314 &amp; "*", 'OLT DOWN Tickets'!$L:$L, "OLT SERVICE DEGRADATION") &gt; 0</f>
        <v>0</v>
      </c>
      <c r="J314" s="32" t="str">
        <f>IFERROR(__xludf.DUMMYFUNCTION("IFERROR(INDEX(FILTER('OLT DOWN Tickets'!$F:$F, REGEXMATCH('OLT DOWN Tickets'!$AB:$AB, ""(?i)""&amp;TRIM(D314)), 'OLT DOWN Tickets'!$L:$L=""OLT DOWN""), 1), """")"),"")</f>
        <v/>
      </c>
      <c r="K314" s="32" t="str">
        <f>IFERROR(__xludf.DUMMYFUNCTION("IFERROR(INDEX(FILTER('OLT DOWN Tickets'!$F:$F, REGEXMATCH('OLT DOWN Tickets'!$AB:$AB, ""(?i)""&amp;TRIM(D314)), 'OLT DOWN Tickets'!$L:$L=""OLT UPLINK LOW POWER""), 1), """")"),"")</f>
        <v/>
      </c>
      <c r="L314" s="32" t="str">
        <f>IFERROR(__xludf.DUMMYFUNCTION("IFERROR(INDEX(FILTER('OLT DOWN Tickets'!$F:$F, REGEXMATCH('OLT DOWN Tickets'!$AB:$AB, ""(?i)""&amp;TRIM(D314)), 'OLT DOWN Tickets'!$L:$L=""OLT UPLINK DOWN""), 1), """")"),"")</f>
        <v/>
      </c>
      <c r="M314" s="32" t="str">
        <f>IFERROR(__xludf.DUMMYFUNCTION("IFERROR(INDEX(FILTER('OLT DOWN Tickets'!$F:$F, REGEXMATCH('OLT DOWN Tickets'!$AB:$AB, ""(?i)""&amp;TRIM(D314)), 'OLT DOWN Tickets'!$L:$L=""OLT SERVICE DEGRADATION""), 1), """")
"),"")</f>
        <v/>
      </c>
      <c r="N314" s="6" t="b">
        <v>0</v>
      </c>
      <c r="O314" s="6" t="b">
        <v>0</v>
      </c>
      <c r="P314" s="6" t="b">
        <v>0</v>
      </c>
      <c r="Q314" s="6" t="b">
        <v>0</v>
      </c>
      <c r="R314" s="6"/>
      <c r="S314" s="6"/>
      <c r="T314" s="6"/>
      <c r="U314" s="6"/>
    </row>
    <row r="315">
      <c r="A315" s="19"/>
      <c r="B315" s="26" t="s">
        <v>539</v>
      </c>
      <c r="C315" s="26" t="s">
        <v>570</v>
      </c>
      <c r="D315" s="27" t="s">
        <v>571</v>
      </c>
      <c r="E315" s="6" t="b">
        <f t="shared" si="1"/>
        <v>1</v>
      </c>
      <c r="F315" s="6" t="b">
        <f>COUNTIFS('OLT DOWN Tickets'!$AB:$AB, "*" &amp; D315 &amp; "*", 'OLT DOWN Tickets'!$L:$L, "OLT DOWN") &gt; 0</f>
        <v>0</v>
      </c>
      <c r="G315" s="6" t="b">
        <f>COUNTIFS('OLT DOWN Tickets'!$AB:$AB, "*" &amp; D315 &amp; "*", 'OLT DOWN Tickets'!$L:$L, "OLT UPLINK LOW POWER") &gt; 0</f>
        <v>0</v>
      </c>
      <c r="H315" s="6" t="b">
        <f>COUNTIFS('OLT DOWN Tickets'!$AB:$AB, "*" &amp; D315 &amp; "*", 'OLT DOWN Tickets'!$L:$L, "OLT UPLINK DOWN") &gt; 0</f>
        <v>0</v>
      </c>
      <c r="I315" s="6" t="b">
        <f>COUNTIFS('OLT DOWN Tickets'!$AB:$AB, "*" &amp; D315 &amp; "*", 'OLT DOWN Tickets'!$L:$L, "OLT SERVICE DEGRADATION") &gt; 0</f>
        <v>0</v>
      </c>
      <c r="J315" s="32" t="str">
        <f>IFERROR(__xludf.DUMMYFUNCTION("IFERROR(INDEX(FILTER('OLT DOWN Tickets'!$F:$F, REGEXMATCH('OLT DOWN Tickets'!$AB:$AB, ""(?i)""&amp;TRIM(D315)), 'OLT DOWN Tickets'!$L:$L=""OLT DOWN""), 1), """")"),"")</f>
        <v/>
      </c>
      <c r="K315" s="32" t="str">
        <f>IFERROR(__xludf.DUMMYFUNCTION("IFERROR(INDEX(FILTER('OLT DOWN Tickets'!$F:$F, REGEXMATCH('OLT DOWN Tickets'!$AB:$AB, ""(?i)""&amp;TRIM(D315)), 'OLT DOWN Tickets'!$L:$L=""OLT UPLINK LOW POWER""), 1), """")"),"")</f>
        <v/>
      </c>
      <c r="L315" s="32" t="str">
        <f>IFERROR(__xludf.DUMMYFUNCTION("IFERROR(INDEX(FILTER('OLT DOWN Tickets'!$F:$F, REGEXMATCH('OLT DOWN Tickets'!$AB:$AB, ""(?i)""&amp;TRIM(D315)), 'OLT DOWN Tickets'!$L:$L=""OLT UPLINK DOWN""), 1), """")"),"")</f>
        <v/>
      </c>
      <c r="M315" s="32" t="str">
        <f>IFERROR(__xludf.DUMMYFUNCTION("IFERROR(INDEX(FILTER('OLT DOWN Tickets'!$F:$F, REGEXMATCH('OLT DOWN Tickets'!$AB:$AB, ""(?i)""&amp;TRIM(D315)), 'OLT DOWN Tickets'!$L:$L=""OLT SERVICE DEGRADATION""), 1), """")
"),"")</f>
        <v/>
      </c>
      <c r="N315" s="6" t="b">
        <v>0</v>
      </c>
      <c r="O315" s="6" t="b">
        <v>0</v>
      </c>
      <c r="P315" s="6" t="b">
        <v>0</v>
      </c>
      <c r="Q315" s="6" t="b">
        <v>0</v>
      </c>
      <c r="R315" s="6"/>
      <c r="S315" s="6"/>
      <c r="T315" s="6"/>
      <c r="U315" s="6"/>
    </row>
    <row r="316">
      <c r="A316" s="19"/>
      <c r="B316" s="26" t="s">
        <v>572</v>
      </c>
      <c r="C316" s="26" t="s">
        <v>158</v>
      </c>
      <c r="D316" s="27" t="s">
        <v>573</v>
      </c>
      <c r="E316" s="6" t="b">
        <f t="shared" si="1"/>
        <v>1</v>
      </c>
      <c r="F316" s="6" t="b">
        <f>COUNTIFS('OLT DOWN Tickets'!$AB:$AB, "*" &amp; D316 &amp; "*", 'OLT DOWN Tickets'!$L:$L, "OLT DOWN") &gt; 0</f>
        <v>0</v>
      </c>
      <c r="G316" s="6" t="b">
        <f>COUNTIFS('OLT DOWN Tickets'!$AB:$AB, "*" &amp; D316 &amp; "*", 'OLT DOWN Tickets'!$L:$L, "OLT UPLINK LOW POWER") &gt; 0</f>
        <v>0</v>
      </c>
      <c r="H316" s="6" t="b">
        <f>COUNTIFS('OLT DOWN Tickets'!$AB:$AB, "*" &amp; D316 &amp; "*", 'OLT DOWN Tickets'!$L:$L, "OLT UPLINK DOWN") &gt; 0</f>
        <v>0</v>
      </c>
      <c r="I316" s="6" t="b">
        <f>COUNTIFS('OLT DOWN Tickets'!$AB:$AB, "*" &amp; D316 &amp; "*", 'OLT DOWN Tickets'!$L:$L, "OLT SERVICE DEGRADATION") &gt; 0</f>
        <v>0</v>
      </c>
      <c r="J316" s="32" t="str">
        <f>IFERROR(__xludf.DUMMYFUNCTION("IFERROR(INDEX(FILTER('OLT DOWN Tickets'!$F:$F, REGEXMATCH('OLT DOWN Tickets'!$AB:$AB, ""(?i)""&amp;TRIM(D316)), 'OLT DOWN Tickets'!$L:$L=""OLT DOWN""), 1), """")"),"")</f>
        <v/>
      </c>
      <c r="K316" s="32" t="str">
        <f>IFERROR(__xludf.DUMMYFUNCTION("IFERROR(INDEX(FILTER('OLT DOWN Tickets'!$F:$F, REGEXMATCH('OLT DOWN Tickets'!$AB:$AB, ""(?i)""&amp;TRIM(D316)), 'OLT DOWN Tickets'!$L:$L=""OLT UPLINK LOW POWER""), 1), """")"),"")</f>
        <v/>
      </c>
      <c r="L316" s="32" t="str">
        <f>IFERROR(__xludf.DUMMYFUNCTION("IFERROR(INDEX(FILTER('OLT DOWN Tickets'!$F:$F, REGEXMATCH('OLT DOWN Tickets'!$AB:$AB, ""(?i)""&amp;TRIM(D316)), 'OLT DOWN Tickets'!$L:$L=""OLT UPLINK DOWN""), 1), """")"),"")</f>
        <v/>
      </c>
      <c r="M316" s="32" t="str">
        <f>IFERROR(__xludf.DUMMYFUNCTION("IFERROR(INDEX(FILTER('OLT DOWN Tickets'!$F:$F, REGEXMATCH('OLT DOWN Tickets'!$AB:$AB, ""(?i)""&amp;TRIM(D316)), 'OLT DOWN Tickets'!$L:$L=""OLT SERVICE DEGRADATION""), 1), """")
"),"")</f>
        <v/>
      </c>
      <c r="N316" s="6" t="b">
        <v>0</v>
      </c>
      <c r="O316" s="6" t="b">
        <v>0</v>
      </c>
      <c r="P316" s="6" t="b">
        <v>0</v>
      </c>
      <c r="Q316" s="6" t="b">
        <v>0</v>
      </c>
      <c r="R316" s="6"/>
      <c r="S316" s="6"/>
      <c r="T316" s="6"/>
      <c r="U316" s="6"/>
    </row>
    <row r="317">
      <c r="A317" s="19"/>
      <c r="B317" s="26" t="s">
        <v>572</v>
      </c>
      <c r="C317" s="26" t="s">
        <v>184</v>
      </c>
      <c r="D317" s="27" t="s">
        <v>574</v>
      </c>
      <c r="E317" s="6" t="b">
        <f t="shared" si="1"/>
        <v>1</v>
      </c>
      <c r="F317" s="6" t="b">
        <f>COUNTIFS('OLT DOWN Tickets'!$AB:$AB, "*" &amp; D317 &amp; "*", 'OLT DOWN Tickets'!$L:$L, "OLT DOWN") &gt; 0</f>
        <v>0</v>
      </c>
      <c r="G317" s="6" t="b">
        <f>COUNTIFS('OLT DOWN Tickets'!$AB:$AB, "*" &amp; D317 &amp; "*", 'OLT DOWN Tickets'!$L:$L, "OLT UPLINK LOW POWER") &gt; 0</f>
        <v>0</v>
      </c>
      <c r="H317" s="6" t="b">
        <f>COUNTIFS('OLT DOWN Tickets'!$AB:$AB, "*" &amp; D317 &amp; "*", 'OLT DOWN Tickets'!$L:$L, "OLT UPLINK DOWN") &gt; 0</f>
        <v>0</v>
      </c>
      <c r="I317" s="6" t="b">
        <f>COUNTIFS('OLT DOWN Tickets'!$AB:$AB, "*" &amp; D317 &amp; "*", 'OLT DOWN Tickets'!$L:$L, "OLT SERVICE DEGRADATION") &gt; 0</f>
        <v>0</v>
      </c>
      <c r="J317" s="32" t="str">
        <f>IFERROR(__xludf.DUMMYFUNCTION("IFERROR(INDEX(FILTER('OLT DOWN Tickets'!$F:$F, REGEXMATCH('OLT DOWN Tickets'!$AB:$AB, ""(?i)""&amp;TRIM(D317)), 'OLT DOWN Tickets'!$L:$L=""OLT DOWN""), 1), """")"),"")</f>
        <v/>
      </c>
      <c r="K317" s="32" t="str">
        <f>IFERROR(__xludf.DUMMYFUNCTION("IFERROR(INDEX(FILTER('OLT DOWN Tickets'!$F:$F, REGEXMATCH('OLT DOWN Tickets'!$AB:$AB, ""(?i)""&amp;TRIM(D317)), 'OLT DOWN Tickets'!$L:$L=""OLT UPLINK LOW POWER""), 1), """")"),"")</f>
        <v/>
      </c>
      <c r="L317" s="32" t="str">
        <f>IFERROR(__xludf.DUMMYFUNCTION("IFERROR(INDEX(FILTER('OLT DOWN Tickets'!$F:$F, REGEXMATCH('OLT DOWN Tickets'!$AB:$AB, ""(?i)""&amp;TRIM(D317)), 'OLT DOWN Tickets'!$L:$L=""OLT UPLINK DOWN""), 1), """")"),"")</f>
        <v/>
      </c>
      <c r="M317" s="32" t="str">
        <f>IFERROR(__xludf.DUMMYFUNCTION("IFERROR(INDEX(FILTER('OLT DOWN Tickets'!$F:$F, REGEXMATCH('OLT DOWN Tickets'!$AB:$AB, ""(?i)""&amp;TRIM(D317)), 'OLT DOWN Tickets'!$L:$L=""OLT SERVICE DEGRADATION""), 1), """")
"),"")</f>
        <v/>
      </c>
      <c r="N317" s="6" t="b">
        <v>0</v>
      </c>
      <c r="O317" s="6" t="b">
        <v>0</v>
      </c>
      <c r="P317" s="6" t="b">
        <v>0</v>
      </c>
      <c r="Q317" s="6" t="b">
        <v>0</v>
      </c>
      <c r="R317" s="6"/>
      <c r="S317" s="6"/>
      <c r="T317" s="6"/>
      <c r="U317" s="6"/>
    </row>
    <row r="318">
      <c r="A318" s="19"/>
      <c r="B318" s="26" t="s">
        <v>572</v>
      </c>
      <c r="C318" s="26" t="s">
        <v>575</v>
      </c>
      <c r="D318" s="27" t="s">
        <v>576</v>
      </c>
      <c r="E318" s="6" t="b">
        <f t="shared" si="1"/>
        <v>1</v>
      </c>
      <c r="F318" s="6" t="b">
        <f>COUNTIFS('OLT DOWN Tickets'!$AB:$AB, "*" &amp; D318 &amp; "*", 'OLT DOWN Tickets'!$L:$L, "OLT DOWN") &gt; 0</f>
        <v>0</v>
      </c>
      <c r="G318" s="6" t="b">
        <f>COUNTIFS('OLT DOWN Tickets'!$AB:$AB, "*" &amp; D318 &amp; "*", 'OLT DOWN Tickets'!$L:$L, "OLT UPLINK LOW POWER") &gt; 0</f>
        <v>0</v>
      </c>
      <c r="H318" s="6" t="b">
        <f>COUNTIFS('OLT DOWN Tickets'!$AB:$AB, "*" &amp; D318 &amp; "*", 'OLT DOWN Tickets'!$L:$L, "OLT UPLINK DOWN") &gt; 0</f>
        <v>0</v>
      </c>
      <c r="I318" s="6" t="b">
        <f>COUNTIFS('OLT DOWN Tickets'!$AB:$AB, "*" &amp; D318 &amp; "*", 'OLT DOWN Tickets'!$L:$L, "OLT SERVICE DEGRADATION") &gt; 0</f>
        <v>0</v>
      </c>
      <c r="J318" s="32" t="str">
        <f>IFERROR(__xludf.DUMMYFUNCTION("IFERROR(INDEX(FILTER('OLT DOWN Tickets'!$F:$F, REGEXMATCH('OLT DOWN Tickets'!$AB:$AB, ""(?i)""&amp;TRIM(D318)), 'OLT DOWN Tickets'!$L:$L=""OLT DOWN""), 1), """")"),"")</f>
        <v/>
      </c>
      <c r="K318" s="32" t="str">
        <f>IFERROR(__xludf.DUMMYFUNCTION("IFERROR(INDEX(FILTER('OLT DOWN Tickets'!$F:$F, REGEXMATCH('OLT DOWN Tickets'!$AB:$AB, ""(?i)""&amp;TRIM(D318)), 'OLT DOWN Tickets'!$L:$L=""OLT UPLINK LOW POWER""), 1), """")"),"")</f>
        <v/>
      </c>
      <c r="L318" s="32" t="str">
        <f>IFERROR(__xludf.DUMMYFUNCTION("IFERROR(INDEX(FILTER('OLT DOWN Tickets'!$F:$F, REGEXMATCH('OLT DOWN Tickets'!$AB:$AB, ""(?i)""&amp;TRIM(D318)), 'OLT DOWN Tickets'!$L:$L=""OLT UPLINK DOWN""), 1), """")"),"")</f>
        <v/>
      </c>
      <c r="M318" s="32" t="str">
        <f>IFERROR(__xludf.DUMMYFUNCTION("IFERROR(INDEX(FILTER('OLT DOWN Tickets'!$F:$F, REGEXMATCH('OLT DOWN Tickets'!$AB:$AB, ""(?i)""&amp;TRIM(D318)), 'OLT DOWN Tickets'!$L:$L=""OLT SERVICE DEGRADATION""), 1), """")
"),"")</f>
        <v/>
      </c>
      <c r="N318" s="6" t="b">
        <v>0</v>
      </c>
      <c r="O318" s="6" t="b">
        <v>0</v>
      </c>
      <c r="P318" s="6" t="b">
        <v>0</v>
      </c>
      <c r="Q318" s="6" t="b">
        <v>0</v>
      </c>
      <c r="R318" s="6"/>
      <c r="S318" s="6"/>
      <c r="T318" s="6"/>
      <c r="U318" s="6"/>
    </row>
    <row r="319">
      <c r="A319" s="19"/>
      <c r="B319" s="26" t="s">
        <v>572</v>
      </c>
      <c r="C319" s="26" t="s">
        <v>575</v>
      </c>
      <c r="D319" s="27" t="s">
        <v>577</v>
      </c>
      <c r="E319" s="6" t="b">
        <f t="shared" si="1"/>
        <v>1</v>
      </c>
      <c r="F319" s="6" t="b">
        <f>COUNTIFS('OLT DOWN Tickets'!$AB:$AB, "*" &amp; D319 &amp; "*", 'OLT DOWN Tickets'!$L:$L, "OLT DOWN") &gt; 0</f>
        <v>0</v>
      </c>
      <c r="G319" s="6" t="b">
        <f>COUNTIFS('OLT DOWN Tickets'!$AB:$AB, "*" &amp; D319 &amp; "*", 'OLT DOWN Tickets'!$L:$L, "OLT UPLINK LOW POWER") &gt; 0</f>
        <v>0</v>
      </c>
      <c r="H319" s="6" t="b">
        <f>COUNTIFS('OLT DOWN Tickets'!$AB:$AB, "*" &amp; D319 &amp; "*", 'OLT DOWN Tickets'!$L:$L, "OLT UPLINK DOWN") &gt; 0</f>
        <v>0</v>
      </c>
      <c r="I319" s="6" t="b">
        <f>COUNTIFS('OLT DOWN Tickets'!$AB:$AB, "*" &amp; D319 &amp; "*", 'OLT DOWN Tickets'!$L:$L, "OLT SERVICE DEGRADATION") &gt; 0</f>
        <v>0</v>
      </c>
      <c r="J319" s="32" t="str">
        <f>IFERROR(__xludf.DUMMYFUNCTION("IFERROR(INDEX(FILTER('OLT DOWN Tickets'!$F:$F, REGEXMATCH('OLT DOWN Tickets'!$AB:$AB, ""(?i)""&amp;TRIM(D319)), 'OLT DOWN Tickets'!$L:$L=""OLT DOWN""), 1), """")"),"")</f>
        <v/>
      </c>
      <c r="K319" s="32" t="str">
        <f>IFERROR(__xludf.DUMMYFUNCTION("IFERROR(INDEX(FILTER('OLT DOWN Tickets'!$F:$F, REGEXMATCH('OLT DOWN Tickets'!$AB:$AB, ""(?i)""&amp;TRIM(D319)), 'OLT DOWN Tickets'!$L:$L=""OLT UPLINK LOW POWER""), 1), """")"),"")</f>
        <v/>
      </c>
      <c r="L319" s="32" t="str">
        <f>IFERROR(__xludf.DUMMYFUNCTION("IFERROR(INDEX(FILTER('OLT DOWN Tickets'!$F:$F, REGEXMATCH('OLT DOWN Tickets'!$AB:$AB, ""(?i)""&amp;TRIM(D319)), 'OLT DOWN Tickets'!$L:$L=""OLT UPLINK DOWN""), 1), """")"),"")</f>
        <v/>
      </c>
      <c r="M319" s="32" t="str">
        <f>IFERROR(__xludf.DUMMYFUNCTION("IFERROR(INDEX(FILTER('OLT DOWN Tickets'!$F:$F, REGEXMATCH('OLT DOWN Tickets'!$AB:$AB, ""(?i)""&amp;TRIM(D319)), 'OLT DOWN Tickets'!$L:$L=""OLT SERVICE DEGRADATION""), 1), """")
"),"")</f>
        <v/>
      </c>
      <c r="N319" s="6" t="b">
        <v>0</v>
      </c>
      <c r="O319" s="6" t="b">
        <v>0</v>
      </c>
      <c r="P319" s="6" t="b">
        <v>0</v>
      </c>
      <c r="Q319" s="6" t="b">
        <v>0</v>
      </c>
      <c r="R319" s="6"/>
      <c r="S319" s="6"/>
      <c r="T319" s="6"/>
      <c r="U319" s="6"/>
    </row>
    <row r="320">
      <c r="A320" s="19"/>
      <c r="B320" s="53" t="s">
        <v>572</v>
      </c>
      <c r="C320" s="26" t="s">
        <v>578</v>
      </c>
      <c r="D320" s="27" t="s">
        <v>579</v>
      </c>
      <c r="E320" s="6" t="b">
        <f t="shared" si="1"/>
        <v>1</v>
      </c>
      <c r="F320" s="6" t="b">
        <f>COUNTIFS('OLT DOWN Tickets'!$AB:$AB, "*" &amp; D320 &amp; "*", 'OLT DOWN Tickets'!$L:$L, "OLT DOWN") &gt; 0</f>
        <v>0</v>
      </c>
      <c r="G320" s="6" t="b">
        <f>COUNTIFS('OLT DOWN Tickets'!$AB:$AB, "*" &amp; D320 &amp; "*", 'OLT DOWN Tickets'!$L:$L, "OLT UPLINK LOW POWER") &gt; 0</f>
        <v>0</v>
      </c>
      <c r="H320" s="6" t="b">
        <f>COUNTIFS('OLT DOWN Tickets'!$AB:$AB, "*" &amp; D320 &amp; "*", 'OLT DOWN Tickets'!$L:$L, "OLT UPLINK DOWN") &gt; 0</f>
        <v>0</v>
      </c>
      <c r="I320" s="6" t="b">
        <f>COUNTIFS('OLT DOWN Tickets'!$AB:$AB, "*" &amp; D320 &amp; "*", 'OLT DOWN Tickets'!$L:$L, "OLT SERVICE DEGRADATION") &gt; 0</f>
        <v>0</v>
      </c>
      <c r="J320" s="32" t="str">
        <f>IFERROR(__xludf.DUMMYFUNCTION("IFERROR(INDEX(FILTER('OLT DOWN Tickets'!$F:$F, REGEXMATCH('OLT DOWN Tickets'!$AB:$AB, ""(?i)""&amp;TRIM(D320)), 'OLT DOWN Tickets'!$L:$L=""OLT DOWN""), 1), """")"),"")</f>
        <v/>
      </c>
      <c r="K320" s="32" t="str">
        <f>IFERROR(__xludf.DUMMYFUNCTION("IFERROR(INDEX(FILTER('OLT DOWN Tickets'!$F:$F, REGEXMATCH('OLT DOWN Tickets'!$AB:$AB, ""(?i)""&amp;TRIM(D320)), 'OLT DOWN Tickets'!$L:$L=""OLT UPLINK LOW POWER""), 1), """")"),"")</f>
        <v/>
      </c>
      <c r="L320" s="32" t="str">
        <f>IFERROR(__xludf.DUMMYFUNCTION("IFERROR(INDEX(FILTER('OLT DOWN Tickets'!$F:$F, REGEXMATCH('OLT DOWN Tickets'!$AB:$AB, ""(?i)""&amp;TRIM(D320)), 'OLT DOWN Tickets'!$L:$L=""OLT UPLINK DOWN""), 1), """")"),"")</f>
        <v/>
      </c>
      <c r="M320" s="32" t="str">
        <f>IFERROR(__xludf.DUMMYFUNCTION("IFERROR(INDEX(FILTER('OLT DOWN Tickets'!$F:$F, REGEXMATCH('OLT DOWN Tickets'!$AB:$AB, ""(?i)""&amp;TRIM(D320)), 'OLT DOWN Tickets'!$L:$L=""OLT SERVICE DEGRADATION""), 1), """")
"),"")</f>
        <v/>
      </c>
      <c r="N320" s="6" t="b">
        <v>0</v>
      </c>
      <c r="O320" s="6" t="b">
        <v>0</v>
      </c>
      <c r="P320" s="6" t="b">
        <v>0</v>
      </c>
      <c r="Q320" s="6" t="b">
        <v>0</v>
      </c>
      <c r="R320" s="6"/>
      <c r="S320" s="6"/>
      <c r="T320" s="6"/>
      <c r="U320" s="6"/>
    </row>
    <row r="321">
      <c r="A321" s="19"/>
      <c r="B321" s="53" t="s">
        <v>572</v>
      </c>
      <c r="C321" s="26" t="s">
        <v>156</v>
      </c>
      <c r="D321" s="75" t="s">
        <v>580</v>
      </c>
      <c r="E321" s="6" t="b">
        <f t="shared" si="1"/>
        <v>1</v>
      </c>
      <c r="F321" s="6" t="b">
        <f>COUNTIFS('OLT DOWN Tickets'!$AB:$AB, "*" &amp; D321 &amp; "*", 'OLT DOWN Tickets'!$L:$L, "OLT DOWN") &gt; 0</f>
        <v>0</v>
      </c>
      <c r="G321" s="6" t="b">
        <f>COUNTIFS('OLT DOWN Tickets'!$AB:$AB, "*" &amp; D321 &amp; "*", 'OLT DOWN Tickets'!$L:$L, "OLT UPLINK LOW POWER") &gt; 0</f>
        <v>0</v>
      </c>
      <c r="H321" s="6" t="b">
        <f>COUNTIFS('OLT DOWN Tickets'!$AB:$AB, "*" &amp; D321 &amp; "*", 'OLT DOWN Tickets'!$L:$L, "OLT UPLINK DOWN") &gt; 0</f>
        <v>0</v>
      </c>
      <c r="I321" s="6" t="b">
        <f>COUNTIFS('OLT DOWN Tickets'!$AB:$AB, "*" &amp; D321 &amp; "*", 'OLT DOWN Tickets'!$L:$L, "OLT SERVICE DEGRADATION") &gt; 0</f>
        <v>0</v>
      </c>
      <c r="J321" s="32" t="str">
        <f>IFERROR(__xludf.DUMMYFUNCTION("IFERROR(INDEX(FILTER('OLT DOWN Tickets'!$F:$F, REGEXMATCH('OLT DOWN Tickets'!$AB:$AB, ""(?i)""&amp;TRIM(D321)), 'OLT DOWN Tickets'!$L:$L=""OLT DOWN""), 1), """")"),"")</f>
        <v/>
      </c>
      <c r="K321" s="32" t="str">
        <f>IFERROR(__xludf.DUMMYFUNCTION("IFERROR(INDEX(FILTER('OLT DOWN Tickets'!$F:$F, REGEXMATCH('OLT DOWN Tickets'!$AB:$AB, ""(?i)""&amp;TRIM(D321)), 'OLT DOWN Tickets'!$L:$L=""OLT UPLINK LOW POWER""), 1), """")"),"")</f>
        <v/>
      </c>
      <c r="L321" s="32" t="str">
        <f>IFERROR(__xludf.DUMMYFUNCTION("IFERROR(INDEX(FILTER('OLT DOWN Tickets'!$F:$F, REGEXMATCH('OLT DOWN Tickets'!$AB:$AB, ""(?i)""&amp;TRIM(D321)), 'OLT DOWN Tickets'!$L:$L=""OLT UPLINK DOWN""), 1), """")"),"")</f>
        <v/>
      </c>
      <c r="M321" s="32" t="str">
        <f>IFERROR(__xludf.DUMMYFUNCTION("IFERROR(INDEX(FILTER('OLT DOWN Tickets'!$F:$F, REGEXMATCH('OLT DOWN Tickets'!$AB:$AB, ""(?i)""&amp;TRIM(D321)), 'OLT DOWN Tickets'!$L:$L=""OLT SERVICE DEGRADATION""), 1), """")
"),"")</f>
        <v/>
      </c>
      <c r="N321" s="6" t="b">
        <v>0</v>
      </c>
      <c r="O321" s="6" t="b">
        <v>0</v>
      </c>
      <c r="P321" s="6" t="b">
        <v>0</v>
      </c>
      <c r="Q321" s="6" t="b">
        <v>0</v>
      </c>
      <c r="R321" s="6"/>
      <c r="S321" s="6"/>
      <c r="T321" s="6"/>
      <c r="U321" s="6"/>
    </row>
    <row r="322">
      <c r="A322" s="19"/>
      <c r="B322" s="26" t="s">
        <v>117</v>
      </c>
      <c r="C322" s="26" t="s">
        <v>581</v>
      </c>
      <c r="D322" s="27" t="s">
        <v>582</v>
      </c>
      <c r="E322" s="6" t="b">
        <f t="shared" si="1"/>
        <v>1</v>
      </c>
      <c r="F322" s="6" t="b">
        <f>COUNTIFS('OLT DOWN Tickets'!$AB:$AB, "*" &amp; D322 &amp; "*", 'OLT DOWN Tickets'!$L:$L, "OLT DOWN") &gt; 0</f>
        <v>0</v>
      </c>
      <c r="G322" s="6" t="b">
        <f>COUNTIFS('OLT DOWN Tickets'!$AB:$AB, "*" &amp; D322 &amp; "*", 'OLT DOWN Tickets'!$L:$L, "OLT UPLINK LOW POWER") &gt; 0</f>
        <v>0</v>
      </c>
      <c r="H322" s="6" t="b">
        <f>COUNTIFS('OLT DOWN Tickets'!$AB:$AB, "*" &amp; D322 &amp; "*", 'OLT DOWN Tickets'!$L:$L, "OLT UPLINK DOWN") &gt; 0</f>
        <v>0</v>
      </c>
      <c r="I322" s="6" t="b">
        <f>COUNTIFS('OLT DOWN Tickets'!$AB:$AB, "*" &amp; D322 &amp; "*", 'OLT DOWN Tickets'!$L:$L, "OLT SERVICE DEGRADATION") &gt; 0</f>
        <v>0</v>
      </c>
      <c r="J322" s="32" t="str">
        <f>IFERROR(__xludf.DUMMYFUNCTION("IFERROR(INDEX(FILTER('OLT DOWN Tickets'!$F:$F, REGEXMATCH('OLT DOWN Tickets'!$AB:$AB, ""(?i)""&amp;TRIM(D322)), 'OLT DOWN Tickets'!$L:$L=""OLT DOWN""), 1), """")"),"")</f>
        <v/>
      </c>
      <c r="K322" s="32" t="str">
        <f>IFERROR(__xludf.DUMMYFUNCTION("IFERROR(INDEX(FILTER('OLT DOWN Tickets'!$F:$F, REGEXMATCH('OLT DOWN Tickets'!$AB:$AB, ""(?i)""&amp;TRIM(D322)), 'OLT DOWN Tickets'!$L:$L=""OLT UPLINK LOW POWER""), 1), """")"),"")</f>
        <v/>
      </c>
      <c r="L322" s="32" t="str">
        <f>IFERROR(__xludf.DUMMYFUNCTION("IFERROR(INDEX(FILTER('OLT DOWN Tickets'!$F:$F, REGEXMATCH('OLT DOWN Tickets'!$AB:$AB, ""(?i)""&amp;TRIM(D322)), 'OLT DOWN Tickets'!$L:$L=""OLT UPLINK DOWN""), 1), """")"),"")</f>
        <v/>
      </c>
      <c r="M322" s="32" t="str">
        <f>IFERROR(__xludf.DUMMYFUNCTION("IFERROR(INDEX(FILTER('OLT DOWN Tickets'!$F:$F, REGEXMATCH('OLT DOWN Tickets'!$AB:$AB, ""(?i)""&amp;TRIM(D322)), 'OLT DOWN Tickets'!$L:$L=""OLT SERVICE DEGRADATION""), 1), """")
"),"")</f>
        <v/>
      </c>
      <c r="N322" s="6" t="b">
        <v>0</v>
      </c>
      <c r="O322" s="6" t="b">
        <v>0</v>
      </c>
      <c r="P322" s="6" t="b">
        <v>0</v>
      </c>
      <c r="Q322" s="6" t="b">
        <v>0</v>
      </c>
      <c r="R322" s="6"/>
      <c r="S322" s="6"/>
      <c r="T322" s="6"/>
      <c r="U322" s="6"/>
    </row>
    <row r="323">
      <c r="A323" s="19"/>
      <c r="B323" s="26" t="s">
        <v>117</v>
      </c>
      <c r="C323" s="26" t="s">
        <v>583</v>
      </c>
      <c r="D323" s="27" t="s">
        <v>584</v>
      </c>
      <c r="E323" s="6" t="b">
        <f t="shared" si="1"/>
        <v>1</v>
      </c>
      <c r="F323" s="6" t="b">
        <f>COUNTIFS('OLT DOWN Tickets'!$AB:$AB, "*" &amp; D323 &amp; "*", 'OLT DOWN Tickets'!$L:$L, "OLT DOWN") &gt; 0</f>
        <v>0</v>
      </c>
      <c r="G323" s="6" t="b">
        <f>COUNTIFS('OLT DOWN Tickets'!$AB:$AB, "*" &amp; D323 &amp; "*", 'OLT DOWN Tickets'!$L:$L, "OLT UPLINK LOW POWER") &gt; 0</f>
        <v>0</v>
      </c>
      <c r="H323" s="6" t="b">
        <f>COUNTIFS('OLT DOWN Tickets'!$AB:$AB, "*" &amp; D323 &amp; "*", 'OLT DOWN Tickets'!$L:$L, "OLT UPLINK DOWN") &gt; 0</f>
        <v>0</v>
      </c>
      <c r="I323" s="6" t="b">
        <f>COUNTIFS('OLT DOWN Tickets'!$AB:$AB, "*" &amp; D323 &amp; "*", 'OLT DOWN Tickets'!$L:$L, "OLT SERVICE DEGRADATION") &gt; 0</f>
        <v>0</v>
      </c>
      <c r="J323" s="32" t="str">
        <f>IFERROR(__xludf.DUMMYFUNCTION("IFERROR(INDEX(FILTER('OLT DOWN Tickets'!$F:$F, REGEXMATCH('OLT DOWN Tickets'!$AB:$AB, ""(?i)""&amp;TRIM(D323)), 'OLT DOWN Tickets'!$L:$L=""OLT DOWN""), 1), """")"),"")</f>
        <v/>
      </c>
      <c r="K323" s="32" t="str">
        <f>IFERROR(__xludf.DUMMYFUNCTION("IFERROR(INDEX(FILTER('OLT DOWN Tickets'!$F:$F, REGEXMATCH('OLT DOWN Tickets'!$AB:$AB, ""(?i)""&amp;TRIM(D323)), 'OLT DOWN Tickets'!$L:$L=""OLT UPLINK LOW POWER""), 1), """")"),"")</f>
        <v/>
      </c>
      <c r="L323" s="32" t="str">
        <f>IFERROR(__xludf.DUMMYFUNCTION("IFERROR(INDEX(FILTER('OLT DOWN Tickets'!$F:$F, REGEXMATCH('OLT DOWN Tickets'!$AB:$AB, ""(?i)""&amp;TRIM(D323)), 'OLT DOWN Tickets'!$L:$L=""OLT UPLINK DOWN""), 1), """")"),"")</f>
        <v/>
      </c>
      <c r="M323" s="32" t="str">
        <f>IFERROR(__xludf.DUMMYFUNCTION("IFERROR(INDEX(FILTER('OLT DOWN Tickets'!$F:$F, REGEXMATCH('OLT DOWN Tickets'!$AB:$AB, ""(?i)""&amp;TRIM(D323)), 'OLT DOWN Tickets'!$L:$L=""OLT SERVICE DEGRADATION""), 1), """")
"),"")</f>
        <v/>
      </c>
      <c r="N323" s="6" t="b">
        <v>0</v>
      </c>
      <c r="O323" s="6" t="b">
        <v>0</v>
      </c>
      <c r="P323" s="6" t="b">
        <v>0</v>
      </c>
      <c r="Q323" s="6" t="b">
        <v>0</v>
      </c>
      <c r="R323" s="6"/>
      <c r="S323" s="6"/>
      <c r="T323" s="6"/>
      <c r="U323" s="6"/>
    </row>
    <row r="324">
      <c r="A324" s="19"/>
      <c r="B324" s="26" t="s">
        <v>117</v>
      </c>
      <c r="C324" s="26" t="s">
        <v>585</v>
      </c>
      <c r="D324" s="27" t="s">
        <v>586</v>
      </c>
      <c r="E324" s="6" t="b">
        <f t="shared" si="1"/>
        <v>1</v>
      </c>
      <c r="F324" s="6" t="b">
        <f>COUNTIFS('OLT DOWN Tickets'!$AB:$AB, "*" &amp; D324 &amp; "*", 'OLT DOWN Tickets'!$L:$L, "OLT DOWN") &gt; 0</f>
        <v>0</v>
      </c>
      <c r="G324" s="6" t="b">
        <f>COUNTIFS('OLT DOWN Tickets'!$AB:$AB, "*" &amp; D324 &amp; "*", 'OLT DOWN Tickets'!$L:$L, "OLT UPLINK LOW POWER") &gt; 0</f>
        <v>0</v>
      </c>
      <c r="H324" s="6" t="b">
        <f>COUNTIFS('OLT DOWN Tickets'!$AB:$AB, "*" &amp; D324 &amp; "*", 'OLT DOWN Tickets'!$L:$L, "OLT UPLINK DOWN") &gt; 0</f>
        <v>0</v>
      </c>
      <c r="I324" s="6" t="b">
        <f>COUNTIFS('OLT DOWN Tickets'!$AB:$AB, "*" &amp; D324 &amp; "*", 'OLT DOWN Tickets'!$L:$L, "OLT SERVICE DEGRADATION") &gt; 0</f>
        <v>0</v>
      </c>
      <c r="J324" s="32" t="str">
        <f>IFERROR(__xludf.DUMMYFUNCTION("IFERROR(INDEX(FILTER('OLT DOWN Tickets'!$F:$F, REGEXMATCH('OLT DOWN Tickets'!$AB:$AB, ""(?i)""&amp;TRIM(D324)), 'OLT DOWN Tickets'!$L:$L=""OLT DOWN""), 1), """")"),"")</f>
        <v/>
      </c>
      <c r="K324" s="32" t="str">
        <f>IFERROR(__xludf.DUMMYFUNCTION("IFERROR(INDEX(FILTER('OLT DOWN Tickets'!$F:$F, REGEXMATCH('OLT DOWN Tickets'!$AB:$AB, ""(?i)""&amp;TRIM(D324)), 'OLT DOWN Tickets'!$L:$L=""OLT UPLINK LOW POWER""), 1), """")"),"")</f>
        <v/>
      </c>
      <c r="L324" s="32" t="str">
        <f>IFERROR(__xludf.DUMMYFUNCTION("IFERROR(INDEX(FILTER('OLT DOWN Tickets'!$F:$F, REGEXMATCH('OLT DOWN Tickets'!$AB:$AB, ""(?i)""&amp;TRIM(D324)), 'OLT DOWN Tickets'!$L:$L=""OLT UPLINK DOWN""), 1), """")"),"")</f>
        <v/>
      </c>
      <c r="M324" s="32" t="str">
        <f>IFERROR(__xludf.DUMMYFUNCTION("IFERROR(INDEX(FILTER('OLT DOWN Tickets'!$F:$F, REGEXMATCH('OLT DOWN Tickets'!$AB:$AB, ""(?i)""&amp;TRIM(D324)), 'OLT DOWN Tickets'!$L:$L=""OLT SERVICE DEGRADATION""), 1), """")
"),"")</f>
        <v/>
      </c>
      <c r="N324" s="6" t="b">
        <v>0</v>
      </c>
      <c r="O324" s="6" t="b">
        <v>0</v>
      </c>
      <c r="P324" s="6" t="b">
        <v>0</v>
      </c>
      <c r="Q324" s="6" t="b">
        <v>0</v>
      </c>
      <c r="R324" s="6"/>
      <c r="S324" s="6"/>
      <c r="T324" s="6"/>
      <c r="U324" s="6"/>
    </row>
    <row r="325">
      <c r="A325" s="19"/>
      <c r="B325" s="26" t="s">
        <v>117</v>
      </c>
      <c r="C325" s="26" t="s">
        <v>585</v>
      </c>
      <c r="D325" s="27" t="s">
        <v>587</v>
      </c>
      <c r="E325" s="6" t="b">
        <f t="shared" si="1"/>
        <v>1</v>
      </c>
      <c r="F325" s="6" t="b">
        <f>COUNTIFS('OLT DOWN Tickets'!$AB:$AB, "*" &amp; D325 &amp; "*", 'OLT DOWN Tickets'!$L:$L, "OLT DOWN") &gt; 0</f>
        <v>0</v>
      </c>
      <c r="G325" s="6" t="b">
        <f>COUNTIFS('OLT DOWN Tickets'!$AB:$AB, "*" &amp; D325 &amp; "*", 'OLT DOWN Tickets'!$L:$L, "OLT UPLINK LOW POWER") &gt; 0</f>
        <v>0</v>
      </c>
      <c r="H325" s="6" t="b">
        <f>COUNTIFS('OLT DOWN Tickets'!$AB:$AB, "*" &amp; D325 &amp; "*", 'OLT DOWN Tickets'!$L:$L, "OLT UPLINK DOWN") &gt; 0</f>
        <v>0</v>
      </c>
      <c r="I325" s="6" t="b">
        <f>COUNTIFS('OLT DOWN Tickets'!$AB:$AB, "*" &amp; D325 &amp; "*", 'OLT DOWN Tickets'!$L:$L, "OLT SERVICE DEGRADATION") &gt; 0</f>
        <v>0</v>
      </c>
      <c r="J325" s="32" t="str">
        <f>IFERROR(__xludf.DUMMYFUNCTION("IFERROR(INDEX(FILTER('OLT DOWN Tickets'!$F:$F, REGEXMATCH('OLT DOWN Tickets'!$AB:$AB, ""(?i)""&amp;TRIM(D325)), 'OLT DOWN Tickets'!$L:$L=""OLT DOWN""), 1), """")"),"")</f>
        <v/>
      </c>
      <c r="K325" s="32" t="str">
        <f>IFERROR(__xludf.DUMMYFUNCTION("IFERROR(INDEX(FILTER('OLT DOWN Tickets'!$F:$F, REGEXMATCH('OLT DOWN Tickets'!$AB:$AB, ""(?i)""&amp;TRIM(D325)), 'OLT DOWN Tickets'!$L:$L=""OLT UPLINK LOW POWER""), 1), """")"),"")</f>
        <v/>
      </c>
      <c r="L325" s="32" t="str">
        <f>IFERROR(__xludf.DUMMYFUNCTION("IFERROR(INDEX(FILTER('OLT DOWN Tickets'!$F:$F, REGEXMATCH('OLT DOWN Tickets'!$AB:$AB, ""(?i)""&amp;TRIM(D325)), 'OLT DOWN Tickets'!$L:$L=""OLT UPLINK DOWN""), 1), """")"),"")</f>
        <v/>
      </c>
      <c r="M325" s="32" t="str">
        <f>IFERROR(__xludf.DUMMYFUNCTION("IFERROR(INDEX(FILTER('OLT DOWN Tickets'!$F:$F, REGEXMATCH('OLT DOWN Tickets'!$AB:$AB, ""(?i)""&amp;TRIM(D325)), 'OLT DOWN Tickets'!$L:$L=""OLT SERVICE DEGRADATION""), 1), """")
"),"")</f>
        <v/>
      </c>
      <c r="N325" s="6" t="b">
        <v>0</v>
      </c>
      <c r="O325" s="6" t="b">
        <v>0</v>
      </c>
      <c r="P325" s="6" t="b">
        <v>0</v>
      </c>
      <c r="Q325" s="6" t="b">
        <v>0</v>
      </c>
      <c r="R325" s="6"/>
      <c r="S325" s="6"/>
      <c r="T325" s="6"/>
      <c r="U325" s="6"/>
    </row>
    <row r="326">
      <c r="A326" s="19"/>
      <c r="B326" s="26" t="s">
        <v>117</v>
      </c>
      <c r="C326" s="26" t="s">
        <v>585</v>
      </c>
      <c r="D326" s="27" t="s">
        <v>588</v>
      </c>
      <c r="E326" s="6" t="b">
        <f t="shared" si="1"/>
        <v>1</v>
      </c>
      <c r="F326" s="6" t="b">
        <f>COUNTIFS('OLT DOWN Tickets'!$AB:$AB, "*" &amp; D326 &amp; "*", 'OLT DOWN Tickets'!$L:$L, "OLT DOWN") &gt; 0</f>
        <v>0</v>
      </c>
      <c r="G326" s="6" t="b">
        <f>COUNTIFS('OLT DOWN Tickets'!$AB:$AB, "*" &amp; D326 &amp; "*", 'OLT DOWN Tickets'!$L:$L, "OLT UPLINK LOW POWER") &gt; 0</f>
        <v>0</v>
      </c>
      <c r="H326" s="6" t="b">
        <f>COUNTIFS('OLT DOWN Tickets'!$AB:$AB, "*" &amp; D326 &amp; "*", 'OLT DOWN Tickets'!$L:$L, "OLT UPLINK DOWN") &gt; 0</f>
        <v>0</v>
      </c>
      <c r="I326" s="6" t="b">
        <f>COUNTIFS('OLT DOWN Tickets'!$AB:$AB, "*" &amp; D326 &amp; "*", 'OLT DOWN Tickets'!$L:$L, "OLT SERVICE DEGRADATION") &gt; 0</f>
        <v>0</v>
      </c>
      <c r="J326" s="32" t="str">
        <f>IFERROR(__xludf.DUMMYFUNCTION("IFERROR(INDEX(FILTER('OLT DOWN Tickets'!$F:$F, REGEXMATCH('OLT DOWN Tickets'!$AB:$AB, ""(?i)""&amp;TRIM(D326)), 'OLT DOWN Tickets'!$L:$L=""OLT DOWN""), 1), """")"),"")</f>
        <v/>
      </c>
      <c r="K326" s="32" t="str">
        <f>IFERROR(__xludf.DUMMYFUNCTION("IFERROR(INDEX(FILTER('OLT DOWN Tickets'!$F:$F, REGEXMATCH('OLT DOWN Tickets'!$AB:$AB, ""(?i)""&amp;TRIM(D326)), 'OLT DOWN Tickets'!$L:$L=""OLT UPLINK LOW POWER""), 1), """")"),"")</f>
        <v/>
      </c>
      <c r="L326" s="32" t="str">
        <f>IFERROR(__xludf.DUMMYFUNCTION("IFERROR(INDEX(FILTER('OLT DOWN Tickets'!$F:$F, REGEXMATCH('OLT DOWN Tickets'!$AB:$AB, ""(?i)""&amp;TRIM(D326)), 'OLT DOWN Tickets'!$L:$L=""OLT UPLINK DOWN""), 1), """")"),"")</f>
        <v/>
      </c>
      <c r="M326" s="32" t="str">
        <f>IFERROR(__xludf.DUMMYFUNCTION("IFERROR(INDEX(FILTER('OLT DOWN Tickets'!$F:$F, REGEXMATCH('OLT DOWN Tickets'!$AB:$AB, ""(?i)""&amp;TRIM(D326)), 'OLT DOWN Tickets'!$L:$L=""OLT SERVICE DEGRADATION""), 1), """")
"),"")</f>
        <v/>
      </c>
      <c r="N326" s="6" t="b">
        <v>0</v>
      </c>
      <c r="O326" s="6" t="b">
        <v>0</v>
      </c>
      <c r="P326" s="6" t="b">
        <v>0</v>
      </c>
      <c r="Q326" s="6" t="b">
        <v>0</v>
      </c>
      <c r="R326" s="6"/>
      <c r="S326" s="6"/>
      <c r="T326" s="6"/>
      <c r="U326" s="6"/>
    </row>
    <row r="327">
      <c r="A327" s="19"/>
      <c r="B327" s="26" t="s">
        <v>117</v>
      </c>
      <c r="C327" s="26" t="s">
        <v>589</v>
      </c>
      <c r="D327" s="27" t="s">
        <v>590</v>
      </c>
      <c r="E327" s="6" t="b">
        <f t="shared" si="1"/>
        <v>1</v>
      </c>
      <c r="F327" s="6" t="b">
        <f>COUNTIFS('OLT DOWN Tickets'!$AB:$AB, "*" &amp; D327 &amp; "*", 'OLT DOWN Tickets'!$L:$L, "OLT DOWN") &gt; 0</f>
        <v>0</v>
      </c>
      <c r="G327" s="6" t="b">
        <f>COUNTIFS('OLT DOWN Tickets'!$AB:$AB, "*" &amp; D327 &amp; "*", 'OLT DOWN Tickets'!$L:$L, "OLT UPLINK LOW POWER") &gt; 0</f>
        <v>0</v>
      </c>
      <c r="H327" s="6" t="b">
        <f>COUNTIFS('OLT DOWN Tickets'!$AB:$AB, "*" &amp; D327 &amp; "*", 'OLT DOWN Tickets'!$L:$L, "OLT UPLINK DOWN") &gt; 0</f>
        <v>0</v>
      </c>
      <c r="I327" s="6" t="b">
        <f>COUNTIFS('OLT DOWN Tickets'!$AB:$AB, "*" &amp; D327 &amp; "*", 'OLT DOWN Tickets'!$L:$L, "OLT SERVICE DEGRADATION") &gt; 0</f>
        <v>0</v>
      </c>
      <c r="J327" s="32" t="str">
        <f>IFERROR(__xludf.DUMMYFUNCTION("IFERROR(INDEX(FILTER('OLT DOWN Tickets'!$F:$F, REGEXMATCH('OLT DOWN Tickets'!$AB:$AB, ""(?i)""&amp;TRIM(D327)), 'OLT DOWN Tickets'!$L:$L=""OLT DOWN""), 1), """")"),"")</f>
        <v/>
      </c>
      <c r="K327" s="32" t="str">
        <f>IFERROR(__xludf.DUMMYFUNCTION("IFERROR(INDEX(FILTER('OLT DOWN Tickets'!$F:$F, REGEXMATCH('OLT DOWN Tickets'!$AB:$AB, ""(?i)""&amp;TRIM(D327)), 'OLT DOWN Tickets'!$L:$L=""OLT UPLINK LOW POWER""), 1), """")"),"")</f>
        <v/>
      </c>
      <c r="L327" s="32" t="str">
        <f>IFERROR(__xludf.DUMMYFUNCTION("IFERROR(INDEX(FILTER('OLT DOWN Tickets'!$F:$F, REGEXMATCH('OLT DOWN Tickets'!$AB:$AB, ""(?i)""&amp;TRIM(D327)), 'OLT DOWN Tickets'!$L:$L=""OLT UPLINK DOWN""), 1), """")"),"")</f>
        <v/>
      </c>
      <c r="M327" s="32" t="str">
        <f>IFERROR(__xludf.DUMMYFUNCTION("IFERROR(INDEX(FILTER('OLT DOWN Tickets'!$F:$F, REGEXMATCH('OLT DOWN Tickets'!$AB:$AB, ""(?i)""&amp;TRIM(D327)), 'OLT DOWN Tickets'!$L:$L=""OLT SERVICE DEGRADATION""), 1), """")
"),"")</f>
        <v/>
      </c>
      <c r="N327" s="6" t="b">
        <v>0</v>
      </c>
      <c r="O327" s="6" t="b">
        <v>0</v>
      </c>
      <c r="P327" s="6" t="b">
        <v>0</v>
      </c>
      <c r="Q327" s="6" t="b">
        <v>0</v>
      </c>
      <c r="R327" s="6"/>
      <c r="S327" s="6"/>
      <c r="T327" s="6"/>
      <c r="U327" s="6"/>
    </row>
    <row r="328">
      <c r="A328" s="19"/>
      <c r="B328" s="26" t="s">
        <v>117</v>
      </c>
      <c r="C328" s="26" t="s">
        <v>589</v>
      </c>
      <c r="D328" s="27" t="s">
        <v>591</v>
      </c>
      <c r="E328" s="6" t="b">
        <f t="shared" si="1"/>
        <v>1</v>
      </c>
      <c r="F328" s="6" t="b">
        <f>COUNTIFS('OLT DOWN Tickets'!$AB:$AB, "*" &amp; D328 &amp; "*", 'OLT DOWN Tickets'!$L:$L, "OLT DOWN") &gt; 0</f>
        <v>0</v>
      </c>
      <c r="G328" s="6" t="b">
        <f>COUNTIFS('OLT DOWN Tickets'!$AB:$AB, "*" &amp; D328 &amp; "*", 'OLT DOWN Tickets'!$L:$L, "OLT UPLINK LOW POWER") &gt; 0</f>
        <v>0</v>
      </c>
      <c r="H328" s="6" t="b">
        <f>COUNTIFS('OLT DOWN Tickets'!$AB:$AB, "*" &amp; D328 &amp; "*", 'OLT DOWN Tickets'!$L:$L, "OLT UPLINK DOWN") &gt; 0</f>
        <v>0</v>
      </c>
      <c r="I328" s="6" t="b">
        <f>COUNTIFS('OLT DOWN Tickets'!$AB:$AB, "*" &amp; D328 &amp; "*", 'OLT DOWN Tickets'!$L:$L, "OLT SERVICE DEGRADATION") &gt; 0</f>
        <v>0</v>
      </c>
      <c r="J328" s="32" t="str">
        <f>IFERROR(__xludf.DUMMYFUNCTION("IFERROR(INDEX(FILTER('OLT DOWN Tickets'!$F:$F, REGEXMATCH('OLT DOWN Tickets'!$AB:$AB, ""(?i)""&amp;TRIM(D328)), 'OLT DOWN Tickets'!$L:$L=""OLT DOWN""), 1), """")"),"")</f>
        <v/>
      </c>
      <c r="K328" s="32" t="str">
        <f>IFERROR(__xludf.DUMMYFUNCTION("IFERROR(INDEX(FILTER('OLT DOWN Tickets'!$F:$F, REGEXMATCH('OLT DOWN Tickets'!$AB:$AB, ""(?i)""&amp;TRIM(D328)), 'OLT DOWN Tickets'!$L:$L=""OLT UPLINK LOW POWER""), 1), """")"),"")</f>
        <v/>
      </c>
      <c r="L328" s="32" t="str">
        <f>IFERROR(__xludf.DUMMYFUNCTION("IFERROR(INDEX(FILTER('OLT DOWN Tickets'!$F:$F, REGEXMATCH('OLT DOWN Tickets'!$AB:$AB, ""(?i)""&amp;TRIM(D328)), 'OLT DOWN Tickets'!$L:$L=""OLT UPLINK DOWN""), 1), """")"),"")</f>
        <v/>
      </c>
      <c r="M328" s="32" t="str">
        <f>IFERROR(__xludf.DUMMYFUNCTION("IFERROR(INDEX(FILTER('OLT DOWN Tickets'!$F:$F, REGEXMATCH('OLT DOWN Tickets'!$AB:$AB, ""(?i)""&amp;TRIM(D328)), 'OLT DOWN Tickets'!$L:$L=""OLT SERVICE DEGRADATION""), 1), """")
"),"")</f>
        <v/>
      </c>
      <c r="N328" s="6" t="b">
        <v>0</v>
      </c>
      <c r="O328" s="6" t="b">
        <v>0</v>
      </c>
      <c r="P328" s="6" t="b">
        <v>0</v>
      </c>
      <c r="Q328" s="6" t="b">
        <v>0</v>
      </c>
      <c r="R328" s="6"/>
      <c r="S328" s="6"/>
      <c r="T328" s="6"/>
      <c r="U328" s="6"/>
    </row>
    <row r="329">
      <c r="A329" s="19"/>
      <c r="B329" s="26" t="s">
        <v>117</v>
      </c>
      <c r="C329" s="26" t="s">
        <v>589</v>
      </c>
      <c r="D329" s="27" t="s">
        <v>592</v>
      </c>
      <c r="E329" s="6" t="b">
        <f t="shared" si="1"/>
        <v>1</v>
      </c>
      <c r="F329" s="6" t="b">
        <f>COUNTIFS('OLT DOWN Tickets'!$AB:$AB, "*" &amp; D329 &amp; "*", 'OLT DOWN Tickets'!$L:$L, "OLT DOWN") &gt; 0</f>
        <v>0</v>
      </c>
      <c r="G329" s="6" t="b">
        <f>COUNTIFS('OLT DOWN Tickets'!$AB:$AB, "*" &amp; D329 &amp; "*", 'OLT DOWN Tickets'!$L:$L, "OLT UPLINK LOW POWER") &gt; 0</f>
        <v>0</v>
      </c>
      <c r="H329" s="6" t="b">
        <f>COUNTIFS('OLT DOWN Tickets'!$AB:$AB, "*" &amp; D329 &amp; "*", 'OLT DOWN Tickets'!$L:$L, "OLT UPLINK DOWN") &gt; 0</f>
        <v>0</v>
      </c>
      <c r="I329" s="6" t="b">
        <f>COUNTIFS('OLT DOWN Tickets'!$AB:$AB, "*" &amp; D329 &amp; "*", 'OLT DOWN Tickets'!$L:$L, "OLT SERVICE DEGRADATION") &gt; 0</f>
        <v>0</v>
      </c>
      <c r="J329" s="32" t="str">
        <f>IFERROR(__xludf.DUMMYFUNCTION("IFERROR(INDEX(FILTER('OLT DOWN Tickets'!$F:$F, REGEXMATCH('OLT DOWN Tickets'!$AB:$AB, ""(?i)""&amp;TRIM(D329)), 'OLT DOWN Tickets'!$L:$L=""OLT DOWN""), 1), """")"),"")</f>
        <v/>
      </c>
      <c r="K329" s="32" t="str">
        <f>IFERROR(__xludf.DUMMYFUNCTION("IFERROR(INDEX(FILTER('OLT DOWN Tickets'!$F:$F, REGEXMATCH('OLT DOWN Tickets'!$AB:$AB, ""(?i)""&amp;TRIM(D329)), 'OLT DOWN Tickets'!$L:$L=""OLT UPLINK LOW POWER""), 1), """")"),"")</f>
        <v/>
      </c>
      <c r="L329" s="32" t="str">
        <f>IFERROR(__xludf.DUMMYFUNCTION("IFERROR(INDEX(FILTER('OLT DOWN Tickets'!$F:$F, REGEXMATCH('OLT DOWN Tickets'!$AB:$AB, ""(?i)""&amp;TRIM(D329)), 'OLT DOWN Tickets'!$L:$L=""OLT UPLINK DOWN""), 1), """")"),"")</f>
        <v/>
      </c>
      <c r="M329" s="32" t="str">
        <f>IFERROR(__xludf.DUMMYFUNCTION("IFERROR(INDEX(FILTER('OLT DOWN Tickets'!$F:$F, REGEXMATCH('OLT DOWN Tickets'!$AB:$AB, ""(?i)""&amp;TRIM(D329)), 'OLT DOWN Tickets'!$L:$L=""OLT SERVICE DEGRADATION""), 1), """")
"),"")</f>
        <v/>
      </c>
      <c r="N329" s="6" t="b">
        <v>0</v>
      </c>
      <c r="O329" s="6" t="b">
        <v>0</v>
      </c>
      <c r="P329" s="6" t="b">
        <v>0</v>
      </c>
      <c r="Q329" s="6" t="b">
        <v>0</v>
      </c>
      <c r="R329" s="6"/>
      <c r="S329" s="6"/>
      <c r="T329" s="6"/>
      <c r="U329" s="6"/>
    </row>
    <row r="330">
      <c r="A330" s="19"/>
      <c r="B330" s="26" t="s">
        <v>117</v>
      </c>
      <c r="C330" s="26" t="s">
        <v>589</v>
      </c>
      <c r="D330" s="27" t="s">
        <v>593</v>
      </c>
      <c r="E330" s="6" t="b">
        <f t="shared" si="1"/>
        <v>1</v>
      </c>
      <c r="F330" s="6" t="b">
        <f>COUNTIFS('OLT DOWN Tickets'!$AB:$AB, "*" &amp; D330 &amp; "*", 'OLT DOWN Tickets'!$L:$L, "OLT DOWN") &gt; 0</f>
        <v>0</v>
      </c>
      <c r="G330" s="6" t="b">
        <f>COUNTIFS('OLT DOWN Tickets'!$AB:$AB, "*" &amp; D330 &amp; "*", 'OLT DOWN Tickets'!$L:$L, "OLT UPLINK LOW POWER") &gt; 0</f>
        <v>0</v>
      </c>
      <c r="H330" s="6" t="b">
        <f>COUNTIFS('OLT DOWN Tickets'!$AB:$AB, "*" &amp; D330 &amp; "*", 'OLT DOWN Tickets'!$L:$L, "OLT UPLINK DOWN") &gt; 0</f>
        <v>0</v>
      </c>
      <c r="I330" s="6" t="b">
        <f>COUNTIFS('OLT DOWN Tickets'!$AB:$AB, "*" &amp; D330 &amp; "*", 'OLT DOWN Tickets'!$L:$L, "OLT SERVICE DEGRADATION") &gt; 0</f>
        <v>0</v>
      </c>
      <c r="J330" s="32" t="str">
        <f>IFERROR(__xludf.DUMMYFUNCTION("IFERROR(INDEX(FILTER('OLT DOWN Tickets'!$F:$F, REGEXMATCH('OLT DOWN Tickets'!$AB:$AB, ""(?i)""&amp;TRIM(D330)), 'OLT DOWN Tickets'!$L:$L=""OLT DOWN""), 1), """")"),"")</f>
        <v/>
      </c>
      <c r="K330" s="32" t="str">
        <f>IFERROR(__xludf.DUMMYFUNCTION("IFERROR(INDEX(FILTER('OLT DOWN Tickets'!$F:$F, REGEXMATCH('OLT DOWN Tickets'!$AB:$AB, ""(?i)""&amp;TRIM(D330)), 'OLT DOWN Tickets'!$L:$L=""OLT UPLINK LOW POWER""), 1), """")"),"")</f>
        <v/>
      </c>
      <c r="L330" s="32" t="str">
        <f>IFERROR(__xludf.DUMMYFUNCTION("IFERROR(INDEX(FILTER('OLT DOWN Tickets'!$F:$F, REGEXMATCH('OLT DOWN Tickets'!$AB:$AB, ""(?i)""&amp;TRIM(D330)), 'OLT DOWN Tickets'!$L:$L=""OLT UPLINK DOWN""), 1), """")"),"")</f>
        <v/>
      </c>
      <c r="M330" s="32" t="str">
        <f>IFERROR(__xludf.DUMMYFUNCTION("IFERROR(INDEX(FILTER('OLT DOWN Tickets'!$F:$F, REGEXMATCH('OLT DOWN Tickets'!$AB:$AB, ""(?i)""&amp;TRIM(D330)), 'OLT DOWN Tickets'!$L:$L=""OLT SERVICE DEGRADATION""), 1), """")
"),"")</f>
        <v/>
      </c>
      <c r="N330" s="6" t="b">
        <v>0</v>
      </c>
      <c r="O330" s="6" t="b">
        <v>0</v>
      </c>
      <c r="P330" s="6" t="b">
        <v>0</v>
      </c>
      <c r="Q330" s="6" t="b">
        <v>0</v>
      </c>
      <c r="R330" s="6"/>
      <c r="S330" s="6"/>
      <c r="T330" s="6"/>
      <c r="U330" s="6"/>
    </row>
    <row r="331">
      <c r="A331" s="19"/>
      <c r="B331" s="26" t="s">
        <v>117</v>
      </c>
      <c r="C331" s="26" t="s">
        <v>594</v>
      </c>
      <c r="D331" s="27" t="s">
        <v>595</v>
      </c>
      <c r="E331" s="6" t="b">
        <f t="shared" si="1"/>
        <v>1</v>
      </c>
      <c r="F331" s="6" t="b">
        <f>COUNTIFS('OLT DOWN Tickets'!$AB:$AB, "*" &amp; D331 &amp; "*", 'OLT DOWN Tickets'!$L:$L, "OLT DOWN") &gt; 0</f>
        <v>0</v>
      </c>
      <c r="G331" s="6" t="b">
        <f>COUNTIFS('OLT DOWN Tickets'!$AB:$AB, "*" &amp; D331 &amp; "*", 'OLT DOWN Tickets'!$L:$L, "OLT UPLINK LOW POWER") &gt; 0</f>
        <v>0</v>
      </c>
      <c r="H331" s="6" t="b">
        <f>COUNTIFS('OLT DOWN Tickets'!$AB:$AB, "*" &amp; D331 &amp; "*", 'OLT DOWN Tickets'!$L:$L, "OLT UPLINK DOWN") &gt; 0</f>
        <v>0</v>
      </c>
      <c r="I331" s="6" t="b">
        <f>COUNTIFS('OLT DOWN Tickets'!$AB:$AB, "*" &amp; D331 &amp; "*", 'OLT DOWN Tickets'!$L:$L, "OLT SERVICE DEGRADATION") &gt; 0</f>
        <v>0</v>
      </c>
      <c r="J331" s="32" t="str">
        <f>IFERROR(__xludf.DUMMYFUNCTION("IFERROR(INDEX(FILTER('OLT DOWN Tickets'!$F:$F, REGEXMATCH('OLT DOWN Tickets'!$AB:$AB, ""(?i)""&amp;TRIM(D331)), 'OLT DOWN Tickets'!$L:$L=""OLT DOWN""), 1), """")"),"")</f>
        <v/>
      </c>
      <c r="K331" s="32" t="str">
        <f>IFERROR(__xludf.DUMMYFUNCTION("IFERROR(INDEX(FILTER('OLT DOWN Tickets'!$F:$F, REGEXMATCH('OLT DOWN Tickets'!$AB:$AB, ""(?i)""&amp;TRIM(D331)), 'OLT DOWN Tickets'!$L:$L=""OLT UPLINK LOW POWER""), 1), """")"),"")</f>
        <v/>
      </c>
      <c r="L331" s="32" t="str">
        <f>IFERROR(__xludf.DUMMYFUNCTION("IFERROR(INDEX(FILTER('OLT DOWN Tickets'!$F:$F, REGEXMATCH('OLT DOWN Tickets'!$AB:$AB, ""(?i)""&amp;TRIM(D331)), 'OLT DOWN Tickets'!$L:$L=""OLT UPLINK DOWN""), 1), """")"),"")</f>
        <v/>
      </c>
      <c r="M331" s="32" t="str">
        <f>IFERROR(__xludf.DUMMYFUNCTION("IFERROR(INDEX(FILTER('OLT DOWN Tickets'!$F:$F, REGEXMATCH('OLT DOWN Tickets'!$AB:$AB, ""(?i)""&amp;TRIM(D331)), 'OLT DOWN Tickets'!$L:$L=""OLT SERVICE DEGRADATION""), 1), """")
"),"")</f>
        <v/>
      </c>
      <c r="N331" s="6" t="b">
        <v>0</v>
      </c>
      <c r="O331" s="6" t="b">
        <v>0</v>
      </c>
      <c r="P331" s="6" t="b">
        <v>0</v>
      </c>
      <c r="Q331" s="6" t="b">
        <v>0</v>
      </c>
      <c r="R331" s="6"/>
      <c r="S331" s="6"/>
      <c r="T331" s="6"/>
      <c r="U331" s="6"/>
    </row>
    <row r="332">
      <c r="A332" s="19"/>
      <c r="B332" s="26" t="s">
        <v>117</v>
      </c>
      <c r="C332" s="26" t="s">
        <v>594</v>
      </c>
      <c r="D332" s="27" t="s">
        <v>596</v>
      </c>
      <c r="E332" s="6" t="b">
        <f t="shared" si="1"/>
        <v>1</v>
      </c>
      <c r="F332" s="6" t="b">
        <f>COUNTIFS('OLT DOWN Tickets'!$AB:$AB, "*" &amp; D332 &amp; "*", 'OLT DOWN Tickets'!$L:$L, "OLT DOWN") &gt; 0</f>
        <v>0</v>
      </c>
      <c r="G332" s="6" t="b">
        <f>COUNTIFS('OLT DOWN Tickets'!$AB:$AB, "*" &amp; D332 &amp; "*", 'OLT DOWN Tickets'!$L:$L, "OLT UPLINK LOW POWER") &gt; 0</f>
        <v>0</v>
      </c>
      <c r="H332" s="6" t="b">
        <f>COUNTIFS('OLT DOWN Tickets'!$AB:$AB, "*" &amp; D332 &amp; "*", 'OLT DOWN Tickets'!$L:$L, "OLT UPLINK DOWN") &gt; 0</f>
        <v>0</v>
      </c>
      <c r="I332" s="6" t="b">
        <f>COUNTIFS('OLT DOWN Tickets'!$AB:$AB, "*" &amp; D332 &amp; "*", 'OLT DOWN Tickets'!$L:$L, "OLT SERVICE DEGRADATION") &gt; 0</f>
        <v>0</v>
      </c>
      <c r="J332" s="32" t="str">
        <f>IFERROR(__xludf.DUMMYFUNCTION("IFERROR(INDEX(FILTER('OLT DOWN Tickets'!$F:$F, REGEXMATCH('OLT DOWN Tickets'!$AB:$AB, ""(?i)""&amp;TRIM(D332)), 'OLT DOWN Tickets'!$L:$L=""OLT DOWN""), 1), """")"),"")</f>
        <v/>
      </c>
      <c r="K332" s="32" t="str">
        <f>IFERROR(__xludf.DUMMYFUNCTION("IFERROR(INDEX(FILTER('OLT DOWN Tickets'!$F:$F, REGEXMATCH('OLT DOWN Tickets'!$AB:$AB, ""(?i)""&amp;TRIM(D332)), 'OLT DOWN Tickets'!$L:$L=""OLT UPLINK LOW POWER""), 1), """")"),"")</f>
        <v/>
      </c>
      <c r="L332" s="32" t="str">
        <f>IFERROR(__xludf.DUMMYFUNCTION("IFERROR(INDEX(FILTER('OLT DOWN Tickets'!$F:$F, REGEXMATCH('OLT DOWN Tickets'!$AB:$AB, ""(?i)""&amp;TRIM(D332)), 'OLT DOWN Tickets'!$L:$L=""OLT UPLINK DOWN""), 1), """")"),"")</f>
        <v/>
      </c>
      <c r="M332" s="32" t="str">
        <f>IFERROR(__xludf.DUMMYFUNCTION("IFERROR(INDEX(FILTER('OLT DOWN Tickets'!$F:$F, REGEXMATCH('OLT DOWN Tickets'!$AB:$AB, ""(?i)""&amp;TRIM(D332)), 'OLT DOWN Tickets'!$L:$L=""OLT SERVICE DEGRADATION""), 1), """")
"),"")</f>
        <v/>
      </c>
      <c r="N332" s="6" t="b">
        <v>0</v>
      </c>
      <c r="O332" s="6" t="b">
        <v>0</v>
      </c>
      <c r="P332" s="6" t="b">
        <v>0</v>
      </c>
      <c r="Q332" s="6" t="b">
        <v>0</v>
      </c>
      <c r="R332" s="6"/>
      <c r="S332" s="6"/>
      <c r="T332" s="6"/>
      <c r="U332" s="6"/>
    </row>
    <row r="333">
      <c r="A333" s="19"/>
      <c r="B333" s="26" t="s">
        <v>117</v>
      </c>
      <c r="C333" s="26" t="s">
        <v>594</v>
      </c>
      <c r="D333" s="27" t="s">
        <v>597</v>
      </c>
      <c r="E333" s="6" t="b">
        <f t="shared" si="1"/>
        <v>1</v>
      </c>
      <c r="F333" s="6" t="b">
        <f>COUNTIFS('OLT DOWN Tickets'!$AB:$AB, "*" &amp; D333 &amp; "*", 'OLT DOWN Tickets'!$L:$L, "OLT DOWN") &gt; 0</f>
        <v>0</v>
      </c>
      <c r="G333" s="6" t="b">
        <f>COUNTIFS('OLT DOWN Tickets'!$AB:$AB, "*" &amp; D333 &amp; "*", 'OLT DOWN Tickets'!$L:$L, "OLT UPLINK LOW POWER") &gt; 0</f>
        <v>0</v>
      </c>
      <c r="H333" s="6" t="b">
        <f>COUNTIFS('OLT DOWN Tickets'!$AB:$AB, "*" &amp; D333 &amp; "*", 'OLT DOWN Tickets'!$L:$L, "OLT UPLINK DOWN") &gt; 0</f>
        <v>0</v>
      </c>
      <c r="I333" s="6" t="b">
        <f>COUNTIFS('OLT DOWN Tickets'!$AB:$AB, "*" &amp; D333 &amp; "*", 'OLT DOWN Tickets'!$L:$L, "OLT SERVICE DEGRADATION") &gt; 0</f>
        <v>0</v>
      </c>
      <c r="J333" s="32" t="str">
        <f>IFERROR(__xludf.DUMMYFUNCTION("IFERROR(INDEX(FILTER('OLT DOWN Tickets'!$F:$F, REGEXMATCH('OLT DOWN Tickets'!$AB:$AB, ""(?i)""&amp;TRIM(D333)), 'OLT DOWN Tickets'!$L:$L=""OLT DOWN""), 1), """")"),"")</f>
        <v/>
      </c>
      <c r="K333" s="32" t="str">
        <f>IFERROR(__xludf.DUMMYFUNCTION("IFERROR(INDEX(FILTER('OLT DOWN Tickets'!$F:$F, REGEXMATCH('OLT DOWN Tickets'!$AB:$AB, ""(?i)""&amp;TRIM(D333)), 'OLT DOWN Tickets'!$L:$L=""OLT UPLINK LOW POWER""), 1), """")"),"")</f>
        <v/>
      </c>
      <c r="L333" s="32" t="str">
        <f>IFERROR(__xludf.DUMMYFUNCTION("IFERROR(INDEX(FILTER('OLT DOWN Tickets'!$F:$F, REGEXMATCH('OLT DOWN Tickets'!$AB:$AB, ""(?i)""&amp;TRIM(D333)), 'OLT DOWN Tickets'!$L:$L=""OLT UPLINK DOWN""), 1), """")"),"")</f>
        <v/>
      </c>
      <c r="M333" s="32" t="str">
        <f>IFERROR(__xludf.DUMMYFUNCTION("IFERROR(INDEX(FILTER('OLT DOWN Tickets'!$F:$F, REGEXMATCH('OLT DOWN Tickets'!$AB:$AB, ""(?i)""&amp;TRIM(D333)), 'OLT DOWN Tickets'!$L:$L=""OLT SERVICE DEGRADATION""), 1), """")
"),"")</f>
        <v/>
      </c>
      <c r="N333" s="6" t="b">
        <v>0</v>
      </c>
      <c r="O333" s="6" t="b">
        <v>0</v>
      </c>
      <c r="P333" s="6" t="b">
        <v>0</v>
      </c>
      <c r="Q333" s="6" t="b">
        <v>0</v>
      </c>
      <c r="R333" s="6"/>
      <c r="S333" s="6"/>
      <c r="T333" s="6"/>
      <c r="U333" s="6"/>
    </row>
    <row r="334">
      <c r="A334" s="19"/>
      <c r="B334" s="26" t="s">
        <v>117</v>
      </c>
      <c r="C334" s="26" t="s">
        <v>598</v>
      </c>
      <c r="D334" s="27" t="s">
        <v>599</v>
      </c>
      <c r="E334" s="6" t="b">
        <f t="shared" si="1"/>
        <v>1</v>
      </c>
      <c r="F334" s="6" t="b">
        <f>COUNTIFS('OLT DOWN Tickets'!$AB:$AB, "*" &amp; D334 &amp; "*", 'OLT DOWN Tickets'!$L:$L, "OLT DOWN") &gt; 0</f>
        <v>0</v>
      </c>
      <c r="G334" s="6" t="b">
        <f>COUNTIFS('OLT DOWN Tickets'!$AB:$AB, "*" &amp; D334 &amp; "*", 'OLT DOWN Tickets'!$L:$L, "OLT UPLINK LOW POWER") &gt; 0</f>
        <v>0</v>
      </c>
      <c r="H334" s="6" t="b">
        <f>COUNTIFS('OLT DOWN Tickets'!$AB:$AB, "*" &amp; D334 &amp; "*", 'OLT DOWN Tickets'!$L:$L, "OLT UPLINK DOWN") &gt; 0</f>
        <v>0</v>
      </c>
      <c r="I334" s="6" t="b">
        <f>COUNTIFS('OLT DOWN Tickets'!$AB:$AB, "*" &amp; D334 &amp; "*", 'OLT DOWN Tickets'!$L:$L, "OLT SERVICE DEGRADATION") &gt; 0</f>
        <v>0</v>
      </c>
      <c r="J334" s="32" t="str">
        <f>IFERROR(__xludf.DUMMYFUNCTION("IFERROR(INDEX(FILTER('OLT DOWN Tickets'!$F:$F, REGEXMATCH('OLT DOWN Tickets'!$AB:$AB, ""(?i)""&amp;TRIM(D334)), 'OLT DOWN Tickets'!$L:$L=""OLT DOWN""), 1), """")"),"")</f>
        <v/>
      </c>
      <c r="K334" s="32" t="str">
        <f>IFERROR(__xludf.DUMMYFUNCTION("IFERROR(INDEX(FILTER('OLT DOWN Tickets'!$F:$F, REGEXMATCH('OLT DOWN Tickets'!$AB:$AB, ""(?i)""&amp;TRIM(D334)), 'OLT DOWN Tickets'!$L:$L=""OLT UPLINK LOW POWER""), 1), """")"),"")</f>
        <v/>
      </c>
      <c r="L334" s="32" t="str">
        <f>IFERROR(__xludf.DUMMYFUNCTION("IFERROR(INDEX(FILTER('OLT DOWN Tickets'!$F:$F, REGEXMATCH('OLT DOWN Tickets'!$AB:$AB, ""(?i)""&amp;TRIM(D334)), 'OLT DOWN Tickets'!$L:$L=""OLT UPLINK DOWN""), 1), """")"),"")</f>
        <v/>
      </c>
      <c r="M334" s="32" t="str">
        <f>IFERROR(__xludf.DUMMYFUNCTION("IFERROR(INDEX(FILTER('OLT DOWN Tickets'!$F:$F, REGEXMATCH('OLT DOWN Tickets'!$AB:$AB, ""(?i)""&amp;TRIM(D334)), 'OLT DOWN Tickets'!$L:$L=""OLT SERVICE DEGRADATION""), 1), """")
"),"")</f>
        <v/>
      </c>
      <c r="N334" s="6" t="b">
        <v>0</v>
      </c>
      <c r="O334" s="6" t="b">
        <v>0</v>
      </c>
      <c r="P334" s="6" t="b">
        <v>0</v>
      </c>
      <c r="Q334" s="6" t="b">
        <v>0</v>
      </c>
      <c r="R334" s="6"/>
      <c r="S334" s="6"/>
      <c r="T334" s="6"/>
      <c r="U334" s="6"/>
    </row>
    <row r="335">
      <c r="A335" s="19"/>
      <c r="B335" s="26" t="s">
        <v>117</v>
      </c>
      <c r="C335" s="26" t="s">
        <v>600</v>
      </c>
      <c r="D335" s="27" t="s">
        <v>601</v>
      </c>
      <c r="E335" s="6" t="b">
        <f t="shared" si="1"/>
        <v>1</v>
      </c>
      <c r="F335" s="6" t="b">
        <f>COUNTIFS('OLT DOWN Tickets'!$AB:$AB, "*" &amp; D335 &amp; "*", 'OLT DOWN Tickets'!$L:$L, "OLT DOWN") &gt; 0</f>
        <v>0</v>
      </c>
      <c r="G335" s="6" t="b">
        <f>COUNTIFS('OLT DOWN Tickets'!$AB:$AB, "*" &amp; D335 &amp; "*", 'OLT DOWN Tickets'!$L:$L, "OLT UPLINK LOW POWER") &gt; 0</f>
        <v>0</v>
      </c>
      <c r="H335" s="6" t="b">
        <f>COUNTIFS('OLT DOWN Tickets'!$AB:$AB, "*" &amp; D335 &amp; "*", 'OLT DOWN Tickets'!$L:$L, "OLT UPLINK DOWN") &gt; 0</f>
        <v>0</v>
      </c>
      <c r="I335" s="6" t="b">
        <f>COUNTIFS('OLT DOWN Tickets'!$AB:$AB, "*" &amp; D335 &amp; "*", 'OLT DOWN Tickets'!$L:$L, "OLT SERVICE DEGRADATION") &gt; 0</f>
        <v>0</v>
      </c>
      <c r="J335" s="32" t="str">
        <f>IFERROR(__xludf.DUMMYFUNCTION("IFERROR(INDEX(FILTER('OLT DOWN Tickets'!$F:$F, REGEXMATCH('OLT DOWN Tickets'!$AB:$AB, ""(?i)""&amp;TRIM(D335)), 'OLT DOWN Tickets'!$L:$L=""OLT DOWN""), 1), """")"),"")</f>
        <v/>
      </c>
      <c r="K335" s="32" t="str">
        <f>IFERROR(__xludf.DUMMYFUNCTION("IFERROR(INDEX(FILTER('OLT DOWN Tickets'!$F:$F, REGEXMATCH('OLT DOWN Tickets'!$AB:$AB, ""(?i)""&amp;TRIM(D335)), 'OLT DOWN Tickets'!$L:$L=""OLT UPLINK LOW POWER""), 1), """")"),"")</f>
        <v/>
      </c>
      <c r="L335" s="32" t="str">
        <f>IFERROR(__xludf.DUMMYFUNCTION("IFERROR(INDEX(FILTER('OLT DOWN Tickets'!$F:$F, REGEXMATCH('OLT DOWN Tickets'!$AB:$AB, ""(?i)""&amp;TRIM(D335)), 'OLT DOWN Tickets'!$L:$L=""OLT UPLINK DOWN""), 1), """")"),"")</f>
        <v/>
      </c>
      <c r="M335" s="32" t="str">
        <f>IFERROR(__xludf.DUMMYFUNCTION("IFERROR(INDEX(FILTER('OLT DOWN Tickets'!$F:$F, REGEXMATCH('OLT DOWN Tickets'!$AB:$AB, ""(?i)""&amp;TRIM(D335)), 'OLT DOWN Tickets'!$L:$L=""OLT SERVICE DEGRADATION""), 1), """")
"),"")</f>
        <v/>
      </c>
      <c r="N335" s="6" t="b">
        <v>0</v>
      </c>
      <c r="O335" s="6" t="b">
        <v>0</v>
      </c>
      <c r="P335" s="6" t="b">
        <v>0</v>
      </c>
      <c r="Q335" s="6" t="b">
        <v>0</v>
      </c>
      <c r="R335" s="6"/>
      <c r="S335" s="6"/>
      <c r="T335" s="6"/>
      <c r="U335" s="6"/>
    </row>
    <row r="336">
      <c r="A336" s="19"/>
      <c r="B336" s="26" t="s">
        <v>117</v>
      </c>
      <c r="C336" s="26" t="s">
        <v>600</v>
      </c>
      <c r="D336" s="27" t="s">
        <v>602</v>
      </c>
      <c r="E336" s="6" t="b">
        <f t="shared" si="1"/>
        <v>1</v>
      </c>
      <c r="F336" s="6" t="b">
        <f>COUNTIFS('OLT DOWN Tickets'!$AB:$AB, "*" &amp; D336 &amp; "*", 'OLT DOWN Tickets'!$L:$L, "OLT DOWN") &gt; 0</f>
        <v>0</v>
      </c>
      <c r="G336" s="6" t="b">
        <f>COUNTIFS('OLT DOWN Tickets'!$AB:$AB, "*" &amp; D336 &amp; "*", 'OLT DOWN Tickets'!$L:$L, "OLT UPLINK LOW POWER") &gt; 0</f>
        <v>0</v>
      </c>
      <c r="H336" s="6" t="b">
        <f>COUNTIFS('OLT DOWN Tickets'!$AB:$AB, "*" &amp; D336 &amp; "*", 'OLT DOWN Tickets'!$L:$L, "OLT UPLINK DOWN") &gt; 0</f>
        <v>0</v>
      </c>
      <c r="I336" s="6" t="b">
        <f>COUNTIFS('OLT DOWN Tickets'!$AB:$AB, "*" &amp; D336 &amp; "*", 'OLT DOWN Tickets'!$L:$L, "OLT SERVICE DEGRADATION") &gt; 0</f>
        <v>0</v>
      </c>
      <c r="J336" s="32" t="str">
        <f>IFERROR(__xludf.DUMMYFUNCTION("IFERROR(INDEX(FILTER('OLT DOWN Tickets'!$F:$F, REGEXMATCH('OLT DOWN Tickets'!$AB:$AB, ""(?i)""&amp;TRIM(D336)), 'OLT DOWN Tickets'!$L:$L=""OLT DOWN""), 1), """")"),"")</f>
        <v/>
      </c>
      <c r="K336" s="32" t="str">
        <f>IFERROR(__xludf.DUMMYFUNCTION("IFERROR(INDEX(FILTER('OLT DOWN Tickets'!$F:$F, REGEXMATCH('OLT DOWN Tickets'!$AB:$AB, ""(?i)""&amp;TRIM(D336)), 'OLT DOWN Tickets'!$L:$L=""OLT UPLINK LOW POWER""), 1), """")"),"")</f>
        <v/>
      </c>
      <c r="L336" s="32" t="str">
        <f>IFERROR(__xludf.DUMMYFUNCTION("IFERROR(INDEX(FILTER('OLT DOWN Tickets'!$F:$F, REGEXMATCH('OLT DOWN Tickets'!$AB:$AB, ""(?i)""&amp;TRIM(D336)), 'OLT DOWN Tickets'!$L:$L=""OLT UPLINK DOWN""), 1), """")"),"")</f>
        <v/>
      </c>
      <c r="M336" s="32" t="str">
        <f>IFERROR(__xludf.DUMMYFUNCTION("IFERROR(INDEX(FILTER('OLT DOWN Tickets'!$F:$F, REGEXMATCH('OLT DOWN Tickets'!$AB:$AB, ""(?i)""&amp;TRIM(D336)), 'OLT DOWN Tickets'!$L:$L=""OLT SERVICE DEGRADATION""), 1), """")
"),"")</f>
        <v/>
      </c>
      <c r="N336" s="6" t="b">
        <v>0</v>
      </c>
      <c r="O336" s="6" t="b">
        <v>0</v>
      </c>
      <c r="P336" s="6" t="b">
        <v>0</v>
      </c>
      <c r="Q336" s="6" t="b">
        <v>0</v>
      </c>
      <c r="R336" s="6"/>
      <c r="S336" s="6"/>
      <c r="T336" s="6"/>
      <c r="U336" s="6"/>
    </row>
    <row r="337">
      <c r="A337" s="19"/>
      <c r="B337" s="26" t="s">
        <v>117</v>
      </c>
      <c r="C337" s="26" t="s">
        <v>600</v>
      </c>
      <c r="D337" s="27" t="s">
        <v>603</v>
      </c>
      <c r="E337" s="6" t="b">
        <f t="shared" si="1"/>
        <v>1</v>
      </c>
      <c r="F337" s="6" t="b">
        <f>COUNTIFS('OLT DOWN Tickets'!$AB:$AB, "*" &amp; D337 &amp; "*", 'OLT DOWN Tickets'!$L:$L, "OLT DOWN") &gt; 0</f>
        <v>0</v>
      </c>
      <c r="G337" s="6" t="b">
        <f>COUNTIFS('OLT DOWN Tickets'!$AB:$AB, "*" &amp; D337 &amp; "*", 'OLT DOWN Tickets'!$L:$L, "OLT UPLINK LOW POWER") &gt; 0</f>
        <v>0</v>
      </c>
      <c r="H337" s="6" t="b">
        <f>COUNTIFS('OLT DOWN Tickets'!$AB:$AB, "*" &amp; D337 &amp; "*", 'OLT DOWN Tickets'!$L:$L, "OLT UPLINK DOWN") &gt; 0</f>
        <v>0</v>
      </c>
      <c r="I337" s="6" t="b">
        <f>COUNTIFS('OLT DOWN Tickets'!$AB:$AB, "*" &amp; D337 &amp; "*", 'OLT DOWN Tickets'!$L:$L, "OLT SERVICE DEGRADATION") &gt; 0</f>
        <v>0</v>
      </c>
      <c r="J337" s="32" t="str">
        <f>IFERROR(__xludf.DUMMYFUNCTION("IFERROR(INDEX(FILTER('OLT DOWN Tickets'!$F:$F, REGEXMATCH('OLT DOWN Tickets'!$AB:$AB, ""(?i)""&amp;TRIM(D337)), 'OLT DOWN Tickets'!$L:$L=""OLT DOWN""), 1), """")"),"")</f>
        <v/>
      </c>
      <c r="K337" s="32" t="str">
        <f>IFERROR(__xludf.DUMMYFUNCTION("IFERROR(INDEX(FILTER('OLT DOWN Tickets'!$F:$F, REGEXMATCH('OLT DOWN Tickets'!$AB:$AB, ""(?i)""&amp;TRIM(D337)), 'OLT DOWN Tickets'!$L:$L=""OLT UPLINK LOW POWER""), 1), """")"),"")</f>
        <v/>
      </c>
      <c r="L337" s="32" t="str">
        <f>IFERROR(__xludf.DUMMYFUNCTION("IFERROR(INDEX(FILTER('OLT DOWN Tickets'!$F:$F, REGEXMATCH('OLT DOWN Tickets'!$AB:$AB, ""(?i)""&amp;TRIM(D337)), 'OLT DOWN Tickets'!$L:$L=""OLT UPLINK DOWN""), 1), """")"),"")</f>
        <v/>
      </c>
      <c r="M337" s="32" t="str">
        <f>IFERROR(__xludf.DUMMYFUNCTION("IFERROR(INDEX(FILTER('OLT DOWN Tickets'!$F:$F, REGEXMATCH('OLT DOWN Tickets'!$AB:$AB, ""(?i)""&amp;TRIM(D337)), 'OLT DOWN Tickets'!$L:$L=""OLT SERVICE DEGRADATION""), 1), """")
"),"")</f>
        <v/>
      </c>
      <c r="N337" s="6" t="b">
        <v>0</v>
      </c>
      <c r="O337" s="6" t="b">
        <v>0</v>
      </c>
      <c r="P337" s="6" t="b">
        <v>0</v>
      </c>
      <c r="Q337" s="6" t="b">
        <v>0</v>
      </c>
      <c r="R337" s="6"/>
      <c r="S337" s="6"/>
      <c r="T337" s="6"/>
      <c r="U337" s="6"/>
    </row>
    <row r="338">
      <c r="A338" s="19"/>
      <c r="B338" s="26" t="s">
        <v>117</v>
      </c>
      <c r="C338" s="26" t="s">
        <v>604</v>
      </c>
      <c r="D338" s="27" t="s">
        <v>605</v>
      </c>
      <c r="E338" s="6" t="b">
        <f t="shared" si="1"/>
        <v>1</v>
      </c>
      <c r="F338" s="6" t="b">
        <f>COUNTIFS('OLT DOWN Tickets'!$AB:$AB, "*" &amp; D338 &amp; "*", 'OLT DOWN Tickets'!$L:$L, "OLT DOWN") &gt; 0</f>
        <v>0</v>
      </c>
      <c r="G338" s="6" t="b">
        <f>COUNTIFS('OLT DOWN Tickets'!$AB:$AB, "*" &amp; D338 &amp; "*", 'OLT DOWN Tickets'!$L:$L, "OLT UPLINK LOW POWER") &gt; 0</f>
        <v>0</v>
      </c>
      <c r="H338" s="6" t="b">
        <f>COUNTIFS('OLT DOWN Tickets'!$AB:$AB, "*" &amp; D338 &amp; "*", 'OLT DOWN Tickets'!$L:$L, "OLT UPLINK DOWN") &gt; 0</f>
        <v>0</v>
      </c>
      <c r="I338" s="6" t="b">
        <f>COUNTIFS('OLT DOWN Tickets'!$AB:$AB, "*" &amp; D338 &amp; "*", 'OLT DOWN Tickets'!$L:$L, "OLT SERVICE DEGRADATION") &gt; 0</f>
        <v>0</v>
      </c>
      <c r="J338" s="32" t="str">
        <f>IFERROR(__xludf.DUMMYFUNCTION("IFERROR(INDEX(FILTER('OLT DOWN Tickets'!$F:$F, REGEXMATCH('OLT DOWN Tickets'!$AB:$AB, ""(?i)""&amp;TRIM(D338)), 'OLT DOWN Tickets'!$L:$L=""OLT DOWN""), 1), """")"),"")</f>
        <v/>
      </c>
      <c r="K338" s="32" t="str">
        <f>IFERROR(__xludf.DUMMYFUNCTION("IFERROR(INDEX(FILTER('OLT DOWN Tickets'!$F:$F, REGEXMATCH('OLT DOWN Tickets'!$AB:$AB, ""(?i)""&amp;TRIM(D338)), 'OLT DOWN Tickets'!$L:$L=""OLT UPLINK LOW POWER""), 1), """")"),"")</f>
        <v/>
      </c>
      <c r="L338" s="32" t="str">
        <f>IFERROR(__xludf.DUMMYFUNCTION("IFERROR(INDEX(FILTER('OLT DOWN Tickets'!$F:$F, REGEXMATCH('OLT DOWN Tickets'!$AB:$AB, ""(?i)""&amp;TRIM(D338)), 'OLT DOWN Tickets'!$L:$L=""OLT UPLINK DOWN""), 1), """")"),"")</f>
        <v/>
      </c>
      <c r="M338" s="32" t="str">
        <f>IFERROR(__xludf.DUMMYFUNCTION("IFERROR(INDEX(FILTER('OLT DOWN Tickets'!$F:$F, REGEXMATCH('OLT DOWN Tickets'!$AB:$AB, ""(?i)""&amp;TRIM(D338)), 'OLT DOWN Tickets'!$L:$L=""OLT SERVICE DEGRADATION""), 1), """")
"),"")</f>
        <v/>
      </c>
      <c r="N338" s="6" t="b">
        <v>0</v>
      </c>
      <c r="O338" s="6" t="b">
        <v>0</v>
      </c>
      <c r="P338" s="6" t="b">
        <v>0</v>
      </c>
      <c r="Q338" s="6" t="b">
        <v>0</v>
      </c>
      <c r="R338" s="6"/>
      <c r="S338" s="6"/>
      <c r="T338" s="6"/>
      <c r="U338" s="6"/>
    </row>
    <row r="339">
      <c r="A339" s="19"/>
      <c r="B339" s="26" t="s">
        <v>117</v>
      </c>
      <c r="C339" s="26" t="s">
        <v>606</v>
      </c>
      <c r="D339" s="27" t="s">
        <v>607</v>
      </c>
      <c r="E339" s="6" t="b">
        <f t="shared" si="1"/>
        <v>1</v>
      </c>
      <c r="F339" s="6" t="b">
        <f>COUNTIFS('OLT DOWN Tickets'!$AB:$AB, "*" &amp; D339 &amp; "*", 'OLT DOWN Tickets'!$L:$L, "OLT DOWN") &gt; 0</f>
        <v>0</v>
      </c>
      <c r="G339" s="6" t="b">
        <f>COUNTIFS('OLT DOWN Tickets'!$AB:$AB, "*" &amp; D339 &amp; "*", 'OLT DOWN Tickets'!$L:$L, "OLT UPLINK LOW POWER") &gt; 0</f>
        <v>0</v>
      </c>
      <c r="H339" s="6" t="b">
        <f>COUNTIFS('OLT DOWN Tickets'!$AB:$AB, "*" &amp; D339 &amp; "*", 'OLT DOWN Tickets'!$L:$L, "OLT UPLINK DOWN") &gt; 0</f>
        <v>0</v>
      </c>
      <c r="I339" s="6" t="b">
        <f>COUNTIFS('OLT DOWN Tickets'!$AB:$AB, "*" &amp; D339 &amp; "*", 'OLT DOWN Tickets'!$L:$L, "OLT SERVICE DEGRADATION") &gt; 0</f>
        <v>0</v>
      </c>
      <c r="J339" s="32" t="str">
        <f>IFERROR(__xludf.DUMMYFUNCTION("IFERROR(INDEX(FILTER('OLT DOWN Tickets'!$F:$F, REGEXMATCH('OLT DOWN Tickets'!$AB:$AB, ""(?i)""&amp;TRIM(D339)), 'OLT DOWN Tickets'!$L:$L=""OLT DOWN""), 1), """")"),"")</f>
        <v/>
      </c>
      <c r="K339" s="32" t="str">
        <f>IFERROR(__xludf.DUMMYFUNCTION("IFERROR(INDEX(FILTER('OLT DOWN Tickets'!$F:$F, REGEXMATCH('OLT DOWN Tickets'!$AB:$AB, ""(?i)""&amp;TRIM(D339)), 'OLT DOWN Tickets'!$L:$L=""OLT UPLINK LOW POWER""), 1), """")"),"")</f>
        <v/>
      </c>
      <c r="L339" s="32" t="str">
        <f>IFERROR(__xludf.DUMMYFUNCTION("IFERROR(INDEX(FILTER('OLT DOWN Tickets'!$F:$F, REGEXMATCH('OLT DOWN Tickets'!$AB:$AB, ""(?i)""&amp;TRIM(D339)), 'OLT DOWN Tickets'!$L:$L=""OLT UPLINK DOWN""), 1), """")"),"")</f>
        <v/>
      </c>
      <c r="M339" s="32" t="str">
        <f>IFERROR(__xludf.DUMMYFUNCTION("IFERROR(INDEX(FILTER('OLT DOWN Tickets'!$F:$F, REGEXMATCH('OLT DOWN Tickets'!$AB:$AB, ""(?i)""&amp;TRIM(D339)), 'OLT DOWN Tickets'!$L:$L=""OLT SERVICE DEGRADATION""), 1), """")
"),"")</f>
        <v/>
      </c>
      <c r="N339" s="6" t="b">
        <v>0</v>
      </c>
      <c r="O339" s="6" t="b">
        <v>0</v>
      </c>
      <c r="P339" s="6" t="b">
        <v>0</v>
      </c>
      <c r="Q339" s="6" t="b">
        <v>0</v>
      </c>
      <c r="R339" s="6"/>
      <c r="S339" s="6"/>
      <c r="T339" s="6"/>
      <c r="U339" s="6"/>
    </row>
    <row r="340">
      <c r="A340" s="19"/>
      <c r="B340" s="26" t="s">
        <v>117</v>
      </c>
      <c r="C340" s="26" t="s">
        <v>608</v>
      </c>
      <c r="D340" s="27" t="s">
        <v>609</v>
      </c>
      <c r="E340" s="6" t="b">
        <f t="shared" si="1"/>
        <v>1</v>
      </c>
      <c r="F340" s="6" t="b">
        <f>COUNTIFS('OLT DOWN Tickets'!$AB:$AB, "*" &amp; D340 &amp; "*", 'OLT DOWN Tickets'!$L:$L, "OLT DOWN") &gt; 0</f>
        <v>0</v>
      </c>
      <c r="G340" s="6" t="b">
        <f>COUNTIFS('OLT DOWN Tickets'!$AB:$AB, "*" &amp; D340 &amp; "*", 'OLT DOWN Tickets'!$L:$L, "OLT UPLINK LOW POWER") &gt; 0</f>
        <v>0</v>
      </c>
      <c r="H340" s="6" t="b">
        <f>COUNTIFS('OLT DOWN Tickets'!$AB:$AB, "*" &amp; D340 &amp; "*", 'OLT DOWN Tickets'!$L:$L, "OLT UPLINK DOWN") &gt; 0</f>
        <v>0</v>
      </c>
      <c r="I340" s="6" t="b">
        <f>COUNTIFS('OLT DOWN Tickets'!$AB:$AB, "*" &amp; D340 &amp; "*", 'OLT DOWN Tickets'!$L:$L, "OLT SERVICE DEGRADATION") &gt; 0</f>
        <v>0</v>
      </c>
      <c r="J340" s="32" t="str">
        <f>IFERROR(__xludf.DUMMYFUNCTION("IFERROR(INDEX(FILTER('OLT DOWN Tickets'!$F:$F, REGEXMATCH('OLT DOWN Tickets'!$AB:$AB, ""(?i)""&amp;TRIM(D340)), 'OLT DOWN Tickets'!$L:$L=""OLT DOWN""), 1), """")"),"")</f>
        <v/>
      </c>
      <c r="K340" s="32" t="str">
        <f>IFERROR(__xludf.DUMMYFUNCTION("IFERROR(INDEX(FILTER('OLT DOWN Tickets'!$F:$F, REGEXMATCH('OLT DOWN Tickets'!$AB:$AB, ""(?i)""&amp;TRIM(D340)), 'OLT DOWN Tickets'!$L:$L=""OLT UPLINK LOW POWER""), 1), """")"),"")</f>
        <v/>
      </c>
      <c r="L340" s="32" t="str">
        <f>IFERROR(__xludf.DUMMYFUNCTION("IFERROR(INDEX(FILTER('OLT DOWN Tickets'!$F:$F, REGEXMATCH('OLT DOWN Tickets'!$AB:$AB, ""(?i)""&amp;TRIM(D340)), 'OLT DOWN Tickets'!$L:$L=""OLT UPLINK DOWN""), 1), """")"),"")</f>
        <v/>
      </c>
      <c r="M340" s="32" t="str">
        <f>IFERROR(__xludf.DUMMYFUNCTION("IFERROR(INDEX(FILTER('OLT DOWN Tickets'!$F:$F, REGEXMATCH('OLT DOWN Tickets'!$AB:$AB, ""(?i)""&amp;TRIM(D340)), 'OLT DOWN Tickets'!$L:$L=""OLT SERVICE DEGRADATION""), 1), """")
"),"")</f>
        <v/>
      </c>
      <c r="N340" s="6" t="b">
        <v>0</v>
      </c>
      <c r="O340" s="6" t="b">
        <v>0</v>
      </c>
      <c r="P340" s="6" t="b">
        <v>0</v>
      </c>
      <c r="Q340" s="6" t="b">
        <v>0</v>
      </c>
      <c r="R340" s="6"/>
      <c r="S340" s="6"/>
      <c r="T340" s="6"/>
      <c r="U340" s="6"/>
    </row>
    <row r="341">
      <c r="A341" s="19"/>
      <c r="B341" s="26" t="s">
        <v>117</v>
      </c>
      <c r="C341" s="26" t="s">
        <v>608</v>
      </c>
      <c r="D341" s="27" t="s">
        <v>610</v>
      </c>
      <c r="E341" s="6" t="b">
        <f t="shared" si="1"/>
        <v>1</v>
      </c>
      <c r="F341" s="6" t="b">
        <f>COUNTIFS('OLT DOWN Tickets'!$AB:$AB, "*" &amp; D341 &amp; "*", 'OLT DOWN Tickets'!$L:$L, "OLT DOWN") &gt; 0</f>
        <v>0</v>
      </c>
      <c r="G341" s="6" t="b">
        <f>COUNTIFS('OLT DOWN Tickets'!$AB:$AB, "*" &amp; D341 &amp; "*", 'OLT DOWN Tickets'!$L:$L, "OLT UPLINK LOW POWER") &gt; 0</f>
        <v>0</v>
      </c>
      <c r="H341" s="6" t="b">
        <f>COUNTIFS('OLT DOWN Tickets'!$AB:$AB, "*" &amp; D341 &amp; "*", 'OLT DOWN Tickets'!$L:$L, "OLT UPLINK DOWN") &gt; 0</f>
        <v>0</v>
      </c>
      <c r="I341" s="6" t="b">
        <f>COUNTIFS('OLT DOWN Tickets'!$AB:$AB, "*" &amp; D341 &amp; "*", 'OLT DOWN Tickets'!$L:$L, "OLT SERVICE DEGRADATION") &gt; 0</f>
        <v>0</v>
      </c>
      <c r="J341" s="32" t="str">
        <f>IFERROR(__xludf.DUMMYFUNCTION("IFERROR(INDEX(FILTER('OLT DOWN Tickets'!$F:$F, REGEXMATCH('OLT DOWN Tickets'!$AB:$AB, ""(?i)""&amp;TRIM(D341)), 'OLT DOWN Tickets'!$L:$L=""OLT DOWN""), 1), """")"),"")</f>
        <v/>
      </c>
      <c r="K341" s="32" t="str">
        <f>IFERROR(__xludf.DUMMYFUNCTION("IFERROR(INDEX(FILTER('OLT DOWN Tickets'!$F:$F, REGEXMATCH('OLT DOWN Tickets'!$AB:$AB, ""(?i)""&amp;TRIM(D341)), 'OLT DOWN Tickets'!$L:$L=""OLT UPLINK LOW POWER""), 1), """")"),"")</f>
        <v/>
      </c>
      <c r="L341" s="32" t="str">
        <f>IFERROR(__xludf.DUMMYFUNCTION("IFERROR(INDEX(FILTER('OLT DOWN Tickets'!$F:$F, REGEXMATCH('OLT DOWN Tickets'!$AB:$AB, ""(?i)""&amp;TRIM(D341)), 'OLT DOWN Tickets'!$L:$L=""OLT UPLINK DOWN""), 1), """")"),"")</f>
        <v/>
      </c>
      <c r="M341" s="32" t="str">
        <f>IFERROR(__xludf.DUMMYFUNCTION("IFERROR(INDEX(FILTER('OLT DOWN Tickets'!$F:$F, REGEXMATCH('OLT DOWN Tickets'!$AB:$AB, ""(?i)""&amp;TRIM(D341)), 'OLT DOWN Tickets'!$L:$L=""OLT SERVICE DEGRADATION""), 1), """")
"),"")</f>
        <v/>
      </c>
      <c r="N341" s="6" t="b">
        <v>0</v>
      </c>
      <c r="O341" s="6" t="b">
        <v>0</v>
      </c>
      <c r="P341" s="6" t="b">
        <v>0</v>
      </c>
      <c r="Q341" s="6" t="b">
        <v>0</v>
      </c>
      <c r="R341" s="6"/>
      <c r="S341" s="6"/>
      <c r="T341" s="6"/>
      <c r="U341" s="6"/>
    </row>
    <row r="342">
      <c r="A342" s="19"/>
      <c r="B342" s="26" t="s">
        <v>117</v>
      </c>
      <c r="C342" s="26" t="s">
        <v>611</v>
      </c>
      <c r="D342" s="27" t="s">
        <v>612</v>
      </c>
      <c r="E342" s="6" t="b">
        <f t="shared" si="1"/>
        <v>1</v>
      </c>
      <c r="F342" s="6" t="b">
        <f>COUNTIFS('OLT DOWN Tickets'!$AB:$AB, "*" &amp; D342 &amp; "*", 'OLT DOWN Tickets'!$L:$L, "OLT DOWN") &gt; 0</f>
        <v>0</v>
      </c>
      <c r="G342" s="6" t="b">
        <f>COUNTIFS('OLT DOWN Tickets'!$AB:$AB, "*" &amp; D342 &amp; "*", 'OLT DOWN Tickets'!$L:$L, "OLT UPLINK LOW POWER") &gt; 0</f>
        <v>0</v>
      </c>
      <c r="H342" s="6" t="b">
        <f>COUNTIFS('OLT DOWN Tickets'!$AB:$AB, "*" &amp; D342 &amp; "*", 'OLT DOWN Tickets'!$L:$L, "OLT UPLINK DOWN") &gt; 0</f>
        <v>0</v>
      </c>
      <c r="I342" s="6" t="b">
        <f>COUNTIFS('OLT DOWN Tickets'!$AB:$AB, "*" &amp; D342 &amp; "*", 'OLT DOWN Tickets'!$L:$L, "OLT SERVICE DEGRADATION") &gt; 0</f>
        <v>0</v>
      </c>
      <c r="J342" s="32" t="str">
        <f>IFERROR(__xludf.DUMMYFUNCTION("IFERROR(INDEX(FILTER('OLT DOWN Tickets'!$F:$F, REGEXMATCH('OLT DOWN Tickets'!$AB:$AB, ""(?i)""&amp;TRIM(D342)), 'OLT DOWN Tickets'!$L:$L=""OLT DOWN""), 1), """")"),"")</f>
        <v/>
      </c>
      <c r="K342" s="32" t="str">
        <f>IFERROR(__xludf.DUMMYFUNCTION("IFERROR(INDEX(FILTER('OLT DOWN Tickets'!$F:$F, REGEXMATCH('OLT DOWN Tickets'!$AB:$AB, ""(?i)""&amp;TRIM(D342)), 'OLT DOWN Tickets'!$L:$L=""OLT UPLINK LOW POWER""), 1), """")"),"")</f>
        <v/>
      </c>
      <c r="L342" s="32" t="str">
        <f>IFERROR(__xludf.DUMMYFUNCTION("IFERROR(INDEX(FILTER('OLT DOWN Tickets'!$F:$F, REGEXMATCH('OLT DOWN Tickets'!$AB:$AB, ""(?i)""&amp;TRIM(D342)), 'OLT DOWN Tickets'!$L:$L=""OLT UPLINK DOWN""), 1), """")"),"")</f>
        <v/>
      </c>
      <c r="M342" s="32" t="str">
        <f>IFERROR(__xludf.DUMMYFUNCTION("IFERROR(INDEX(FILTER('OLT DOWN Tickets'!$F:$F, REGEXMATCH('OLT DOWN Tickets'!$AB:$AB, ""(?i)""&amp;TRIM(D342)), 'OLT DOWN Tickets'!$L:$L=""OLT SERVICE DEGRADATION""), 1), """")
"),"")</f>
        <v/>
      </c>
      <c r="N342" s="6" t="b">
        <v>0</v>
      </c>
      <c r="O342" s="6" t="b">
        <v>0</v>
      </c>
      <c r="P342" s="6" t="b">
        <v>0</v>
      </c>
      <c r="Q342" s="6" t="b">
        <v>0</v>
      </c>
      <c r="R342" s="6"/>
      <c r="S342" s="6"/>
      <c r="T342" s="6"/>
      <c r="U342" s="6"/>
    </row>
    <row r="343">
      <c r="A343" s="19"/>
      <c r="B343" s="26" t="s">
        <v>117</v>
      </c>
      <c r="C343" s="26" t="s">
        <v>611</v>
      </c>
      <c r="D343" s="27" t="s">
        <v>613</v>
      </c>
      <c r="E343" s="6" t="b">
        <f t="shared" si="1"/>
        <v>1</v>
      </c>
      <c r="F343" s="6" t="b">
        <f>COUNTIFS('OLT DOWN Tickets'!$AB:$AB, "*" &amp; D343 &amp; "*", 'OLT DOWN Tickets'!$L:$L, "OLT DOWN") &gt; 0</f>
        <v>0</v>
      </c>
      <c r="G343" s="6" t="b">
        <f>COUNTIFS('OLT DOWN Tickets'!$AB:$AB, "*" &amp; D343 &amp; "*", 'OLT DOWN Tickets'!$L:$L, "OLT UPLINK LOW POWER") &gt; 0</f>
        <v>0</v>
      </c>
      <c r="H343" s="6" t="b">
        <f>COUNTIFS('OLT DOWN Tickets'!$AB:$AB, "*" &amp; D343 &amp; "*", 'OLT DOWN Tickets'!$L:$L, "OLT UPLINK DOWN") &gt; 0</f>
        <v>0</v>
      </c>
      <c r="I343" s="6" t="b">
        <f>COUNTIFS('OLT DOWN Tickets'!$AB:$AB, "*" &amp; D343 &amp; "*", 'OLT DOWN Tickets'!$L:$L, "OLT SERVICE DEGRADATION") &gt; 0</f>
        <v>0</v>
      </c>
      <c r="J343" s="32" t="str">
        <f>IFERROR(__xludf.DUMMYFUNCTION("IFERROR(INDEX(FILTER('OLT DOWN Tickets'!$F:$F, REGEXMATCH('OLT DOWN Tickets'!$AB:$AB, ""(?i)""&amp;TRIM(D343)), 'OLT DOWN Tickets'!$L:$L=""OLT DOWN""), 1), """")"),"")</f>
        <v/>
      </c>
      <c r="K343" s="32" t="str">
        <f>IFERROR(__xludf.DUMMYFUNCTION("IFERROR(INDEX(FILTER('OLT DOWN Tickets'!$F:$F, REGEXMATCH('OLT DOWN Tickets'!$AB:$AB, ""(?i)""&amp;TRIM(D343)), 'OLT DOWN Tickets'!$L:$L=""OLT UPLINK LOW POWER""), 1), """")"),"")</f>
        <v/>
      </c>
      <c r="L343" s="32" t="str">
        <f>IFERROR(__xludf.DUMMYFUNCTION("IFERROR(INDEX(FILTER('OLT DOWN Tickets'!$F:$F, REGEXMATCH('OLT DOWN Tickets'!$AB:$AB, ""(?i)""&amp;TRIM(D343)), 'OLT DOWN Tickets'!$L:$L=""OLT UPLINK DOWN""), 1), """")"),"")</f>
        <v/>
      </c>
      <c r="M343" s="32" t="str">
        <f>IFERROR(__xludf.DUMMYFUNCTION("IFERROR(INDEX(FILTER('OLT DOWN Tickets'!$F:$F, REGEXMATCH('OLT DOWN Tickets'!$AB:$AB, ""(?i)""&amp;TRIM(D343)), 'OLT DOWN Tickets'!$L:$L=""OLT SERVICE DEGRADATION""), 1), """")
"),"")</f>
        <v/>
      </c>
      <c r="N343" s="6" t="b">
        <v>0</v>
      </c>
      <c r="O343" s="6" t="b">
        <v>0</v>
      </c>
      <c r="P343" s="6" t="b">
        <v>0</v>
      </c>
      <c r="Q343" s="6" t="b">
        <v>0</v>
      </c>
      <c r="R343" s="6"/>
      <c r="S343" s="6"/>
      <c r="T343" s="6"/>
      <c r="U343" s="6"/>
    </row>
    <row r="344">
      <c r="A344" s="19"/>
      <c r="B344" s="26" t="s">
        <v>117</v>
      </c>
      <c r="C344" s="26" t="s">
        <v>611</v>
      </c>
      <c r="D344" s="27" t="s">
        <v>614</v>
      </c>
      <c r="E344" s="6" t="b">
        <f t="shared" si="1"/>
        <v>1</v>
      </c>
      <c r="F344" s="6" t="b">
        <f>COUNTIFS('OLT DOWN Tickets'!$AB:$AB, "*" &amp; D344 &amp; "*", 'OLT DOWN Tickets'!$L:$L, "OLT DOWN") &gt; 0</f>
        <v>0</v>
      </c>
      <c r="G344" s="6" t="b">
        <f>COUNTIFS('OLT DOWN Tickets'!$AB:$AB, "*" &amp; D344 &amp; "*", 'OLT DOWN Tickets'!$L:$L, "OLT UPLINK LOW POWER") &gt; 0</f>
        <v>0</v>
      </c>
      <c r="H344" s="6" t="b">
        <f>COUNTIFS('OLT DOWN Tickets'!$AB:$AB, "*" &amp; D344 &amp; "*", 'OLT DOWN Tickets'!$L:$L, "OLT UPLINK DOWN") &gt; 0</f>
        <v>0</v>
      </c>
      <c r="I344" s="6" t="b">
        <f>COUNTIFS('OLT DOWN Tickets'!$AB:$AB, "*" &amp; D344 &amp; "*", 'OLT DOWN Tickets'!$L:$L, "OLT SERVICE DEGRADATION") &gt; 0</f>
        <v>0</v>
      </c>
      <c r="J344" s="32" t="str">
        <f>IFERROR(__xludf.DUMMYFUNCTION("IFERROR(INDEX(FILTER('OLT DOWN Tickets'!$F:$F, REGEXMATCH('OLT DOWN Tickets'!$AB:$AB, ""(?i)""&amp;TRIM(D344)), 'OLT DOWN Tickets'!$L:$L=""OLT DOWN""), 1), """")"),"")</f>
        <v/>
      </c>
      <c r="K344" s="32" t="str">
        <f>IFERROR(__xludf.DUMMYFUNCTION("IFERROR(INDEX(FILTER('OLT DOWN Tickets'!$F:$F, REGEXMATCH('OLT DOWN Tickets'!$AB:$AB, ""(?i)""&amp;TRIM(D344)), 'OLT DOWN Tickets'!$L:$L=""OLT UPLINK LOW POWER""), 1), """")"),"")</f>
        <v/>
      </c>
      <c r="L344" s="32" t="str">
        <f>IFERROR(__xludf.DUMMYFUNCTION("IFERROR(INDEX(FILTER('OLT DOWN Tickets'!$F:$F, REGEXMATCH('OLT DOWN Tickets'!$AB:$AB, ""(?i)""&amp;TRIM(D344)), 'OLT DOWN Tickets'!$L:$L=""OLT UPLINK DOWN""), 1), """")"),"")</f>
        <v/>
      </c>
      <c r="M344" s="32" t="str">
        <f>IFERROR(__xludf.DUMMYFUNCTION("IFERROR(INDEX(FILTER('OLT DOWN Tickets'!$F:$F, REGEXMATCH('OLT DOWN Tickets'!$AB:$AB, ""(?i)""&amp;TRIM(D344)), 'OLT DOWN Tickets'!$L:$L=""OLT SERVICE DEGRADATION""), 1), """")
"),"")</f>
        <v/>
      </c>
      <c r="N344" s="6" t="b">
        <v>0</v>
      </c>
      <c r="O344" s="6" t="b">
        <v>0</v>
      </c>
      <c r="P344" s="6" t="b">
        <v>0</v>
      </c>
      <c r="Q344" s="6" t="b">
        <v>0</v>
      </c>
      <c r="R344" s="6"/>
      <c r="S344" s="6"/>
      <c r="T344" s="6"/>
      <c r="U344" s="6"/>
    </row>
    <row r="345">
      <c r="A345" s="19"/>
      <c r="B345" s="26" t="s">
        <v>117</v>
      </c>
      <c r="C345" s="26" t="s">
        <v>615</v>
      </c>
      <c r="D345" s="27" t="s">
        <v>616</v>
      </c>
      <c r="E345" s="6" t="b">
        <f t="shared" si="1"/>
        <v>1</v>
      </c>
      <c r="F345" s="6" t="b">
        <f>COUNTIFS('OLT DOWN Tickets'!$AB:$AB, "*" &amp; D345 &amp; "*", 'OLT DOWN Tickets'!$L:$L, "OLT DOWN") &gt; 0</f>
        <v>0</v>
      </c>
      <c r="G345" s="6" t="b">
        <f>COUNTIFS('OLT DOWN Tickets'!$AB:$AB, "*" &amp; D345 &amp; "*", 'OLT DOWN Tickets'!$L:$L, "OLT UPLINK LOW POWER") &gt; 0</f>
        <v>0</v>
      </c>
      <c r="H345" s="6" t="b">
        <f>COUNTIFS('OLT DOWN Tickets'!$AB:$AB, "*" &amp; D345 &amp; "*", 'OLT DOWN Tickets'!$L:$L, "OLT UPLINK DOWN") &gt; 0</f>
        <v>0</v>
      </c>
      <c r="I345" s="6" t="b">
        <f>COUNTIFS('OLT DOWN Tickets'!$AB:$AB, "*" &amp; D345 &amp; "*", 'OLT DOWN Tickets'!$L:$L, "OLT SERVICE DEGRADATION") &gt; 0</f>
        <v>0</v>
      </c>
      <c r="J345" s="32" t="str">
        <f>IFERROR(__xludf.DUMMYFUNCTION("IFERROR(INDEX(FILTER('OLT DOWN Tickets'!$F:$F, REGEXMATCH('OLT DOWN Tickets'!$AB:$AB, ""(?i)""&amp;TRIM(D345)), 'OLT DOWN Tickets'!$L:$L=""OLT DOWN""), 1), """")"),"")</f>
        <v/>
      </c>
      <c r="K345" s="32" t="str">
        <f>IFERROR(__xludf.DUMMYFUNCTION("IFERROR(INDEX(FILTER('OLT DOWN Tickets'!$F:$F, REGEXMATCH('OLT DOWN Tickets'!$AB:$AB, ""(?i)""&amp;TRIM(D345)), 'OLT DOWN Tickets'!$L:$L=""OLT UPLINK LOW POWER""), 1), """")"),"")</f>
        <v/>
      </c>
      <c r="L345" s="32" t="str">
        <f>IFERROR(__xludf.DUMMYFUNCTION("IFERROR(INDEX(FILTER('OLT DOWN Tickets'!$F:$F, REGEXMATCH('OLT DOWN Tickets'!$AB:$AB, ""(?i)""&amp;TRIM(D345)), 'OLT DOWN Tickets'!$L:$L=""OLT UPLINK DOWN""), 1), """")"),"")</f>
        <v/>
      </c>
      <c r="M345" s="32" t="str">
        <f>IFERROR(__xludf.DUMMYFUNCTION("IFERROR(INDEX(FILTER('OLT DOWN Tickets'!$F:$F, REGEXMATCH('OLT DOWN Tickets'!$AB:$AB, ""(?i)""&amp;TRIM(D345)), 'OLT DOWN Tickets'!$L:$L=""OLT SERVICE DEGRADATION""), 1), """")
"),"")</f>
        <v/>
      </c>
      <c r="N345" s="6" t="b">
        <v>0</v>
      </c>
      <c r="O345" s="6" t="b">
        <v>0</v>
      </c>
      <c r="P345" s="6" t="b">
        <v>0</v>
      </c>
      <c r="Q345" s="6" t="b">
        <v>0</v>
      </c>
      <c r="R345" s="6"/>
      <c r="S345" s="6"/>
      <c r="T345" s="6"/>
      <c r="U345" s="6"/>
    </row>
    <row r="346">
      <c r="A346" s="19"/>
      <c r="B346" s="26" t="s">
        <v>117</v>
      </c>
      <c r="C346" s="26" t="s">
        <v>617</v>
      </c>
      <c r="D346" s="27" t="s">
        <v>618</v>
      </c>
      <c r="E346" s="6" t="b">
        <f t="shared" si="1"/>
        <v>1</v>
      </c>
      <c r="F346" s="6" t="b">
        <f>COUNTIFS('OLT DOWN Tickets'!$AB:$AB, "*" &amp; D346 &amp; "*", 'OLT DOWN Tickets'!$L:$L, "OLT DOWN") &gt; 0</f>
        <v>0</v>
      </c>
      <c r="G346" s="6" t="b">
        <f>COUNTIFS('OLT DOWN Tickets'!$AB:$AB, "*" &amp; D346 &amp; "*", 'OLT DOWN Tickets'!$L:$L, "OLT UPLINK LOW POWER") &gt; 0</f>
        <v>0</v>
      </c>
      <c r="H346" s="6" t="b">
        <f>COUNTIFS('OLT DOWN Tickets'!$AB:$AB, "*" &amp; D346 &amp; "*", 'OLT DOWN Tickets'!$L:$L, "OLT UPLINK DOWN") &gt; 0</f>
        <v>0</v>
      </c>
      <c r="I346" s="6" t="b">
        <f>COUNTIFS('OLT DOWN Tickets'!$AB:$AB, "*" &amp; D346 &amp; "*", 'OLT DOWN Tickets'!$L:$L, "OLT SERVICE DEGRADATION") &gt; 0</f>
        <v>0</v>
      </c>
      <c r="J346" s="32" t="str">
        <f>IFERROR(__xludf.DUMMYFUNCTION("IFERROR(INDEX(FILTER('OLT DOWN Tickets'!$F:$F, REGEXMATCH('OLT DOWN Tickets'!$AB:$AB, ""(?i)""&amp;TRIM(D346)), 'OLT DOWN Tickets'!$L:$L=""OLT DOWN""), 1), """")"),"")</f>
        <v/>
      </c>
      <c r="K346" s="32" t="str">
        <f>IFERROR(__xludf.DUMMYFUNCTION("IFERROR(INDEX(FILTER('OLT DOWN Tickets'!$F:$F, REGEXMATCH('OLT DOWN Tickets'!$AB:$AB, ""(?i)""&amp;TRIM(D346)), 'OLT DOWN Tickets'!$L:$L=""OLT UPLINK LOW POWER""), 1), """")"),"")</f>
        <v/>
      </c>
      <c r="L346" s="32" t="str">
        <f>IFERROR(__xludf.DUMMYFUNCTION("IFERROR(INDEX(FILTER('OLT DOWN Tickets'!$F:$F, REGEXMATCH('OLT DOWN Tickets'!$AB:$AB, ""(?i)""&amp;TRIM(D346)), 'OLT DOWN Tickets'!$L:$L=""OLT UPLINK DOWN""), 1), """")"),"")</f>
        <v/>
      </c>
      <c r="M346" s="32" t="str">
        <f>IFERROR(__xludf.DUMMYFUNCTION("IFERROR(INDEX(FILTER('OLT DOWN Tickets'!$F:$F, REGEXMATCH('OLT DOWN Tickets'!$AB:$AB, ""(?i)""&amp;TRIM(D346)), 'OLT DOWN Tickets'!$L:$L=""OLT SERVICE DEGRADATION""), 1), """")
"),"")</f>
        <v/>
      </c>
      <c r="N346" s="6" t="b">
        <v>0</v>
      </c>
      <c r="O346" s="6" t="b">
        <v>0</v>
      </c>
      <c r="P346" s="6" t="b">
        <v>0</v>
      </c>
      <c r="Q346" s="6" t="b">
        <v>0</v>
      </c>
      <c r="R346" s="6"/>
      <c r="S346" s="6"/>
      <c r="T346" s="6"/>
      <c r="U346" s="6"/>
    </row>
    <row r="347">
      <c r="A347" s="19"/>
      <c r="B347" s="26" t="s">
        <v>117</v>
      </c>
      <c r="C347" s="26" t="s">
        <v>617</v>
      </c>
      <c r="D347" s="27" t="s">
        <v>619</v>
      </c>
      <c r="E347" s="6" t="b">
        <f t="shared" si="1"/>
        <v>1</v>
      </c>
      <c r="F347" s="6" t="b">
        <f>COUNTIFS('OLT DOWN Tickets'!$AB:$AB, "*" &amp; D347 &amp; "*", 'OLT DOWN Tickets'!$L:$L, "OLT DOWN") &gt; 0</f>
        <v>0</v>
      </c>
      <c r="G347" s="6" t="b">
        <f>COUNTIFS('OLT DOWN Tickets'!$AB:$AB, "*" &amp; D347 &amp; "*", 'OLT DOWN Tickets'!$L:$L, "OLT UPLINK LOW POWER") &gt; 0</f>
        <v>0</v>
      </c>
      <c r="H347" s="6" t="b">
        <f>COUNTIFS('OLT DOWN Tickets'!$AB:$AB, "*" &amp; D347 &amp; "*", 'OLT DOWN Tickets'!$L:$L, "OLT UPLINK DOWN") &gt; 0</f>
        <v>0</v>
      </c>
      <c r="I347" s="6" t="b">
        <f>COUNTIFS('OLT DOWN Tickets'!$AB:$AB, "*" &amp; D347 &amp; "*", 'OLT DOWN Tickets'!$L:$L, "OLT SERVICE DEGRADATION") &gt; 0</f>
        <v>0</v>
      </c>
      <c r="J347" s="32" t="str">
        <f>IFERROR(__xludf.DUMMYFUNCTION("IFERROR(INDEX(FILTER('OLT DOWN Tickets'!$F:$F, REGEXMATCH('OLT DOWN Tickets'!$AB:$AB, ""(?i)""&amp;TRIM(D347)), 'OLT DOWN Tickets'!$L:$L=""OLT DOWN""), 1), """")"),"")</f>
        <v/>
      </c>
      <c r="K347" s="32" t="str">
        <f>IFERROR(__xludf.DUMMYFUNCTION("IFERROR(INDEX(FILTER('OLT DOWN Tickets'!$F:$F, REGEXMATCH('OLT DOWN Tickets'!$AB:$AB, ""(?i)""&amp;TRIM(D347)), 'OLT DOWN Tickets'!$L:$L=""OLT UPLINK LOW POWER""), 1), """")"),"")</f>
        <v/>
      </c>
      <c r="L347" s="32" t="str">
        <f>IFERROR(__xludf.DUMMYFUNCTION("IFERROR(INDEX(FILTER('OLT DOWN Tickets'!$F:$F, REGEXMATCH('OLT DOWN Tickets'!$AB:$AB, ""(?i)""&amp;TRIM(D347)), 'OLT DOWN Tickets'!$L:$L=""OLT UPLINK DOWN""), 1), """")"),"")</f>
        <v/>
      </c>
      <c r="M347" s="32" t="str">
        <f>IFERROR(__xludf.DUMMYFUNCTION("IFERROR(INDEX(FILTER('OLT DOWN Tickets'!$F:$F, REGEXMATCH('OLT DOWN Tickets'!$AB:$AB, ""(?i)""&amp;TRIM(D347)), 'OLT DOWN Tickets'!$L:$L=""OLT SERVICE DEGRADATION""), 1), """")
"),"")</f>
        <v/>
      </c>
      <c r="N347" s="6" t="b">
        <v>0</v>
      </c>
      <c r="O347" s="6" t="b">
        <v>0</v>
      </c>
      <c r="P347" s="6" t="b">
        <v>0</v>
      </c>
      <c r="Q347" s="6" t="b">
        <v>0</v>
      </c>
      <c r="R347" s="6"/>
      <c r="S347" s="6"/>
      <c r="T347" s="6"/>
      <c r="U347" s="6"/>
    </row>
    <row r="348">
      <c r="A348" s="19"/>
      <c r="B348" s="26" t="s">
        <v>117</v>
      </c>
      <c r="C348" s="26" t="s">
        <v>620</v>
      </c>
      <c r="D348" s="27" t="s">
        <v>621</v>
      </c>
      <c r="E348" s="6" t="b">
        <f t="shared" si="1"/>
        <v>1</v>
      </c>
      <c r="F348" s="6" t="b">
        <f>COUNTIFS('OLT DOWN Tickets'!$AB:$AB, "*" &amp; D348 &amp; "*", 'OLT DOWN Tickets'!$L:$L, "OLT DOWN") &gt; 0</f>
        <v>0</v>
      </c>
      <c r="G348" s="6" t="b">
        <f>COUNTIFS('OLT DOWN Tickets'!$AB:$AB, "*" &amp; D348 &amp; "*", 'OLT DOWN Tickets'!$L:$L, "OLT UPLINK LOW POWER") &gt; 0</f>
        <v>0</v>
      </c>
      <c r="H348" s="6" t="b">
        <f>COUNTIFS('OLT DOWN Tickets'!$AB:$AB, "*" &amp; D348 &amp; "*", 'OLT DOWN Tickets'!$L:$L, "OLT UPLINK DOWN") &gt; 0</f>
        <v>0</v>
      </c>
      <c r="I348" s="6" t="b">
        <f>COUNTIFS('OLT DOWN Tickets'!$AB:$AB, "*" &amp; D348 &amp; "*", 'OLT DOWN Tickets'!$L:$L, "OLT SERVICE DEGRADATION") &gt; 0</f>
        <v>0</v>
      </c>
      <c r="J348" s="32" t="str">
        <f>IFERROR(__xludf.DUMMYFUNCTION("IFERROR(INDEX(FILTER('OLT DOWN Tickets'!$F:$F, REGEXMATCH('OLT DOWN Tickets'!$AB:$AB, ""(?i)""&amp;TRIM(D348)), 'OLT DOWN Tickets'!$L:$L=""OLT DOWN""), 1), """")"),"")</f>
        <v/>
      </c>
      <c r="K348" s="32" t="str">
        <f>IFERROR(__xludf.DUMMYFUNCTION("IFERROR(INDEX(FILTER('OLT DOWN Tickets'!$F:$F, REGEXMATCH('OLT DOWN Tickets'!$AB:$AB, ""(?i)""&amp;TRIM(D348)), 'OLT DOWN Tickets'!$L:$L=""OLT UPLINK LOW POWER""), 1), """")"),"")</f>
        <v/>
      </c>
      <c r="L348" s="32" t="str">
        <f>IFERROR(__xludf.DUMMYFUNCTION("IFERROR(INDEX(FILTER('OLT DOWN Tickets'!$F:$F, REGEXMATCH('OLT DOWN Tickets'!$AB:$AB, ""(?i)""&amp;TRIM(D348)), 'OLT DOWN Tickets'!$L:$L=""OLT UPLINK DOWN""), 1), """")"),"")</f>
        <v/>
      </c>
      <c r="M348" s="32" t="str">
        <f>IFERROR(__xludf.DUMMYFUNCTION("IFERROR(INDEX(FILTER('OLT DOWN Tickets'!$F:$F, REGEXMATCH('OLT DOWN Tickets'!$AB:$AB, ""(?i)""&amp;TRIM(D348)), 'OLT DOWN Tickets'!$L:$L=""OLT SERVICE DEGRADATION""), 1), """")
"),"")</f>
        <v/>
      </c>
      <c r="N348" s="6" t="b">
        <v>0</v>
      </c>
      <c r="O348" s="6" t="b">
        <v>0</v>
      </c>
      <c r="P348" s="6" t="b">
        <v>0</v>
      </c>
      <c r="Q348" s="6" t="b">
        <v>0</v>
      </c>
      <c r="R348" s="6"/>
      <c r="S348" s="6"/>
      <c r="T348" s="6"/>
      <c r="U348" s="6"/>
    </row>
    <row r="349">
      <c r="A349" s="19"/>
      <c r="B349" s="26" t="s">
        <v>117</v>
      </c>
      <c r="C349" s="26" t="s">
        <v>622</v>
      </c>
      <c r="D349" s="27" t="s">
        <v>623</v>
      </c>
      <c r="E349" s="6" t="b">
        <f t="shared" si="1"/>
        <v>1</v>
      </c>
      <c r="F349" s="6" t="b">
        <f>COUNTIFS('OLT DOWN Tickets'!$AB:$AB, "*" &amp; D349 &amp; "*", 'OLT DOWN Tickets'!$L:$L, "OLT DOWN") &gt; 0</f>
        <v>0</v>
      </c>
      <c r="G349" s="6" t="b">
        <f>COUNTIFS('OLT DOWN Tickets'!$AB:$AB, "*" &amp; D349 &amp; "*", 'OLT DOWN Tickets'!$L:$L, "OLT UPLINK LOW POWER") &gt; 0</f>
        <v>0</v>
      </c>
      <c r="H349" s="6" t="b">
        <f>COUNTIFS('OLT DOWN Tickets'!$AB:$AB, "*" &amp; D349 &amp; "*", 'OLT DOWN Tickets'!$L:$L, "OLT UPLINK DOWN") &gt; 0</f>
        <v>0</v>
      </c>
      <c r="I349" s="6" t="b">
        <f>COUNTIFS('OLT DOWN Tickets'!$AB:$AB, "*" &amp; D349 &amp; "*", 'OLT DOWN Tickets'!$L:$L, "OLT SERVICE DEGRADATION") &gt; 0</f>
        <v>0</v>
      </c>
      <c r="J349" s="32" t="str">
        <f>IFERROR(__xludf.DUMMYFUNCTION("IFERROR(INDEX(FILTER('OLT DOWN Tickets'!$F:$F, REGEXMATCH('OLT DOWN Tickets'!$AB:$AB, ""(?i)""&amp;TRIM(D349)), 'OLT DOWN Tickets'!$L:$L=""OLT DOWN""), 1), """")"),"")</f>
        <v/>
      </c>
      <c r="K349" s="32" t="str">
        <f>IFERROR(__xludf.DUMMYFUNCTION("IFERROR(INDEX(FILTER('OLT DOWN Tickets'!$F:$F, REGEXMATCH('OLT DOWN Tickets'!$AB:$AB, ""(?i)""&amp;TRIM(D349)), 'OLT DOWN Tickets'!$L:$L=""OLT UPLINK LOW POWER""), 1), """")"),"")</f>
        <v/>
      </c>
      <c r="L349" s="32" t="str">
        <f>IFERROR(__xludf.DUMMYFUNCTION("IFERROR(INDEX(FILTER('OLT DOWN Tickets'!$F:$F, REGEXMATCH('OLT DOWN Tickets'!$AB:$AB, ""(?i)""&amp;TRIM(D349)), 'OLT DOWN Tickets'!$L:$L=""OLT UPLINK DOWN""), 1), """")"),"")</f>
        <v/>
      </c>
      <c r="M349" s="32" t="str">
        <f>IFERROR(__xludf.DUMMYFUNCTION("IFERROR(INDEX(FILTER('OLT DOWN Tickets'!$F:$F, REGEXMATCH('OLT DOWN Tickets'!$AB:$AB, ""(?i)""&amp;TRIM(D349)), 'OLT DOWN Tickets'!$L:$L=""OLT SERVICE DEGRADATION""), 1), """")
"),"")</f>
        <v/>
      </c>
      <c r="N349" s="6" t="b">
        <v>0</v>
      </c>
      <c r="O349" s="6" t="b">
        <v>0</v>
      </c>
      <c r="P349" s="6" t="b">
        <v>0</v>
      </c>
      <c r="Q349" s="6" t="b">
        <v>0</v>
      </c>
      <c r="R349" s="6"/>
      <c r="S349" s="6"/>
      <c r="T349" s="6"/>
      <c r="U349" s="6"/>
    </row>
    <row r="350">
      <c r="A350" s="19"/>
      <c r="B350" s="26" t="s">
        <v>117</v>
      </c>
      <c r="C350" s="26" t="s">
        <v>622</v>
      </c>
      <c r="D350" s="27" t="s">
        <v>624</v>
      </c>
      <c r="E350" s="6" t="b">
        <f t="shared" si="1"/>
        <v>1</v>
      </c>
      <c r="F350" s="6" t="b">
        <f>COUNTIFS('OLT DOWN Tickets'!$AB:$AB, "*" &amp; D350 &amp; "*", 'OLT DOWN Tickets'!$L:$L, "OLT DOWN") &gt; 0</f>
        <v>0</v>
      </c>
      <c r="G350" s="6" t="b">
        <f>COUNTIFS('OLT DOWN Tickets'!$AB:$AB, "*" &amp; D350 &amp; "*", 'OLT DOWN Tickets'!$L:$L, "OLT UPLINK LOW POWER") &gt; 0</f>
        <v>0</v>
      </c>
      <c r="H350" s="6" t="b">
        <f>COUNTIFS('OLT DOWN Tickets'!$AB:$AB, "*" &amp; D350 &amp; "*", 'OLT DOWN Tickets'!$L:$L, "OLT UPLINK DOWN") &gt; 0</f>
        <v>0</v>
      </c>
      <c r="I350" s="6" t="b">
        <f>COUNTIFS('OLT DOWN Tickets'!$AB:$AB, "*" &amp; D350 &amp; "*", 'OLT DOWN Tickets'!$L:$L, "OLT SERVICE DEGRADATION") &gt; 0</f>
        <v>0</v>
      </c>
      <c r="J350" s="32" t="str">
        <f>IFERROR(__xludf.DUMMYFUNCTION("IFERROR(INDEX(FILTER('OLT DOWN Tickets'!$F:$F, REGEXMATCH('OLT DOWN Tickets'!$AB:$AB, ""(?i)""&amp;TRIM(D350)), 'OLT DOWN Tickets'!$L:$L=""OLT DOWN""), 1), """")"),"")</f>
        <v/>
      </c>
      <c r="K350" s="32" t="str">
        <f>IFERROR(__xludf.DUMMYFUNCTION("IFERROR(INDEX(FILTER('OLT DOWN Tickets'!$F:$F, REGEXMATCH('OLT DOWN Tickets'!$AB:$AB, ""(?i)""&amp;TRIM(D350)), 'OLT DOWN Tickets'!$L:$L=""OLT UPLINK LOW POWER""), 1), """")"),"")</f>
        <v/>
      </c>
      <c r="L350" s="32" t="str">
        <f>IFERROR(__xludf.DUMMYFUNCTION("IFERROR(INDEX(FILTER('OLT DOWN Tickets'!$F:$F, REGEXMATCH('OLT DOWN Tickets'!$AB:$AB, ""(?i)""&amp;TRIM(D350)), 'OLT DOWN Tickets'!$L:$L=""OLT UPLINK DOWN""), 1), """")"),"")</f>
        <v/>
      </c>
      <c r="M350" s="32" t="str">
        <f>IFERROR(__xludf.DUMMYFUNCTION("IFERROR(INDEX(FILTER('OLT DOWN Tickets'!$F:$F, REGEXMATCH('OLT DOWN Tickets'!$AB:$AB, ""(?i)""&amp;TRIM(D350)), 'OLT DOWN Tickets'!$L:$L=""OLT SERVICE DEGRADATION""), 1), """")
"),"")</f>
        <v/>
      </c>
      <c r="N350" s="6" t="b">
        <v>0</v>
      </c>
      <c r="O350" s="6" t="b">
        <v>0</v>
      </c>
      <c r="P350" s="6" t="b">
        <v>0</v>
      </c>
      <c r="Q350" s="6" t="b">
        <v>0</v>
      </c>
      <c r="R350" s="6"/>
      <c r="S350" s="6"/>
      <c r="T350" s="6"/>
      <c r="U350" s="6"/>
    </row>
    <row r="351">
      <c r="A351" s="19"/>
      <c r="B351" s="26" t="s">
        <v>117</v>
      </c>
      <c r="C351" s="26" t="s">
        <v>625</v>
      </c>
      <c r="D351" s="27" t="s">
        <v>626</v>
      </c>
      <c r="E351" s="6" t="b">
        <f t="shared" si="1"/>
        <v>1</v>
      </c>
      <c r="F351" s="6" t="b">
        <f>COUNTIFS('OLT DOWN Tickets'!$AB:$AB, "*" &amp; D351 &amp; "*", 'OLT DOWN Tickets'!$L:$L, "OLT DOWN") &gt; 0</f>
        <v>0</v>
      </c>
      <c r="G351" s="6" t="b">
        <f>COUNTIFS('OLT DOWN Tickets'!$AB:$AB, "*" &amp; D351 &amp; "*", 'OLT DOWN Tickets'!$L:$L, "OLT UPLINK LOW POWER") &gt; 0</f>
        <v>0</v>
      </c>
      <c r="H351" s="6" t="b">
        <f>COUNTIFS('OLT DOWN Tickets'!$AB:$AB, "*" &amp; D351 &amp; "*", 'OLT DOWN Tickets'!$L:$L, "OLT UPLINK DOWN") &gt; 0</f>
        <v>0</v>
      </c>
      <c r="I351" s="6" t="b">
        <f>COUNTIFS('OLT DOWN Tickets'!$AB:$AB, "*" &amp; D351 &amp; "*", 'OLT DOWN Tickets'!$L:$L, "OLT SERVICE DEGRADATION") &gt; 0</f>
        <v>0</v>
      </c>
      <c r="J351" s="32" t="str">
        <f>IFERROR(__xludf.DUMMYFUNCTION("IFERROR(INDEX(FILTER('OLT DOWN Tickets'!$F:$F, REGEXMATCH('OLT DOWN Tickets'!$AB:$AB, ""(?i)""&amp;TRIM(D351)), 'OLT DOWN Tickets'!$L:$L=""OLT DOWN""), 1), """")"),"")</f>
        <v/>
      </c>
      <c r="K351" s="32" t="str">
        <f>IFERROR(__xludf.DUMMYFUNCTION("IFERROR(INDEX(FILTER('OLT DOWN Tickets'!$F:$F, REGEXMATCH('OLT DOWN Tickets'!$AB:$AB, ""(?i)""&amp;TRIM(D351)), 'OLT DOWN Tickets'!$L:$L=""OLT UPLINK LOW POWER""), 1), """")"),"")</f>
        <v/>
      </c>
      <c r="L351" s="32" t="str">
        <f>IFERROR(__xludf.DUMMYFUNCTION("IFERROR(INDEX(FILTER('OLT DOWN Tickets'!$F:$F, REGEXMATCH('OLT DOWN Tickets'!$AB:$AB, ""(?i)""&amp;TRIM(D351)), 'OLT DOWN Tickets'!$L:$L=""OLT UPLINK DOWN""), 1), """")"),"")</f>
        <v/>
      </c>
      <c r="M351" s="32" t="str">
        <f>IFERROR(__xludf.DUMMYFUNCTION("IFERROR(INDEX(FILTER('OLT DOWN Tickets'!$F:$F, REGEXMATCH('OLT DOWN Tickets'!$AB:$AB, ""(?i)""&amp;TRIM(D351)), 'OLT DOWN Tickets'!$L:$L=""OLT SERVICE DEGRADATION""), 1), """")
"),"")</f>
        <v/>
      </c>
      <c r="N351" s="6" t="b">
        <v>0</v>
      </c>
      <c r="O351" s="6" t="b">
        <v>0</v>
      </c>
      <c r="P351" s="6" t="b">
        <v>0</v>
      </c>
      <c r="Q351" s="6" t="b">
        <v>0</v>
      </c>
      <c r="R351" s="6"/>
      <c r="S351" s="6"/>
      <c r="T351" s="6"/>
      <c r="U351" s="6"/>
    </row>
    <row r="352">
      <c r="A352" s="19"/>
      <c r="B352" s="26" t="s">
        <v>117</v>
      </c>
      <c r="C352" s="26" t="s">
        <v>488</v>
      </c>
      <c r="D352" s="27" t="s">
        <v>627</v>
      </c>
      <c r="E352" s="6" t="b">
        <f t="shared" si="1"/>
        <v>1</v>
      </c>
      <c r="F352" s="6" t="b">
        <f>COUNTIFS('OLT DOWN Tickets'!$AB:$AB, "*" &amp; D352 &amp; "*", 'OLT DOWN Tickets'!$L:$L, "OLT DOWN") &gt; 0</f>
        <v>0</v>
      </c>
      <c r="G352" s="6" t="b">
        <f>COUNTIFS('OLT DOWN Tickets'!$AB:$AB, "*" &amp; D352 &amp; "*", 'OLT DOWN Tickets'!$L:$L, "OLT UPLINK LOW POWER") &gt; 0</f>
        <v>0</v>
      </c>
      <c r="H352" s="6" t="b">
        <f>COUNTIFS('OLT DOWN Tickets'!$AB:$AB, "*" &amp; D352 &amp; "*", 'OLT DOWN Tickets'!$L:$L, "OLT UPLINK DOWN") &gt; 0</f>
        <v>0</v>
      </c>
      <c r="I352" s="6" t="b">
        <f>COUNTIFS('OLT DOWN Tickets'!$AB:$AB, "*" &amp; D352 &amp; "*", 'OLT DOWN Tickets'!$L:$L, "OLT SERVICE DEGRADATION") &gt; 0</f>
        <v>0</v>
      </c>
      <c r="J352" s="32" t="str">
        <f>IFERROR(__xludf.DUMMYFUNCTION("IFERROR(INDEX(FILTER('OLT DOWN Tickets'!$F:$F, REGEXMATCH('OLT DOWN Tickets'!$AB:$AB, ""(?i)""&amp;TRIM(D352)), 'OLT DOWN Tickets'!$L:$L=""OLT DOWN""), 1), """")"),"")</f>
        <v/>
      </c>
      <c r="K352" s="32" t="str">
        <f>IFERROR(__xludf.DUMMYFUNCTION("IFERROR(INDEX(FILTER('OLT DOWN Tickets'!$F:$F, REGEXMATCH('OLT DOWN Tickets'!$AB:$AB, ""(?i)""&amp;TRIM(D352)), 'OLT DOWN Tickets'!$L:$L=""OLT UPLINK LOW POWER""), 1), """")"),"")</f>
        <v/>
      </c>
      <c r="L352" s="32" t="str">
        <f>IFERROR(__xludf.DUMMYFUNCTION("IFERROR(INDEX(FILTER('OLT DOWN Tickets'!$F:$F, REGEXMATCH('OLT DOWN Tickets'!$AB:$AB, ""(?i)""&amp;TRIM(D352)), 'OLT DOWN Tickets'!$L:$L=""OLT UPLINK DOWN""), 1), """")"),"")</f>
        <v/>
      </c>
      <c r="M352" s="32" t="str">
        <f>IFERROR(__xludf.DUMMYFUNCTION("IFERROR(INDEX(FILTER('OLT DOWN Tickets'!$F:$F, REGEXMATCH('OLT DOWN Tickets'!$AB:$AB, ""(?i)""&amp;TRIM(D352)), 'OLT DOWN Tickets'!$L:$L=""OLT SERVICE DEGRADATION""), 1), """")
"),"")</f>
        <v/>
      </c>
      <c r="N352" s="6" t="b">
        <v>0</v>
      </c>
      <c r="O352" s="6" t="b">
        <v>0</v>
      </c>
      <c r="P352" s="6" t="b">
        <v>0</v>
      </c>
      <c r="Q352" s="6" t="b">
        <v>0</v>
      </c>
      <c r="R352" s="6"/>
      <c r="S352" s="6"/>
      <c r="T352" s="6"/>
      <c r="U352" s="6"/>
    </row>
    <row r="353">
      <c r="A353" s="19"/>
      <c r="B353" s="26" t="s">
        <v>117</v>
      </c>
      <c r="C353" s="26" t="s">
        <v>488</v>
      </c>
      <c r="D353" s="27" t="s">
        <v>628</v>
      </c>
      <c r="E353" s="6" t="b">
        <f t="shared" si="1"/>
        <v>1</v>
      </c>
      <c r="F353" s="6" t="b">
        <f>COUNTIFS('OLT DOWN Tickets'!$AB:$AB, "*" &amp; D353 &amp; "*", 'OLT DOWN Tickets'!$L:$L, "OLT DOWN") &gt; 0</f>
        <v>0</v>
      </c>
      <c r="G353" s="6" t="b">
        <f>COUNTIFS('OLT DOWN Tickets'!$AB:$AB, "*" &amp; D353 &amp; "*", 'OLT DOWN Tickets'!$L:$L, "OLT UPLINK LOW POWER") &gt; 0</f>
        <v>0</v>
      </c>
      <c r="H353" s="6" t="b">
        <f>COUNTIFS('OLT DOWN Tickets'!$AB:$AB, "*" &amp; D353 &amp; "*", 'OLT DOWN Tickets'!$L:$L, "OLT UPLINK DOWN") &gt; 0</f>
        <v>0</v>
      </c>
      <c r="I353" s="6" t="b">
        <f>COUNTIFS('OLT DOWN Tickets'!$AB:$AB, "*" &amp; D353 &amp; "*", 'OLT DOWN Tickets'!$L:$L, "OLT SERVICE DEGRADATION") &gt; 0</f>
        <v>0</v>
      </c>
      <c r="J353" s="32" t="str">
        <f>IFERROR(__xludf.DUMMYFUNCTION("IFERROR(INDEX(FILTER('OLT DOWN Tickets'!$F:$F, REGEXMATCH('OLT DOWN Tickets'!$AB:$AB, ""(?i)""&amp;TRIM(D353)), 'OLT DOWN Tickets'!$L:$L=""OLT DOWN""), 1), """")"),"")</f>
        <v/>
      </c>
      <c r="K353" s="32" t="str">
        <f>IFERROR(__xludf.DUMMYFUNCTION("IFERROR(INDEX(FILTER('OLT DOWN Tickets'!$F:$F, REGEXMATCH('OLT DOWN Tickets'!$AB:$AB, ""(?i)""&amp;TRIM(D353)), 'OLT DOWN Tickets'!$L:$L=""OLT UPLINK LOW POWER""), 1), """")"),"")</f>
        <v/>
      </c>
      <c r="L353" s="32" t="str">
        <f>IFERROR(__xludf.DUMMYFUNCTION("IFERROR(INDEX(FILTER('OLT DOWN Tickets'!$F:$F, REGEXMATCH('OLT DOWN Tickets'!$AB:$AB, ""(?i)""&amp;TRIM(D353)), 'OLT DOWN Tickets'!$L:$L=""OLT UPLINK DOWN""), 1), """")"),"")</f>
        <v/>
      </c>
      <c r="M353" s="32" t="str">
        <f>IFERROR(__xludf.DUMMYFUNCTION("IFERROR(INDEX(FILTER('OLT DOWN Tickets'!$F:$F, REGEXMATCH('OLT DOWN Tickets'!$AB:$AB, ""(?i)""&amp;TRIM(D353)), 'OLT DOWN Tickets'!$L:$L=""OLT SERVICE DEGRADATION""), 1), """")
"),"")</f>
        <v/>
      </c>
      <c r="N353" s="6" t="b">
        <v>0</v>
      </c>
      <c r="O353" s="6" t="b">
        <v>0</v>
      </c>
      <c r="P353" s="6" t="b">
        <v>0</v>
      </c>
      <c r="Q353" s="6" t="b">
        <v>0</v>
      </c>
      <c r="R353" s="6"/>
      <c r="S353" s="6"/>
      <c r="T353" s="6"/>
      <c r="U353" s="6"/>
    </row>
    <row r="354">
      <c r="A354" s="19"/>
      <c r="B354" s="26" t="s">
        <v>117</v>
      </c>
      <c r="C354" s="26" t="s">
        <v>488</v>
      </c>
      <c r="D354" s="27" t="s">
        <v>629</v>
      </c>
      <c r="E354" s="6" t="b">
        <f t="shared" si="1"/>
        <v>1</v>
      </c>
      <c r="F354" s="6" t="b">
        <f>COUNTIFS('OLT DOWN Tickets'!$AB:$AB, "*" &amp; D354 &amp; "*", 'OLT DOWN Tickets'!$L:$L, "OLT DOWN") &gt; 0</f>
        <v>0</v>
      </c>
      <c r="G354" s="6" t="b">
        <f>COUNTIFS('OLT DOWN Tickets'!$AB:$AB, "*" &amp; D354 &amp; "*", 'OLT DOWN Tickets'!$L:$L, "OLT UPLINK LOW POWER") &gt; 0</f>
        <v>0</v>
      </c>
      <c r="H354" s="6" t="b">
        <f>COUNTIFS('OLT DOWN Tickets'!$AB:$AB, "*" &amp; D354 &amp; "*", 'OLT DOWN Tickets'!$L:$L, "OLT UPLINK DOWN") &gt; 0</f>
        <v>0</v>
      </c>
      <c r="I354" s="6" t="b">
        <f>COUNTIFS('OLT DOWN Tickets'!$AB:$AB, "*" &amp; D354 &amp; "*", 'OLT DOWN Tickets'!$L:$L, "OLT SERVICE DEGRADATION") &gt; 0</f>
        <v>0</v>
      </c>
      <c r="J354" s="32" t="str">
        <f>IFERROR(__xludf.DUMMYFUNCTION("IFERROR(INDEX(FILTER('OLT DOWN Tickets'!$F:$F, REGEXMATCH('OLT DOWN Tickets'!$AB:$AB, ""(?i)""&amp;TRIM(D354)), 'OLT DOWN Tickets'!$L:$L=""OLT DOWN""), 1), """")"),"")</f>
        <v/>
      </c>
      <c r="K354" s="32" t="str">
        <f>IFERROR(__xludf.DUMMYFUNCTION("IFERROR(INDEX(FILTER('OLT DOWN Tickets'!$F:$F, REGEXMATCH('OLT DOWN Tickets'!$AB:$AB, ""(?i)""&amp;TRIM(D354)), 'OLT DOWN Tickets'!$L:$L=""OLT UPLINK LOW POWER""), 1), """")"),"")</f>
        <v/>
      </c>
      <c r="L354" s="32" t="str">
        <f>IFERROR(__xludf.DUMMYFUNCTION("IFERROR(INDEX(FILTER('OLT DOWN Tickets'!$F:$F, REGEXMATCH('OLT DOWN Tickets'!$AB:$AB, ""(?i)""&amp;TRIM(D354)), 'OLT DOWN Tickets'!$L:$L=""OLT UPLINK DOWN""), 1), """")"),"")</f>
        <v/>
      </c>
      <c r="M354" s="32" t="str">
        <f>IFERROR(__xludf.DUMMYFUNCTION("IFERROR(INDEX(FILTER('OLT DOWN Tickets'!$F:$F, REGEXMATCH('OLT DOWN Tickets'!$AB:$AB, ""(?i)""&amp;TRIM(D354)), 'OLT DOWN Tickets'!$L:$L=""OLT SERVICE DEGRADATION""), 1), """")
"),"")</f>
        <v/>
      </c>
      <c r="N354" s="6" t="b">
        <v>0</v>
      </c>
      <c r="O354" s="6" t="b">
        <v>0</v>
      </c>
      <c r="P354" s="6" t="b">
        <v>0</v>
      </c>
      <c r="Q354" s="6" t="b">
        <v>0</v>
      </c>
      <c r="R354" s="6"/>
      <c r="S354" s="6"/>
      <c r="T354" s="6"/>
      <c r="U354" s="6"/>
    </row>
    <row r="355">
      <c r="A355" s="19"/>
      <c r="B355" s="26" t="s">
        <v>117</v>
      </c>
      <c r="C355" s="26" t="s">
        <v>488</v>
      </c>
      <c r="D355" s="27" t="s">
        <v>630</v>
      </c>
      <c r="E355" s="6" t="b">
        <f t="shared" si="1"/>
        <v>1</v>
      </c>
      <c r="F355" s="6" t="b">
        <f>COUNTIFS('OLT DOWN Tickets'!$AB:$AB, "*" &amp; D355 &amp; "*", 'OLT DOWN Tickets'!$L:$L, "OLT DOWN") &gt; 0</f>
        <v>0</v>
      </c>
      <c r="G355" s="6" t="b">
        <f>COUNTIFS('OLT DOWN Tickets'!$AB:$AB, "*" &amp; D355 &amp; "*", 'OLT DOWN Tickets'!$L:$L, "OLT UPLINK LOW POWER") &gt; 0</f>
        <v>0</v>
      </c>
      <c r="H355" s="6" t="b">
        <f>COUNTIFS('OLT DOWN Tickets'!$AB:$AB, "*" &amp; D355 &amp; "*", 'OLT DOWN Tickets'!$L:$L, "OLT UPLINK DOWN") &gt; 0</f>
        <v>0</v>
      </c>
      <c r="I355" s="6" t="b">
        <f>COUNTIFS('OLT DOWN Tickets'!$AB:$AB, "*" &amp; D355 &amp; "*", 'OLT DOWN Tickets'!$L:$L, "OLT SERVICE DEGRADATION") &gt; 0</f>
        <v>0</v>
      </c>
      <c r="J355" s="32" t="str">
        <f>IFERROR(__xludf.DUMMYFUNCTION("IFERROR(INDEX(FILTER('OLT DOWN Tickets'!$F:$F, REGEXMATCH('OLT DOWN Tickets'!$AB:$AB, ""(?i)""&amp;TRIM(D355)), 'OLT DOWN Tickets'!$L:$L=""OLT DOWN""), 1), """")"),"")</f>
        <v/>
      </c>
      <c r="K355" s="32" t="str">
        <f>IFERROR(__xludf.DUMMYFUNCTION("IFERROR(INDEX(FILTER('OLT DOWN Tickets'!$F:$F, REGEXMATCH('OLT DOWN Tickets'!$AB:$AB, ""(?i)""&amp;TRIM(D355)), 'OLT DOWN Tickets'!$L:$L=""OLT UPLINK LOW POWER""), 1), """")"),"")</f>
        <v/>
      </c>
      <c r="L355" s="32" t="str">
        <f>IFERROR(__xludf.DUMMYFUNCTION("IFERROR(INDEX(FILTER('OLT DOWN Tickets'!$F:$F, REGEXMATCH('OLT DOWN Tickets'!$AB:$AB, ""(?i)""&amp;TRIM(D355)), 'OLT DOWN Tickets'!$L:$L=""OLT UPLINK DOWN""), 1), """")"),"")</f>
        <v/>
      </c>
      <c r="M355" s="32" t="str">
        <f>IFERROR(__xludf.DUMMYFUNCTION("IFERROR(INDEX(FILTER('OLT DOWN Tickets'!$F:$F, REGEXMATCH('OLT DOWN Tickets'!$AB:$AB, ""(?i)""&amp;TRIM(D355)), 'OLT DOWN Tickets'!$L:$L=""OLT SERVICE DEGRADATION""), 1), """")
"),"")</f>
        <v/>
      </c>
      <c r="N355" s="6" t="b">
        <v>0</v>
      </c>
      <c r="O355" s="6" t="b">
        <v>0</v>
      </c>
      <c r="P355" s="6" t="b">
        <v>0</v>
      </c>
      <c r="Q355" s="6" t="b">
        <v>0</v>
      </c>
      <c r="R355" s="6"/>
      <c r="S355" s="6"/>
      <c r="T355" s="6"/>
      <c r="U355" s="6"/>
    </row>
    <row r="356">
      <c r="A356" s="19"/>
      <c r="B356" s="26" t="s">
        <v>117</v>
      </c>
      <c r="C356" s="26" t="s">
        <v>279</v>
      </c>
      <c r="D356" s="27" t="s">
        <v>116</v>
      </c>
      <c r="E356" s="6" t="b">
        <f t="shared" si="1"/>
        <v>1</v>
      </c>
      <c r="F356" s="6" t="b">
        <f>COUNTIFS('OLT DOWN Tickets'!$AB:$AB, "*" &amp; D356 &amp; "*", 'OLT DOWN Tickets'!$L:$L, "OLT DOWN") &gt; 0</f>
        <v>0</v>
      </c>
      <c r="G356" s="6" t="b">
        <f>COUNTIFS('OLT DOWN Tickets'!$AB:$AB, "*" &amp; D356 &amp; "*", 'OLT DOWN Tickets'!$L:$L, "OLT UPLINK LOW POWER") &gt; 0</f>
        <v>0</v>
      </c>
      <c r="H356" s="6" t="b">
        <f>COUNTIFS('OLT DOWN Tickets'!$AB:$AB, "*" &amp; D356 &amp; "*", 'OLT DOWN Tickets'!$L:$L, "OLT UPLINK DOWN") &gt; 0</f>
        <v>0</v>
      </c>
      <c r="I356" s="6" t="b">
        <f>COUNTIFS('OLT DOWN Tickets'!$AB:$AB, "*" &amp; D356 &amp; "*", 'OLT DOWN Tickets'!$L:$L, "OLT SERVICE DEGRADATION") &gt; 0</f>
        <v>0</v>
      </c>
      <c r="J356" s="32" t="str">
        <f>IFERROR(__xludf.DUMMYFUNCTION("IFERROR(INDEX(FILTER('OLT DOWN Tickets'!$F:$F, REGEXMATCH('OLT DOWN Tickets'!$AB:$AB, ""(?i)""&amp;TRIM(D356)), 'OLT DOWN Tickets'!$L:$L=""OLT DOWN""), 1), """")"),"")</f>
        <v/>
      </c>
      <c r="K356" s="32" t="str">
        <f>IFERROR(__xludf.DUMMYFUNCTION("IFERROR(INDEX(FILTER('OLT DOWN Tickets'!$F:$F, REGEXMATCH('OLT DOWN Tickets'!$AB:$AB, ""(?i)""&amp;TRIM(D356)), 'OLT DOWN Tickets'!$L:$L=""OLT UPLINK LOW POWER""), 1), """")"),"")</f>
        <v/>
      </c>
      <c r="L356" s="32" t="str">
        <f>IFERROR(__xludf.DUMMYFUNCTION("IFERROR(INDEX(FILTER('OLT DOWN Tickets'!$F:$F, REGEXMATCH('OLT DOWN Tickets'!$AB:$AB, ""(?i)""&amp;TRIM(D356)), 'OLT DOWN Tickets'!$L:$L=""OLT UPLINK DOWN""), 1), """")"),"")</f>
        <v/>
      </c>
      <c r="M356" s="32" t="str">
        <f>IFERROR(__xludf.DUMMYFUNCTION("IFERROR(INDEX(FILTER('OLT DOWN Tickets'!$F:$F, REGEXMATCH('OLT DOWN Tickets'!$AB:$AB, ""(?i)""&amp;TRIM(D356)), 'OLT DOWN Tickets'!$L:$L=""OLT SERVICE DEGRADATION""), 1), """")
"),"")</f>
        <v/>
      </c>
      <c r="N356" s="6" t="b">
        <v>0</v>
      </c>
      <c r="O356" s="6" t="b">
        <v>0</v>
      </c>
      <c r="P356" s="6" t="b">
        <v>0</v>
      </c>
      <c r="Q356" s="6" t="b">
        <v>0</v>
      </c>
      <c r="R356" s="6"/>
      <c r="S356" s="6"/>
      <c r="T356" s="6"/>
      <c r="U356" s="6"/>
    </row>
    <row r="357">
      <c r="A357" s="19"/>
      <c r="B357" s="26" t="s">
        <v>117</v>
      </c>
      <c r="C357" s="26" t="s">
        <v>631</v>
      </c>
      <c r="D357" s="27" t="s">
        <v>632</v>
      </c>
      <c r="E357" s="6" t="b">
        <f t="shared" si="1"/>
        <v>1</v>
      </c>
      <c r="F357" s="6" t="b">
        <f>COUNTIFS('OLT DOWN Tickets'!$AB:$AB, "*" &amp; D357 &amp; "*", 'OLT DOWN Tickets'!$L:$L, "OLT DOWN") &gt; 0</f>
        <v>0</v>
      </c>
      <c r="G357" s="6" t="b">
        <f>COUNTIFS('OLT DOWN Tickets'!$AB:$AB, "*" &amp; D357 &amp; "*", 'OLT DOWN Tickets'!$L:$L, "OLT UPLINK LOW POWER") &gt; 0</f>
        <v>0</v>
      </c>
      <c r="H357" s="6" t="b">
        <f>COUNTIFS('OLT DOWN Tickets'!$AB:$AB, "*" &amp; D357 &amp; "*", 'OLT DOWN Tickets'!$L:$L, "OLT UPLINK DOWN") &gt; 0</f>
        <v>0</v>
      </c>
      <c r="I357" s="6" t="b">
        <f>COUNTIFS('OLT DOWN Tickets'!$AB:$AB, "*" &amp; D357 &amp; "*", 'OLT DOWN Tickets'!$L:$L, "OLT SERVICE DEGRADATION") &gt; 0</f>
        <v>0</v>
      </c>
      <c r="J357" s="32" t="str">
        <f>IFERROR(__xludf.DUMMYFUNCTION("IFERROR(INDEX(FILTER('OLT DOWN Tickets'!$F:$F, REGEXMATCH('OLT DOWN Tickets'!$AB:$AB, ""(?i)""&amp;TRIM(D357)), 'OLT DOWN Tickets'!$L:$L=""OLT DOWN""), 1), """")"),"")</f>
        <v/>
      </c>
      <c r="K357" s="32" t="str">
        <f>IFERROR(__xludf.DUMMYFUNCTION("IFERROR(INDEX(FILTER('OLT DOWN Tickets'!$F:$F, REGEXMATCH('OLT DOWN Tickets'!$AB:$AB, ""(?i)""&amp;TRIM(D357)), 'OLT DOWN Tickets'!$L:$L=""OLT UPLINK LOW POWER""), 1), """")"),"")</f>
        <v/>
      </c>
      <c r="L357" s="32" t="str">
        <f>IFERROR(__xludf.DUMMYFUNCTION("IFERROR(INDEX(FILTER('OLT DOWN Tickets'!$F:$F, REGEXMATCH('OLT DOWN Tickets'!$AB:$AB, ""(?i)""&amp;TRIM(D357)), 'OLT DOWN Tickets'!$L:$L=""OLT UPLINK DOWN""), 1), """")"),"")</f>
        <v/>
      </c>
      <c r="M357" s="32" t="str">
        <f>IFERROR(__xludf.DUMMYFUNCTION("IFERROR(INDEX(FILTER('OLT DOWN Tickets'!$F:$F, REGEXMATCH('OLT DOWN Tickets'!$AB:$AB, ""(?i)""&amp;TRIM(D357)), 'OLT DOWN Tickets'!$L:$L=""OLT SERVICE DEGRADATION""), 1), """")
"),"")</f>
        <v/>
      </c>
      <c r="N357" s="6" t="b">
        <v>0</v>
      </c>
      <c r="O357" s="6" t="b">
        <v>0</v>
      </c>
      <c r="P357" s="6" t="b">
        <v>0</v>
      </c>
      <c r="Q357" s="6" t="b">
        <v>0</v>
      </c>
      <c r="R357" s="6"/>
      <c r="S357" s="6"/>
      <c r="T357" s="6"/>
      <c r="U357" s="6"/>
    </row>
    <row r="358">
      <c r="A358" s="19"/>
      <c r="B358" s="26" t="s">
        <v>117</v>
      </c>
      <c r="C358" s="26" t="s">
        <v>631</v>
      </c>
      <c r="D358" s="27" t="s">
        <v>633</v>
      </c>
      <c r="E358" s="6" t="b">
        <f t="shared" si="1"/>
        <v>1</v>
      </c>
      <c r="F358" s="6" t="b">
        <f>COUNTIFS('OLT DOWN Tickets'!$AB:$AB, "*" &amp; D358 &amp; "*", 'OLT DOWN Tickets'!$L:$L, "OLT DOWN") &gt; 0</f>
        <v>0</v>
      </c>
      <c r="G358" s="6" t="b">
        <f>COUNTIFS('OLT DOWN Tickets'!$AB:$AB, "*" &amp; D358 &amp; "*", 'OLT DOWN Tickets'!$L:$L, "OLT UPLINK LOW POWER") &gt; 0</f>
        <v>0</v>
      </c>
      <c r="H358" s="6" t="b">
        <f>COUNTIFS('OLT DOWN Tickets'!$AB:$AB, "*" &amp; D358 &amp; "*", 'OLT DOWN Tickets'!$L:$L, "OLT UPLINK DOWN") &gt; 0</f>
        <v>0</v>
      </c>
      <c r="I358" s="6" t="b">
        <f>COUNTIFS('OLT DOWN Tickets'!$AB:$AB, "*" &amp; D358 &amp; "*", 'OLT DOWN Tickets'!$L:$L, "OLT SERVICE DEGRADATION") &gt; 0</f>
        <v>0</v>
      </c>
      <c r="J358" s="32" t="str">
        <f>IFERROR(__xludf.DUMMYFUNCTION("IFERROR(INDEX(FILTER('OLT DOWN Tickets'!$F:$F, REGEXMATCH('OLT DOWN Tickets'!$AB:$AB, ""(?i)""&amp;TRIM(D358)), 'OLT DOWN Tickets'!$L:$L=""OLT DOWN""), 1), """")"),"")</f>
        <v/>
      </c>
      <c r="K358" s="32" t="str">
        <f>IFERROR(__xludf.DUMMYFUNCTION("IFERROR(INDEX(FILTER('OLT DOWN Tickets'!$F:$F, REGEXMATCH('OLT DOWN Tickets'!$AB:$AB, ""(?i)""&amp;TRIM(D358)), 'OLT DOWN Tickets'!$L:$L=""OLT UPLINK LOW POWER""), 1), """")"),"")</f>
        <v/>
      </c>
      <c r="L358" s="32" t="str">
        <f>IFERROR(__xludf.DUMMYFUNCTION("IFERROR(INDEX(FILTER('OLT DOWN Tickets'!$F:$F, REGEXMATCH('OLT DOWN Tickets'!$AB:$AB, ""(?i)""&amp;TRIM(D358)), 'OLT DOWN Tickets'!$L:$L=""OLT UPLINK DOWN""), 1), """")"),"")</f>
        <v/>
      </c>
      <c r="M358" s="32" t="str">
        <f>IFERROR(__xludf.DUMMYFUNCTION("IFERROR(INDEX(FILTER('OLT DOWN Tickets'!$F:$F, REGEXMATCH('OLT DOWN Tickets'!$AB:$AB, ""(?i)""&amp;TRIM(D358)), 'OLT DOWN Tickets'!$L:$L=""OLT SERVICE DEGRADATION""), 1), """")
"),"")</f>
        <v/>
      </c>
      <c r="N358" s="6" t="b">
        <v>0</v>
      </c>
      <c r="O358" s="6" t="b">
        <v>0</v>
      </c>
      <c r="P358" s="6" t="b">
        <v>0</v>
      </c>
      <c r="Q358" s="6" t="b">
        <v>0</v>
      </c>
      <c r="R358" s="6"/>
      <c r="S358" s="6"/>
      <c r="T358" s="6"/>
      <c r="U358" s="6"/>
    </row>
    <row r="359">
      <c r="A359" s="19"/>
      <c r="B359" s="26" t="s">
        <v>117</v>
      </c>
      <c r="C359" s="26" t="s">
        <v>634</v>
      </c>
      <c r="D359" s="27" t="s">
        <v>635</v>
      </c>
      <c r="E359" s="6" t="b">
        <f t="shared" si="1"/>
        <v>1</v>
      </c>
      <c r="F359" s="6" t="b">
        <f>COUNTIFS('OLT DOWN Tickets'!$AB:$AB, "*" &amp; D359 &amp; "*", 'OLT DOWN Tickets'!$L:$L, "OLT DOWN") &gt; 0</f>
        <v>0</v>
      </c>
      <c r="G359" s="6" t="b">
        <f>COUNTIFS('OLT DOWN Tickets'!$AB:$AB, "*" &amp; D359 &amp; "*", 'OLT DOWN Tickets'!$L:$L, "OLT UPLINK LOW POWER") &gt; 0</f>
        <v>0</v>
      </c>
      <c r="H359" s="6" t="b">
        <f>COUNTIFS('OLT DOWN Tickets'!$AB:$AB, "*" &amp; D359 &amp; "*", 'OLT DOWN Tickets'!$L:$L, "OLT UPLINK DOWN") &gt; 0</f>
        <v>0</v>
      </c>
      <c r="I359" s="6" t="b">
        <f>COUNTIFS('OLT DOWN Tickets'!$AB:$AB, "*" &amp; D359 &amp; "*", 'OLT DOWN Tickets'!$L:$L, "OLT SERVICE DEGRADATION") &gt; 0</f>
        <v>0</v>
      </c>
      <c r="J359" s="32" t="str">
        <f>IFERROR(__xludf.DUMMYFUNCTION("IFERROR(INDEX(FILTER('OLT DOWN Tickets'!$F:$F, REGEXMATCH('OLT DOWN Tickets'!$AB:$AB, ""(?i)""&amp;TRIM(D359)), 'OLT DOWN Tickets'!$L:$L=""OLT DOWN""), 1), """")"),"")</f>
        <v/>
      </c>
      <c r="K359" s="32" t="str">
        <f>IFERROR(__xludf.DUMMYFUNCTION("IFERROR(INDEX(FILTER('OLT DOWN Tickets'!$F:$F, REGEXMATCH('OLT DOWN Tickets'!$AB:$AB, ""(?i)""&amp;TRIM(D359)), 'OLT DOWN Tickets'!$L:$L=""OLT UPLINK LOW POWER""), 1), """")"),"")</f>
        <v/>
      </c>
      <c r="L359" s="32" t="str">
        <f>IFERROR(__xludf.DUMMYFUNCTION("IFERROR(INDEX(FILTER('OLT DOWN Tickets'!$F:$F, REGEXMATCH('OLT DOWN Tickets'!$AB:$AB, ""(?i)""&amp;TRIM(D359)), 'OLT DOWN Tickets'!$L:$L=""OLT UPLINK DOWN""), 1), """")"),"")</f>
        <v/>
      </c>
      <c r="M359" s="32" t="str">
        <f>IFERROR(__xludf.DUMMYFUNCTION("IFERROR(INDEX(FILTER('OLT DOWN Tickets'!$F:$F, REGEXMATCH('OLT DOWN Tickets'!$AB:$AB, ""(?i)""&amp;TRIM(D359)), 'OLT DOWN Tickets'!$L:$L=""OLT SERVICE DEGRADATION""), 1), """")
"),"")</f>
        <v/>
      </c>
      <c r="N359" s="6" t="b">
        <v>0</v>
      </c>
      <c r="O359" s="6" t="b">
        <v>0</v>
      </c>
      <c r="P359" s="6" t="b">
        <v>0</v>
      </c>
      <c r="Q359" s="6" t="b">
        <v>0</v>
      </c>
      <c r="R359" s="6"/>
      <c r="S359" s="6"/>
      <c r="T359" s="6"/>
      <c r="U359" s="6"/>
    </row>
    <row r="360">
      <c r="A360" s="19"/>
      <c r="B360" s="26" t="s">
        <v>117</v>
      </c>
      <c r="C360" s="26" t="s">
        <v>636</v>
      </c>
      <c r="D360" s="27" t="s">
        <v>637</v>
      </c>
      <c r="E360" s="6" t="b">
        <f t="shared" si="1"/>
        <v>1</v>
      </c>
      <c r="F360" s="6" t="b">
        <f>COUNTIFS('OLT DOWN Tickets'!$AB:$AB, "*" &amp; D360 &amp; "*", 'OLT DOWN Tickets'!$L:$L, "OLT DOWN") &gt; 0</f>
        <v>0</v>
      </c>
      <c r="G360" s="6" t="b">
        <f>COUNTIFS('OLT DOWN Tickets'!$AB:$AB, "*" &amp; D360 &amp; "*", 'OLT DOWN Tickets'!$L:$L, "OLT UPLINK LOW POWER") &gt; 0</f>
        <v>0</v>
      </c>
      <c r="H360" s="6" t="b">
        <f>COUNTIFS('OLT DOWN Tickets'!$AB:$AB, "*" &amp; D360 &amp; "*", 'OLT DOWN Tickets'!$L:$L, "OLT UPLINK DOWN") &gt; 0</f>
        <v>0</v>
      </c>
      <c r="I360" s="6" t="b">
        <f>COUNTIFS('OLT DOWN Tickets'!$AB:$AB, "*" &amp; D360 &amp; "*", 'OLT DOWN Tickets'!$L:$L, "OLT SERVICE DEGRADATION") &gt; 0</f>
        <v>0</v>
      </c>
      <c r="J360" s="32" t="str">
        <f>IFERROR(__xludf.DUMMYFUNCTION("IFERROR(INDEX(FILTER('OLT DOWN Tickets'!$F:$F, REGEXMATCH('OLT DOWN Tickets'!$AB:$AB, ""(?i)""&amp;TRIM(D360)), 'OLT DOWN Tickets'!$L:$L=""OLT DOWN""), 1), """")"),"")</f>
        <v/>
      </c>
      <c r="K360" s="32" t="str">
        <f>IFERROR(__xludf.DUMMYFUNCTION("IFERROR(INDEX(FILTER('OLT DOWN Tickets'!$F:$F, REGEXMATCH('OLT DOWN Tickets'!$AB:$AB, ""(?i)""&amp;TRIM(D360)), 'OLT DOWN Tickets'!$L:$L=""OLT UPLINK LOW POWER""), 1), """")"),"")</f>
        <v/>
      </c>
      <c r="L360" s="32" t="str">
        <f>IFERROR(__xludf.DUMMYFUNCTION("IFERROR(INDEX(FILTER('OLT DOWN Tickets'!$F:$F, REGEXMATCH('OLT DOWN Tickets'!$AB:$AB, ""(?i)""&amp;TRIM(D360)), 'OLT DOWN Tickets'!$L:$L=""OLT UPLINK DOWN""), 1), """")"),"")</f>
        <v/>
      </c>
      <c r="M360" s="32" t="str">
        <f>IFERROR(__xludf.DUMMYFUNCTION("IFERROR(INDEX(FILTER('OLT DOWN Tickets'!$F:$F, REGEXMATCH('OLT DOWN Tickets'!$AB:$AB, ""(?i)""&amp;TRIM(D360)), 'OLT DOWN Tickets'!$L:$L=""OLT SERVICE DEGRADATION""), 1), """")
"),"")</f>
        <v/>
      </c>
      <c r="N360" s="6" t="b">
        <v>0</v>
      </c>
      <c r="O360" s="6" t="b">
        <v>0</v>
      </c>
      <c r="P360" s="6" t="b">
        <v>0</v>
      </c>
      <c r="Q360" s="6" t="b">
        <v>0</v>
      </c>
      <c r="R360" s="6"/>
      <c r="S360" s="6"/>
      <c r="T360" s="6"/>
      <c r="U360" s="6"/>
    </row>
    <row r="361">
      <c r="A361" s="19"/>
      <c r="B361" s="26" t="s">
        <v>117</v>
      </c>
      <c r="C361" s="26" t="s">
        <v>636</v>
      </c>
      <c r="D361" s="27" t="s">
        <v>638</v>
      </c>
      <c r="E361" s="6" t="b">
        <f t="shared" si="1"/>
        <v>1</v>
      </c>
      <c r="F361" s="6" t="b">
        <f>COUNTIFS('OLT DOWN Tickets'!$AB:$AB, "*" &amp; D361 &amp; "*", 'OLT DOWN Tickets'!$L:$L, "OLT DOWN") &gt; 0</f>
        <v>0</v>
      </c>
      <c r="G361" s="6" t="b">
        <f>COUNTIFS('OLT DOWN Tickets'!$AB:$AB, "*" &amp; D361 &amp; "*", 'OLT DOWN Tickets'!$L:$L, "OLT UPLINK LOW POWER") &gt; 0</f>
        <v>0</v>
      </c>
      <c r="H361" s="6" t="b">
        <f>COUNTIFS('OLT DOWN Tickets'!$AB:$AB, "*" &amp; D361 &amp; "*", 'OLT DOWN Tickets'!$L:$L, "OLT UPLINK DOWN") &gt; 0</f>
        <v>0</v>
      </c>
      <c r="I361" s="6" t="b">
        <f>COUNTIFS('OLT DOWN Tickets'!$AB:$AB, "*" &amp; D361 &amp; "*", 'OLT DOWN Tickets'!$L:$L, "OLT SERVICE DEGRADATION") &gt; 0</f>
        <v>0</v>
      </c>
      <c r="J361" s="32" t="str">
        <f>IFERROR(__xludf.DUMMYFUNCTION("IFERROR(INDEX(FILTER('OLT DOWN Tickets'!$F:$F, REGEXMATCH('OLT DOWN Tickets'!$AB:$AB, ""(?i)""&amp;TRIM(D361)), 'OLT DOWN Tickets'!$L:$L=""OLT DOWN""), 1), """")"),"")</f>
        <v/>
      </c>
      <c r="K361" s="32" t="str">
        <f>IFERROR(__xludf.DUMMYFUNCTION("IFERROR(INDEX(FILTER('OLT DOWN Tickets'!$F:$F, REGEXMATCH('OLT DOWN Tickets'!$AB:$AB, ""(?i)""&amp;TRIM(D361)), 'OLT DOWN Tickets'!$L:$L=""OLT UPLINK LOW POWER""), 1), """")"),"")</f>
        <v/>
      </c>
      <c r="L361" s="32" t="str">
        <f>IFERROR(__xludf.DUMMYFUNCTION("IFERROR(INDEX(FILTER('OLT DOWN Tickets'!$F:$F, REGEXMATCH('OLT DOWN Tickets'!$AB:$AB, ""(?i)""&amp;TRIM(D361)), 'OLT DOWN Tickets'!$L:$L=""OLT UPLINK DOWN""), 1), """")"),"")</f>
        <v/>
      </c>
      <c r="M361" s="32" t="str">
        <f>IFERROR(__xludf.DUMMYFUNCTION("IFERROR(INDEX(FILTER('OLT DOWN Tickets'!$F:$F, REGEXMATCH('OLT DOWN Tickets'!$AB:$AB, ""(?i)""&amp;TRIM(D361)), 'OLT DOWN Tickets'!$L:$L=""OLT SERVICE DEGRADATION""), 1), """")
"),"")</f>
        <v/>
      </c>
      <c r="N361" s="6" t="b">
        <v>0</v>
      </c>
      <c r="O361" s="6" t="b">
        <v>0</v>
      </c>
      <c r="P361" s="6" t="b">
        <v>0</v>
      </c>
      <c r="Q361" s="6" t="b">
        <v>0</v>
      </c>
      <c r="R361" s="6"/>
      <c r="S361" s="6"/>
      <c r="T361" s="6"/>
      <c r="U361" s="6"/>
    </row>
    <row r="362">
      <c r="A362" s="19"/>
      <c r="B362" s="26" t="s">
        <v>117</v>
      </c>
      <c r="C362" s="26" t="s">
        <v>636</v>
      </c>
      <c r="D362" s="27" t="s">
        <v>639</v>
      </c>
      <c r="E362" s="6" t="b">
        <f t="shared" si="1"/>
        <v>1</v>
      </c>
      <c r="F362" s="6" t="b">
        <f>COUNTIFS('OLT DOWN Tickets'!$AB:$AB, "*" &amp; D362 &amp; "*", 'OLT DOWN Tickets'!$L:$L, "OLT DOWN") &gt; 0</f>
        <v>0</v>
      </c>
      <c r="G362" s="6" t="b">
        <f>COUNTIFS('OLT DOWN Tickets'!$AB:$AB, "*" &amp; D362 &amp; "*", 'OLT DOWN Tickets'!$L:$L, "OLT UPLINK LOW POWER") &gt; 0</f>
        <v>0</v>
      </c>
      <c r="H362" s="6" t="b">
        <f>COUNTIFS('OLT DOWN Tickets'!$AB:$AB, "*" &amp; D362 &amp; "*", 'OLT DOWN Tickets'!$L:$L, "OLT UPLINK DOWN") &gt; 0</f>
        <v>0</v>
      </c>
      <c r="I362" s="6" t="b">
        <f>COUNTIFS('OLT DOWN Tickets'!$AB:$AB, "*" &amp; D362 &amp; "*", 'OLT DOWN Tickets'!$L:$L, "OLT SERVICE DEGRADATION") &gt; 0</f>
        <v>0</v>
      </c>
      <c r="J362" s="32" t="str">
        <f>IFERROR(__xludf.DUMMYFUNCTION("IFERROR(INDEX(FILTER('OLT DOWN Tickets'!$F:$F, REGEXMATCH('OLT DOWN Tickets'!$AB:$AB, ""(?i)""&amp;TRIM(D362)), 'OLT DOWN Tickets'!$L:$L=""OLT DOWN""), 1), """")"),"")</f>
        <v/>
      </c>
      <c r="K362" s="32" t="str">
        <f>IFERROR(__xludf.DUMMYFUNCTION("IFERROR(INDEX(FILTER('OLT DOWN Tickets'!$F:$F, REGEXMATCH('OLT DOWN Tickets'!$AB:$AB, ""(?i)""&amp;TRIM(D362)), 'OLT DOWN Tickets'!$L:$L=""OLT UPLINK LOW POWER""), 1), """")"),"")</f>
        <v/>
      </c>
      <c r="L362" s="32" t="str">
        <f>IFERROR(__xludf.DUMMYFUNCTION("IFERROR(INDEX(FILTER('OLT DOWN Tickets'!$F:$F, REGEXMATCH('OLT DOWN Tickets'!$AB:$AB, ""(?i)""&amp;TRIM(D362)), 'OLT DOWN Tickets'!$L:$L=""OLT UPLINK DOWN""), 1), """")"),"")</f>
        <v/>
      </c>
      <c r="M362" s="32" t="str">
        <f>IFERROR(__xludf.DUMMYFUNCTION("IFERROR(INDEX(FILTER('OLT DOWN Tickets'!$F:$F, REGEXMATCH('OLT DOWN Tickets'!$AB:$AB, ""(?i)""&amp;TRIM(D362)), 'OLT DOWN Tickets'!$L:$L=""OLT SERVICE DEGRADATION""), 1), """")
"),"")</f>
        <v/>
      </c>
      <c r="N362" s="6" t="b">
        <v>0</v>
      </c>
      <c r="O362" s="6" t="b">
        <v>0</v>
      </c>
      <c r="P362" s="6" t="b">
        <v>0</v>
      </c>
      <c r="Q362" s="6" t="b">
        <v>0</v>
      </c>
      <c r="R362" s="6"/>
      <c r="S362" s="6"/>
      <c r="T362" s="6"/>
      <c r="U362" s="6"/>
    </row>
    <row r="363">
      <c r="A363" s="19"/>
      <c r="B363" s="26" t="s">
        <v>117</v>
      </c>
      <c r="C363" s="26" t="s">
        <v>636</v>
      </c>
      <c r="D363" s="27" t="s">
        <v>640</v>
      </c>
      <c r="E363" s="6" t="b">
        <f t="shared" si="1"/>
        <v>1</v>
      </c>
      <c r="F363" s="6" t="b">
        <f>COUNTIFS('OLT DOWN Tickets'!$AB:$AB, "*" &amp; D363 &amp; "*", 'OLT DOWN Tickets'!$L:$L, "OLT DOWN") &gt; 0</f>
        <v>0</v>
      </c>
      <c r="G363" s="6" t="b">
        <f>COUNTIFS('OLT DOWN Tickets'!$AB:$AB, "*" &amp; D363 &amp; "*", 'OLT DOWN Tickets'!$L:$L, "OLT UPLINK LOW POWER") &gt; 0</f>
        <v>0</v>
      </c>
      <c r="H363" s="6" t="b">
        <f>COUNTIFS('OLT DOWN Tickets'!$AB:$AB, "*" &amp; D363 &amp; "*", 'OLT DOWN Tickets'!$L:$L, "OLT UPLINK DOWN") &gt; 0</f>
        <v>0</v>
      </c>
      <c r="I363" s="6" t="b">
        <f>COUNTIFS('OLT DOWN Tickets'!$AB:$AB, "*" &amp; D363 &amp; "*", 'OLT DOWN Tickets'!$L:$L, "OLT SERVICE DEGRADATION") &gt; 0</f>
        <v>0</v>
      </c>
      <c r="J363" s="32" t="str">
        <f>IFERROR(__xludf.DUMMYFUNCTION("IFERROR(INDEX(FILTER('OLT DOWN Tickets'!$F:$F, REGEXMATCH('OLT DOWN Tickets'!$AB:$AB, ""(?i)""&amp;TRIM(D363)), 'OLT DOWN Tickets'!$L:$L=""OLT DOWN""), 1), """")"),"")</f>
        <v/>
      </c>
      <c r="K363" s="32" t="str">
        <f>IFERROR(__xludf.DUMMYFUNCTION("IFERROR(INDEX(FILTER('OLT DOWN Tickets'!$F:$F, REGEXMATCH('OLT DOWN Tickets'!$AB:$AB, ""(?i)""&amp;TRIM(D363)), 'OLT DOWN Tickets'!$L:$L=""OLT UPLINK LOW POWER""), 1), """")"),"")</f>
        <v/>
      </c>
      <c r="L363" s="32" t="str">
        <f>IFERROR(__xludf.DUMMYFUNCTION("IFERROR(INDEX(FILTER('OLT DOWN Tickets'!$F:$F, REGEXMATCH('OLT DOWN Tickets'!$AB:$AB, ""(?i)""&amp;TRIM(D363)), 'OLT DOWN Tickets'!$L:$L=""OLT UPLINK DOWN""), 1), """")"),"")</f>
        <v/>
      </c>
      <c r="M363" s="32" t="str">
        <f>IFERROR(__xludf.DUMMYFUNCTION("IFERROR(INDEX(FILTER('OLT DOWN Tickets'!$F:$F, REGEXMATCH('OLT DOWN Tickets'!$AB:$AB, ""(?i)""&amp;TRIM(D363)), 'OLT DOWN Tickets'!$L:$L=""OLT SERVICE DEGRADATION""), 1), """")
"),"")</f>
        <v/>
      </c>
      <c r="N363" s="6" t="b">
        <v>0</v>
      </c>
      <c r="O363" s="6" t="b">
        <v>0</v>
      </c>
      <c r="P363" s="6" t="b">
        <v>0</v>
      </c>
      <c r="Q363" s="6" t="b">
        <v>0</v>
      </c>
      <c r="R363" s="6"/>
      <c r="S363" s="6"/>
      <c r="T363" s="6"/>
      <c r="U363" s="6"/>
    </row>
    <row r="364">
      <c r="A364" s="19"/>
      <c r="B364" s="26" t="s">
        <v>117</v>
      </c>
      <c r="C364" s="26" t="s">
        <v>641</v>
      </c>
      <c r="D364" s="27" t="s">
        <v>642</v>
      </c>
      <c r="E364" s="6" t="b">
        <f t="shared" si="1"/>
        <v>1</v>
      </c>
      <c r="F364" s="6" t="b">
        <f>COUNTIFS('OLT DOWN Tickets'!$AB:$AB, "*" &amp; D364 &amp; "*", 'OLT DOWN Tickets'!$L:$L, "OLT DOWN") &gt; 0</f>
        <v>0</v>
      </c>
      <c r="G364" s="6" t="b">
        <f>COUNTIFS('OLT DOWN Tickets'!$AB:$AB, "*" &amp; D364 &amp; "*", 'OLT DOWN Tickets'!$L:$L, "OLT UPLINK LOW POWER") &gt; 0</f>
        <v>0</v>
      </c>
      <c r="H364" s="6" t="b">
        <f>COUNTIFS('OLT DOWN Tickets'!$AB:$AB, "*" &amp; D364 &amp; "*", 'OLT DOWN Tickets'!$L:$L, "OLT UPLINK DOWN") &gt; 0</f>
        <v>0</v>
      </c>
      <c r="I364" s="6" t="b">
        <f>COUNTIFS('OLT DOWN Tickets'!$AB:$AB, "*" &amp; D364 &amp; "*", 'OLT DOWN Tickets'!$L:$L, "OLT SERVICE DEGRADATION") &gt; 0</f>
        <v>0</v>
      </c>
      <c r="J364" s="32" t="str">
        <f>IFERROR(__xludf.DUMMYFUNCTION("IFERROR(INDEX(FILTER('OLT DOWN Tickets'!$F:$F, REGEXMATCH('OLT DOWN Tickets'!$AB:$AB, ""(?i)""&amp;TRIM(D364)), 'OLT DOWN Tickets'!$L:$L=""OLT DOWN""), 1), """")"),"")</f>
        <v/>
      </c>
      <c r="K364" s="32" t="str">
        <f>IFERROR(__xludf.DUMMYFUNCTION("IFERROR(INDEX(FILTER('OLT DOWN Tickets'!$F:$F, REGEXMATCH('OLT DOWN Tickets'!$AB:$AB, ""(?i)""&amp;TRIM(D364)), 'OLT DOWN Tickets'!$L:$L=""OLT UPLINK LOW POWER""), 1), """")"),"")</f>
        <v/>
      </c>
      <c r="L364" s="32" t="str">
        <f>IFERROR(__xludf.DUMMYFUNCTION("IFERROR(INDEX(FILTER('OLT DOWN Tickets'!$F:$F, REGEXMATCH('OLT DOWN Tickets'!$AB:$AB, ""(?i)""&amp;TRIM(D364)), 'OLT DOWN Tickets'!$L:$L=""OLT UPLINK DOWN""), 1), """")"),"")</f>
        <v/>
      </c>
      <c r="M364" s="32" t="str">
        <f>IFERROR(__xludf.DUMMYFUNCTION("IFERROR(INDEX(FILTER('OLT DOWN Tickets'!$F:$F, REGEXMATCH('OLT DOWN Tickets'!$AB:$AB, ""(?i)""&amp;TRIM(D364)), 'OLT DOWN Tickets'!$L:$L=""OLT SERVICE DEGRADATION""), 1), """")
"),"")</f>
        <v/>
      </c>
      <c r="N364" s="6" t="b">
        <v>0</v>
      </c>
      <c r="O364" s="6" t="b">
        <v>0</v>
      </c>
      <c r="P364" s="6" t="b">
        <v>0</v>
      </c>
      <c r="Q364" s="6" t="b">
        <v>0</v>
      </c>
      <c r="R364" s="6"/>
      <c r="S364" s="6"/>
      <c r="T364" s="6"/>
      <c r="U364" s="6"/>
    </row>
    <row r="365">
      <c r="A365" s="19"/>
      <c r="B365" s="26" t="s">
        <v>117</v>
      </c>
      <c r="C365" s="26" t="s">
        <v>643</v>
      </c>
      <c r="D365" s="27" t="s">
        <v>644</v>
      </c>
      <c r="E365" s="6" t="b">
        <f t="shared" si="1"/>
        <v>1</v>
      </c>
      <c r="F365" s="6" t="b">
        <f>COUNTIFS('OLT DOWN Tickets'!$AB:$AB, "*" &amp; D365 &amp; "*", 'OLT DOWN Tickets'!$L:$L, "OLT DOWN") &gt; 0</f>
        <v>0</v>
      </c>
      <c r="G365" s="6" t="b">
        <f>COUNTIFS('OLT DOWN Tickets'!$AB:$AB, "*" &amp; D365 &amp; "*", 'OLT DOWN Tickets'!$L:$L, "OLT UPLINK LOW POWER") &gt; 0</f>
        <v>0</v>
      </c>
      <c r="H365" s="6" t="b">
        <f>COUNTIFS('OLT DOWN Tickets'!$AB:$AB, "*" &amp; D365 &amp; "*", 'OLT DOWN Tickets'!$L:$L, "OLT UPLINK DOWN") &gt; 0</f>
        <v>0</v>
      </c>
      <c r="I365" s="6" t="b">
        <f>COUNTIFS('OLT DOWN Tickets'!$AB:$AB, "*" &amp; D365 &amp; "*", 'OLT DOWN Tickets'!$L:$L, "OLT SERVICE DEGRADATION") &gt; 0</f>
        <v>0</v>
      </c>
      <c r="J365" s="32" t="str">
        <f>IFERROR(__xludf.DUMMYFUNCTION("IFERROR(INDEX(FILTER('OLT DOWN Tickets'!$F:$F, REGEXMATCH('OLT DOWN Tickets'!$AB:$AB, ""(?i)""&amp;TRIM(D365)), 'OLT DOWN Tickets'!$L:$L=""OLT DOWN""), 1), """")"),"")</f>
        <v/>
      </c>
      <c r="K365" s="32" t="str">
        <f>IFERROR(__xludf.DUMMYFUNCTION("IFERROR(INDEX(FILTER('OLT DOWN Tickets'!$F:$F, REGEXMATCH('OLT DOWN Tickets'!$AB:$AB, ""(?i)""&amp;TRIM(D365)), 'OLT DOWN Tickets'!$L:$L=""OLT UPLINK LOW POWER""), 1), """")"),"")</f>
        <v/>
      </c>
      <c r="L365" s="32" t="str">
        <f>IFERROR(__xludf.DUMMYFUNCTION("IFERROR(INDEX(FILTER('OLT DOWN Tickets'!$F:$F, REGEXMATCH('OLT DOWN Tickets'!$AB:$AB, ""(?i)""&amp;TRIM(D365)), 'OLT DOWN Tickets'!$L:$L=""OLT UPLINK DOWN""), 1), """")"),"")</f>
        <v/>
      </c>
      <c r="M365" s="32" t="str">
        <f>IFERROR(__xludf.DUMMYFUNCTION("IFERROR(INDEX(FILTER('OLT DOWN Tickets'!$F:$F, REGEXMATCH('OLT DOWN Tickets'!$AB:$AB, ""(?i)""&amp;TRIM(D365)), 'OLT DOWN Tickets'!$L:$L=""OLT SERVICE DEGRADATION""), 1), """")
"),"")</f>
        <v/>
      </c>
      <c r="N365" s="6" t="b">
        <v>0</v>
      </c>
      <c r="O365" s="6" t="b">
        <v>0</v>
      </c>
      <c r="P365" s="6" t="b">
        <v>0</v>
      </c>
      <c r="Q365" s="6" t="b">
        <v>0</v>
      </c>
      <c r="R365" s="6"/>
      <c r="S365" s="6"/>
      <c r="T365" s="6"/>
      <c r="U365" s="6"/>
    </row>
    <row r="366">
      <c r="A366" s="19"/>
      <c r="B366" s="26" t="s">
        <v>117</v>
      </c>
      <c r="C366" s="26" t="s">
        <v>643</v>
      </c>
      <c r="D366" s="27" t="s">
        <v>645</v>
      </c>
      <c r="E366" s="6" t="b">
        <f t="shared" si="1"/>
        <v>1</v>
      </c>
      <c r="F366" s="6" t="b">
        <f>COUNTIFS('OLT DOWN Tickets'!$AB:$AB, "*" &amp; D366 &amp; "*", 'OLT DOWN Tickets'!$L:$L, "OLT DOWN") &gt; 0</f>
        <v>0</v>
      </c>
      <c r="G366" s="6" t="b">
        <f>COUNTIFS('OLT DOWN Tickets'!$AB:$AB, "*" &amp; D366 &amp; "*", 'OLT DOWN Tickets'!$L:$L, "OLT UPLINK LOW POWER") &gt; 0</f>
        <v>0</v>
      </c>
      <c r="H366" s="6" t="b">
        <f>COUNTIFS('OLT DOWN Tickets'!$AB:$AB, "*" &amp; D366 &amp; "*", 'OLT DOWN Tickets'!$L:$L, "OLT UPLINK DOWN") &gt; 0</f>
        <v>0</v>
      </c>
      <c r="I366" s="6" t="b">
        <f>COUNTIFS('OLT DOWN Tickets'!$AB:$AB, "*" &amp; D366 &amp; "*", 'OLT DOWN Tickets'!$L:$L, "OLT SERVICE DEGRADATION") &gt; 0</f>
        <v>0</v>
      </c>
      <c r="J366" s="32" t="str">
        <f>IFERROR(__xludf.DUMMYFUNCTION("IFERROR(INDEX(FILTER('OLT DOWN Tickets'!$F:$F, REGEXMATCH('OLT DOWN Tickets'!$AB:$AB, ""(?i)""&amp;TRIM(D366)), 'OLT DOWN Tickets'!$L:$L=""OLT DOWN""), 1), """")"),"")</f>
        <v/>
      </c>
      <c r="K366" s="32" t="str">
        <f>IFERROR(__xludf.DUMMYFUNCTION("IFERROR(INDEX(FILTER('OLT DOWN Tickets'!$F:$F, REGEXMATCH('OLT DOWN Tickets'!$AB:$AB, ""(?i)""&amp;TRIM(D366)), 'OLT DOWN Tickets'!$L:$L=""OLT UPLINK LOW POWER""), 1), """")"),"")</f>
        <v/>
      </c>
      <c r="L366" s="32" t="str">
        <f>IFERROR(__xludf.DUMMYFUNCTION("IFERROR(INDEX(FILTER('OLT DOWN Tickets'!$F:$F, REGEXMATCH('OLT DOWN Tickets'!$AB:$AB, ""(?i)""&amp;TRIM(D366)), 'OLT DOWN Tickets'!$L:$L=""OLT UPLINK DOWN""), 1), """")"),"")</f>
        <v/>
      </c>
      <c r="M366" s="32" t="str">
        <f>IFERROR(__xludf.DUMMYFUNCTION("IFERROR(INDEX(FILTER('OLT DOWN Tickets'!$F:$F, REGEXMATCH('OLT DOWN Tickets'!$AB:$AB, ""(?i)""&amp;TRIM(D366)), 'OLT DOWN Tickets'!$L:$L=""OLT SERVICE DEGRADATION""), 1), """")
"),"")</f>
        <v/>
      </c>
      <c r="N366" s="6" t="b">
        <v>0</v>
      </c>
      <c r="O366" s="6" t="b">
        <v>0</v>
      </c>
      <c r="P366" s="6" t="b">
        <v>0</v>
      </c>
      <c r="Q366" s="6" t="b">
        <v>0</v>
      </c>
      <c r="R366" s="6"/>
      <c r="S366" s="6"/>
      <c r="T366" s="6"/>
      <c r="U366" s="6"/>
    </row>
    <row r="367">
      <c r="A367" s="19"/>
      <c r="B367" s="26" t="s">
        <v>117</v>
      </c>
      <c r="C367" s="26" t="s">
        <v>643</v>
      </c>
      <c r="D367" s="27" t="s">
        <v>646</v>
      </c>
      <c r="E367" s="6" t="b">
        <f t="shared" si="1"/>
        <v>1</v>
      </c>
      <c r="F367" s="6" t="b">
        <f>COUNTIFS('OLT DOWN Tickets'!$AB:$AB, "*" &amp; D367 &amp; "*", 'OLT DOWN Tickets'!$L:$L, "OLT DOWN") &gt; 0</f>
        <v>0</v>
      </c>
      <c r="G367" s="6" t="b">
        <f>COUNTIFS('OLT DOWN Tickets'!$AB:$AB, "*" &amp; D367 &amp; "*", 'OLT DOWN Tickets'!$L:$L, "OLT UPLINK LOW POWER") &gt; 0</f>
        <v>0</v>
      </c>
      <c r="H367" s="6" t="b">
        <f>COUNTIFS('OLT DOWN Tickets'!$AB:$AB, "*" &amp; D367 &amp; "*", 'OLT DOWN Tickets'!$L:$L, "OLT UPLINK DOWN") &gt; 0</f>
        <v>0</v>
      </c>
      <c r="I367" s="6" t="b">
        <f>COUNTIFS('OLT DOWN Tickets'!$AB:$AB, "*" &amp; D367 &amp; "*", 'OLT DOWN Tickets'!$L:$L, "OLT SERVICE DEGRADATION") &gt; 0</f>
        <v>0</v>
      </c>
      <c r="J367" s="32" t="str">
        <f>IFERROR(__xludf.DUMMYFUNCTION("IFERROR(INDEX(FILTER('OLT DOWN Tickets'!$F:$F, REGEXMATCH('OLT DOWN Tickets'!$AB:$AB, ""(?i)""&amp;TRIM(D367)), 'OLT DOWN Tickets'!$L:$L=""OLT DOWN""), 1), """")"),"")</f>
        <v/>
      </c>
      <c r="K367" s="32" t="str">
        <f>IFERROR(__xludf.DUMMYFUNCTION("IFERROR(INDEX(FILTER('OLT DOWN Tickets'!$F:$F, REGEXMATCH('OLT DOWN Tickets'!$AB:$AB, ""(?i)""&amp;TRIM(D367)), 'OLT DOWN Tickets'!$L:$L=""OLT UPLINK LOW POWER""), 1), """")"),"")</f>
        <v/>
      </c>
      <c r="L367" s="32" t="str">
        <f>IFERROR(__xludf.DUMMYFUNCTION("IFERROR(INDEX(FILTER('OLT DOWN Tickets'!$F:$F, REGEXMATCH('OLT DOWN Tickets'!$AB:$AB, ""(?i)""&amp;TRIM(D367)), 'OLT DOWN Tickets'!$L:$L=""OLT UPLINK DOWN""), 1), """")"),"")</f>
        <v/>
      </c>
      <c r="M367" s="32" t="str">
        <f>IFERROR(__xludf.DUMMYFUNCTION("IFERROR(INDEX(FILTER('OLT DOWN Tickets'!$F:$F, REGEXMATCH('OLT DOWN Tickets'!$AB:$AB, ""(?i)""&amp;TRIM(D367)), 'OLT DOWN Tickets'!$L:$L=""OLT SERVICE DEGRADATION""), 1), """")
"),"")</f>
        <v/>
      </c>
      <c r="N367" s="6" t="b">
        <v>0</v>
      </c>
      <c r="O367" s="6" t="b">
        <v>0</v>
      </c>
      <c r="P367" s="6" t="b">
        <v>0</v>
      </c>
      <c r="Q367" s="6" t="b">
        <v>0</v>
      </c>
      <c r="R367" s="6"/>
      <c r="S367" s="6"/>
      <c r="T367" s="6"/>
      <c r="U367" s="6"/>
    </row>
    <row r="368">
      <c r="A368" s="19"/>
      <c r="B368" s="26" t="s">
        <v>117</v>
      </c>
      <c r="C368" s="26" t="s">
        <v>643</v>
      </c>
      <c r="D368" s="27" t="s">
        <v>647</v>
      </c>
      <c r="E368" s="6" t="b">
        <f t="shared" si="1"/>
        <v>1</v>
      </c>
      <c r="F368" s="6" t="b">
        <f>COUNTIFS('OLT DOWN Tickets'!$AB:$AB, "*" &amp; D368 &amp; "*", 'OLT DOWN Tickets'!$L:$L, "OLT DOWN") &gt; 0</f>
        <v>0</v>
      </c>
      <c r="G368" s="6" t="b">
        <f>COUNTIFS('OLT DOWN Tickets'!$AB:$AB, "*" &amp; D368 &amp; "*", 'OLT DOWN Tickets'!$L:$L, "OLT UPLINK LOW POWER") &gt; 0</f>
        <v>0</v>
      </c>
      <c r="H368" s="6" t="b">
        <f>COUNTIFS('OLT DOWN Tickets'!$AB:$AB, "*" &amp; D368 &amp; "*", 'OLT DOWN Tickets'!$L:$L, "OLT UPLINK DOWN") &gt; 0</f>
        <v>0</v>
      </c>
      <c r="I368" s="6" t="b">
        <f>COUNTIFS('OLT DOWN Tickets'!$AB:$AB, "*" &amp; D368 &amp; "*", 'OLT DOWN Tickets'!$L:$L, "OLT SERVICE DEGRADATION") &gt; 0</f>
        <v>0</v>
      </c>
      <c r="J368" s="32" t="str">
        <f>IFERROR(__xludf.DUMMYFUNCTION("IFERROR(INDEX(FILTER('OLT DOWN Tickets'!$F:$F, REGEXMATCH('OLT DOWN Tickets'!$AB:$AB, ""(?i)""&amp;TRIM(D368)), 'OLT DOWN Tickets'!$L:$L=""OLT DOWN""), 1), """")"),"")</f>
        <v/>
      </c>
      <c r="K368" s="32" t="str">
        <f>IFERROR(__xludf.DUMMYFUNCTION("IFERROR(INDEX(FILTER('OLT DOWN Tickets'!$F:$F, REGEXMATCH('OLT DOWN Tickets'!$AB:$AB, ""(?i)""&amp;TRIM(D368)), 'OLT DOWN Tickets'!$L:$L=""OLT UPLINK LOW POWER""), 1), """")"),"")</f>
        <v/>
      </c>
      <c r="L368" s="32" t="str">
        <f>IFERROR(__xludf.DUMMYFUNCTION("IFERROR(INDEX(FILTER('OLT DOWN Tickets'!$F:$F, REGEXMATCH('OLT DOWN Tickets'!$AB:$AB, ""(?i)""&amp;TRIM(D368)), 'OLT DOWN Tickets'!$L:$L=""OLT UPLINK DOWN""), 1), """")"),"")</f>
        <v/>
      </c>
      <c r="M368" s="32" t="str">
        <f>IFERROR(__xludf.DUMMYFUNCTION("IFERROR(INDEX(FILTER('OLT DOWN Tickets'!$F:$F, REGEXMATCH('OLT DOWN Tickets'!$AB:$AB, ""(?i)""&amp;TRIM(D368)), 'OLT DOWN Tickets'!$L:$L=""OLT SERVICE DEGRADATION""), 1), """")
"),"")</f>
        <v/>
      </c>
      <c r="N368" s="6" t="b">
        <v>0</v>
      </c>
      <c r="O368" s="6" t="b">
        <v>0</v>
      </c>
      <c r="P368" s="6" t="b">
        <v>0</v>
      </c>
      <c r="Q368" s="6" t="b">
        <v>0</v>
      </c>
      <c r="R368" s="6"/>
      <c r="S368" s="6"/>
      <c r="T368" s="6"/>
      <c r="U368" s="6"/>
    </row>
    <row r="369">
      <c r="A369" s="19"/>
      <c r="B369" s="26" t="s">
        <v>117</v>
      </c>
      <c r="C369" s="26" t="s">
        <v>648</v>
      </c>
      <c r="D369" s="27" t="s">
        <v>649</v>
      </c>
      <c r="E369" s="6" t="b">
        <f t="shared" si="1"/>
        <v>1</v>
      </c>
      <c r="F369" s="6" t="b">
        <f>COUNTIFS('OLT DOWN Tickets'!$AB:$AB, "*" &amp; D369 &amp; "*", 'OLT DOWN Tickets'!$L:$L, "OLT DOWN") &gt; 0</f>
        <v>0</v>
      </c>
      <c r="G369" s="6" t="b">
        <f>COUNTIFS('OLT DOWN Tickets'!$AB:$AB, "*" &amp; D369 &amp; "*", 'OLT DOWN Tickets'!$L:$L, "OLT UPLINK LOW POWER") &gt; 0</f>
        <v>0</v>
      </c>
      <c r="H369" s="6" t="b">
        <f>COUNTIFS('OLT DOWN Tickets'!$AB:$AB, "*" &amp; D369 &amp; "*", 'OLT DOWN Tickets'!$L:$L, "OLT UPLINK DOWN") &gt; 0</f>
        <v>0</v>
      </c>
      <c r="I369" s="6" t="b">
        <f>COUNTIFS('OLT DOWN Tickets'!$AB:$AB, "*" &amp; D369 &amp; "*", 'OLT DOWN Tickets'!$L:$L, "OLT SERVICE DEGRADATION") &gt; 0</f>
        <v>0</v>
      </c>
      <c r="J369" s="32" t="str">
        <f>IFERROR(__xludf.DUMMYFUNCTION("IFERROR(INDEX(FILTER('OLT DOWN Tickets'!$F:$F, REGEXMATCH('OLT DOWN Tickets'!$AB:$AB, ""(?i)""&amp;TRIM(D369)), 'OLT DOWN Tickets'!$L:$L=""OLT DOWN""), 1), """")"),"")</f>
        <v/>
      </c>
      <c r="K369" s="32" t="str">
        <f>IFERROR(__xludf.DUMMYFUNCTION("IFERROR(INDEX(FILTER('OLT DOWN Tickets'!$F:$F, REGEXMATCH('OLT DOWN Tickets'!$AB:$AB, ""(?i)""&amp;TRIM(D369)), 'OLT DOWN Tickets'!$L:$L=""OLT UPLINK LOW POWER""), 1), """")"),"")</f>
        <v/>
      </c>
      <c r="L369" s="32" t="str">
        <f>IFERROR(__xludf.DUMMYFUNCTION("IFERROR(INDEX(FILTER('OLT DOWN Tickets'!$F:$F, REGEXMATCH('OLT DOWN Tickets'!$AB:$AB, ""(?i)""&amp;TRIM(D369)), 'OLT DOWN Tickets'!$L:$L=""OLT UPLINK DOWN""), 1), """")"),"")</f>
        <v/>
      </c>
      <c r="M369" s="32" t="str">
        <f>IFERROR(__xludf.DUMMYFUNCTION("IFERROR(INDEX(FILTER('OLT DOWN Tickets'!$F:$F, REGEXMATCH('OLT DOWN Tickets'!$AB:$AB, ""(?i)""&amp;TRIM(D369)), 'OLT DOWN Tickets'!$L:$L=""OLT SERVICE DEGRADATION""), 1), """")
"),"")</f>
        <v/>
      </c>
      <c r="N369" s="6" t="b">
        <v>0</v>
      </c>
      <c r="O369" s="6" t="b">
        <v>0</v>
      </c>
      <c r="P369" s="6" t="b">
        <v>0</v>
      </c>
      <c r="Q369" s="6" t="b">
        <v>0</v>
      </c>
      <c r="R369" s="6"/>
      <c r="S369" s="6"/>
      <c r="T369" s="6"/>
      <c r="U369" s="6"/>
    </row>
    <row r="370">
      <c r="A370" s="19"/>
      <c r="B370" s="26" t="s">
        <v>117</v>
      </c>
      <c r="C370" s="26" t="s">
        <v>650</v>
      </c>
      <c r="D370" s="27" t="s">
        <v>651</v>
      </c>
      <c r="E370" s="6" t="b">
        <f t="shared" si="1"/>
        <v>1</v>
      </c>
      <c r="F370" s="6" t="b">
        <f>COUNTIFS('OLT DOWN Tickets'!$AB:$AB, "*" &amp; D370 &amp; "*", 'OLT DOWN Tickets'!$L:$L, "OLT DOWN") &gt; 0</f>
        <v>0</v>
      </c>
      <c r="G370" s="6" t="b">
        <f>COUNTIFS('OLT DOWN Tickets'!$AB:$AB, "*" &amp; D370 &amp; "*", 'OLT DOWN Tickets'!$L:$L, "OLT UPLINK LOW POWER") &gt; 0</f>
        <v>0</v>
      </c>
      <c r="H370" s="6" t="b">
        <f>COUNTIFS('OLT DOWN Tickets'!$AB:$AB, "*" &amp; D370 &amp; "*", 'OLT DOWN Tickets'!$L:$L, "OLT UPLINK DOWN") &gt; 0</f>
        <v>0</v>
      </c>
      <c r="I370" s="6" t="b">
        <f>COUNTIFS('OLT DOWN Tickets'!$AB:$AB, "*" &amp; D370 &amp; "*", 'OLT DOWN Tickets'!$L:$L, "OLT SERVICE DEGRADATION") &gt; 0</f>
        <v>0</v>
      </c>
      <c r="J370" s="32" t="str">
        <f>IFERROR(__xludf.DUMMYFUNCTION("IFERROR(INDEX(FILTER('OLT DOWN Tickets'!$F:$F, REGEXMATCH('OLT DOWN Tickets'!$AB:$AB, ""(?i)""&amp;TRIM(D370)), 'OLT DOWN Tickets'!$L:$L=""OLT DOWN""), 1), """")"),"")</f>
        <v/>
      </c>
      <c r="K370" s="32" t="str">
        <f>IFERROR(__xludf.DUMMYFUNCTION("IFERROR(INDEX(FILTER('OLT DOWN Tickets'!$F:$F, REGEXMATCH('OLT DOWN Tickets'!$AB:$AB, ""(?i)""&amp;TRIM(D370)), 'OLT DOWN Tickets'!$L:$L=""OLT UPLINK LOW POWER""), 1), """")"),"")</f>
        <v/>
      </c>
      <c r="L370" s="32" t="str">
        <f>IFERROR(__xludf.DUMMYFUNCTION("IFERROR(INDEX(FILTER('OLT DOWN Tickets'!$F:$F, REGEXMATCH('OLT DOWN Tickets'!$AB:$AB, ""(?i)""&amp;TRIM(D370)), 'OLT DOWN Tickets'!$L:$L=""OLT UPLINK DOWN""), 1), """")"),"")</f>
        <v/>
      </c>
      <c r="M370" s="32" t="str">
        <f>IFERROR(__xludf.DUMMYFUNCTION("IFERROR(INDEX(FILTER('OLT DOWN Tickets'!$F:$F, REGEXMATCH('OLT DOWN Tickets'!$AB:$AB, ""(?i)""&amp;TRIM(D370)), 'OLT DOWN Tickets'!$L:$L=""OLT SERVICE DEGRADATION""), 1), """")
"),"")</f>
        <v/>
      </c>
      <c r="N370" s="6" t="b">
        <v>0</v>
      </c>
      <c r="O370" s="6" t="b">
        <v>0</v>
      </c>
      <c r="P370" s="6" t="b">
        <v>0</v>
      </c>
      <c r="Q370" s="6" t="b">
        <v>0</v>
      </c>
      <c r="R370" s="6"/>
      <c r="S370" s="6"/>
      <c r="T370" s="6"/>
      <c r="U370" s="6"/>
    </row>
    <row r="371">
      <c r="A371" s="19"/>
      <c r="B371" s="26" t="s">
        <v>117</v>
      </c>
      <c r="C371" s="26" t="s">
        <v>650</v>
      </c>
      <c r="D371" s="27" t="s">
        <v>652</v>
      </c>
      <c r="E371" s="6" t="b">
        <f t="shared" si="1"/>
        <v>1</v>
      </c>
      <c r="F371" s="6" t="b">
        <f>COUNTIFS('OLT DOWN Tickets'!$AB:$AB, "*" &amp; D371 &amp; "*", 'OLT DOWN Tickets'!$L:$L, "OLT DOWN") &gt; 0</f>
        <v>0</v>
      </c>
      <c r="G371" s="6" t="b">
        <f>COUNTIFS('OLT DOWN Tickets'!$AB:$AB, "*" &amp; D371 &amp; "*", 'OLT DOWN Tickets'!$L:$L, "OLT UPLINK LOW POWER") &gt; 0</f>
        <v>0</v>
      </c>
      <c r="H371" s="6" t="b">
        <f>COUNTIFS('OLT DOWN Tickets'!$AB:$AB, "*" &amp; D371 &amp; "*", 'OLT DOWN Tickets'!$L:$L, "OLT UPLINK DOWN") &gt; 0</f>
        <v>0</v>
      </c>
      <c r="I371" s="6" t="b">
        <f>COUNTIFS('OLT DOWN Tickets'!$AB:$AB, "*" &amp; D371 &amp; "*", 'OLT DOWN Tickets'!$L:$L, "OLT SERVICE DEGRADATION") &gt; 0</f>
        <v>0</v>
      </c>
      <c r="J371" s="32" t="str">
        <f>IFERROR(__xludf.DUMMYFUNCTION("IFERROR(INDEX(FILTER('OLT DOWN Tickets'!$F:$F, REGEXMATCH('OLT DOWN Tickets'!$AB:$AB, ""(?i)""&amp;TRIM(D371)), 'OLT DOWN Tickets'!$L:$L=""OLT DOWN""), 1), """")"),"")</f>
        <v/>
      </c>
      <c r="K371" s="32" t="str">
        <f>IFERROR(__xludf.DUMMYFUNCTION("IFERROR(INDEX(FILTER('OLT DOWN Tickets'!$F:$F, REGEXMATCH('OLT DOWN Tickets'!$AB:$AB, ""(?i)""&amp;TRIM(D371)), 'OLT DOWN Tickets'!$L:$L=""OLT UPLINK LOW POWER""), 1), """")"),"")</f>
        <v/>
      </c>
      <c r="L371" s="32" t="str">
        <f>IFERROR(__xludf.DUMMYFUNCTION("IFERROR(INDEX(FILTER('OLT DOWN Tickets'!$F:$F, REGEXMATCH('OLT DOWN Tickets'!$AB:$AB, ""(?i)""&amp;TRIM(D371)), 'OLT DOWN Tickets'!$L:$L=""OLT UPLINK DOWN""), 1), """")"),"")</f>
        <v/>
      </c>
      <c r="M371" s="32" t="str">
        <f>IFERROR(__xludf.DUMMYFUNCTION("IFERROR(INDEX(FILTER('OLT DOWN Tickets'!$F:$F, REGEXMATCH('OLT DOWN Tickets'!$AB:$AB, ""(?i)""&amp;TRIM(D371)), 'OLT DOWN Tickets'!$L:$L=""OLT SERVICE DEGRADATION""), 1), """")
"),"")</f>
        <v/>
      </c>
      <c r="N371" s="6" t="b">
        <v>0</v>
      </c>
      <c r="O371" s="6" t="b">
        <v>0</v>
      </c>
      <c r="P371" s="6" t="b">
        <v>0</v>
      </c>
      <c r="Q371" s="6" t="b">
        <v>0</v>
      </c>
      <c r="R371" s="6"/>
      <c r="S371" s="6"/>
      <c r="T371" s="6"/>
      <c r="U371" s="6"/>
    </row>
    <row r="372">
      <c r="A372" s="19"/>
      <c r="B372" s="26" t="s">
        <v>117</v>
      </c>
      <c r="C372" s="26" t="s">
        <v>650</v>
      </c>
      <c r="D372" s="27" t="s">
        <v>653</v>
      </c>
      <c r="E372" s="6" t="b">
        <f t="shared" si="1"/>
        <v>1</v>
      </c>
      <c r="F372" s="6" t="b">
        <f>COUNTIFS('OLT DOWN Tickets'!$AB:$AB, "*" &amp; D372 &amp; "*", 'OLT DOWN Tickets'!$L:$L, "OLT DOWN") &gt; 0</f>
        <v>0</v>
      </c>
      <c r="G372" s="6" t="b">
        <f>COUNTIFS('OLT DOWN Tickets'!$AB:$AB, "*" &amp; D372 &amp; "*", 'OLT DOWN Tickets'!$L:$L, "OLT UPLINK LOW POWER") &gt; 0</f>
        <v>0</v>
      </c>
      <c r="H372" s="6" t="b">
        <f>COUNTIFS('OLT DOWN Tickets'!$AB:$AB, "*" &amp; D372 &amp; "*", 'OLT DOWN Tickets'!$L:$L, "OLT UPLINK DOWN") &gt; 0</f>
        <v>0</v>
      </c>
      <c r="I372" s="6" t="b">
        <f>COUNTIFS('OLT DOWN Tickets'!$AB:$AB, "*" &amp; D372 &amp; "*", 'OLT DOWN Tickets'!$L:$L, "OLT SERVICE DEGRADATION") &gt; 0</f>
        <v>0</v>
      </c>
      <c r="J372" s="32" t="str">
        <f>IFERROR(__xludf.DUMMYFUNCTION("IFERROR(INDEX(FILTER('OLT DOWN Tickets'!$F:$F, REGEXMATCH('OLT DOWN Tickets'!$AB:$AB, ""(?i)""&amp;TRIM(D372)), 'OLT DOWN Tickets'!$L:$L=""OLT DOWN""), 1), """")"),"")</f>
        <v/>
      </c>
      <c r="K372" s="32" t="str">
        <f>IFERROR(__xludf.DUMMYFUNCTION("IFERROR(INDEX(FILTER('OLT DOWN Tickets'!$F:$F, REGEXMATCH('OLT DOWN Tickets'!$AB:$AB, ""(?i)""&amp;TRIM(D372)), 'OLT DOWN Tickets'!$L:$L=""OLT UPLINK LOW POWER""), 1), """")"),"")</f>
        <v/>
      </c>
      <c r="L372" s="32" t="str">
        <f>IFERROR(__xludf.DUMMYFUNCTION("IFERROR(INDEX(FILTER('OLT DOWN Tickets'!$F:$F, REGEXMATCH('OLT DOWN Tickets'!$AB:$AB, ""(?i)""&amp;TRIM(D372)), 'OLT DOWN Tickets'!$L:$L=""OLT UPLINK DOWN""), 1), """")"),"")</f>
        <v/>
      </c>
      <c r="M372" s="32" t="str">
        <f>IFERROR(__xludf.DUMMYFUNCTION("IFERROR(INDEX(FILTER('OLT DOWN Tickets'!$F:$F, REGEXMATCH('OLT DOWN Tickets'!$AB:$AB, ""(?i)""&amp;TRIM(D372)), 'OLT DOWN Tickets'!$L:$L=""OLT SERVICE DEGRADATION""), 1), """")
"),"")</f>
        <v/>
      </c>
      <c r="N372" s="6" t="b">
        <v>0</v>
      </c>
      <c r="O372" s="6" t="b">
        <v>0</v>
      </c>
      <c r="P372" s="6" t="b">
        <v>0</v>
      </c>
      <c r="Q372" s="6" t="b">
        <v>0</v>
      </c>
      <c r="R372" s="6"/>
      <c r="S372" s="6"/>
      <c r="T372" s="6"/>
      <c r="U372" s="6"/>
    </row>
    <row r="373">
      <c r="A373" s="19"/>
      <c r="B373" s="26" t="s">
        <v>117</v>
      </c>
      <c r="C373" s="26" t="s">
        <v>654</v>
      </c>
      <c r="D373" s="27" t="s">
        <v>655</v>
      </c>
      <c r="E373" s="6" t="b">
        <f t="shared" si="1"/>
        <v>1</v>
      </c>
      <c r="F373" s="6" t="b">
        <f>COUNTIFS('OLT DOWN Tickets'!$AB:$AB, "*" &amp; D373 &amp; "*", 'OLT DOWN Tickets'!$L:$L, "OLT DOWN") &gt; 0</f>
        <v>0</v>
      </c>
      <c r="G373" s="6" t="b">
        <f>COUNTIFS('OLT DOWN Tickets'!$AB:$AB, "*" &amp; D373 &amp; "*", 'OLT DOWN Tickets'!$L:$L, "OLT UPLINK LOW POWER") &gt; 0</f>
        <v>0</v>
      </c>
      <c r="H373" s="6" t="b">
        <f>COUNTIFS('OLT DOWN Tickets'!$AB:$AB, "*" &amp; D373 &amp; "*", 'OLT DOWN Tickets'!$L:$L, "OLT UPLINK DOWN") &gt; 0</f>
        <v>0</v>
      </c>
      <c r="I373" s="6" t="b">
        <f>COUNTIFS('OLT DOWN Tickets'!$AB:$AB, "*" &amp; D373 &amp; "*", 'OLT DOWN Tickets'!$L:$L, "OLT SERVICE DEGRADATION") &gt; 0</f>
        <v>0</v>
      </c>
      <c r="J373" s="32" t="str">
        <f>IFERROR(__xludf.DUMMYFUNCTION("IFERROR(INDEX(FILTER('OLT DOWN Tickets'!$F:$F, REGEXMATCH('OLT DOWN Tickets'!$AB:$AB, ""(?i)""&amp;TRIM(D373)), 'OLT DOWN Tickets'!$L:$L=""OLT DOWN""), 1), """")"),"")</f>
        <v/>
      </c>
      <c r="K373" s="32" t="str">
        <f>IFERROR(__xludf.DUMMYFUNCTION("IFERROR(INDEX(FILTER('OLT DOWN Tickets'!$F:$F, REGEXMATCH('OLT DOWN Tickets'!$AB:$AB, ""(?i)""&amp;TRIM(D373)), 'OLT DOWN Tickets'!$L:$L=""OLT UPLINK LOW POWER""), 1), """")"),"")</f>
        <v/>
      </c>
      <c r="L373" s="32" t="str">
        <f>IFERROR(__xludf.DUMMYFUNCTION("IFERROR(INDEX(FILTER('OLT DOWN Tickets'!$F:$F, REGEXMATCH('OLT DOWN Tickets'!$AB:$AB, ""(?i)""&amp;TRIM(D373)), 'OLT DOWN Tickets'!$L:$L=""OLT UPLINK DOWN""), 1), """")"),"")</f>
        <v/>
      </c>
      <c r="M373" s="32" t="str">
        <f>IFERROR(__xludf.DUMMYFUNCTION("IFERROR(INDEX(FILTER('OLT DOWN Tickets'!$F:$F, REGEXMATCH('OLT DOWN Tickets'!$AB:$AB, ""(?i)""&amp;TRIM(D373)), 'OLT DOWN Tickets'!$L:$L=""OLT SERVICE DEGRADATION""), 1), """")
"),"")</f>
        <v/>
      </c>
      <c r="N373" s="6" t="b">
        <v>0</v>
      </c>
      <c r="O373" s="6" t="b">
        <v>0</v>
      </c>
      <c r="P373" s="6" t="b">
        <v>0</v>
      </c>
      <c r="Q373" s="6" t="b">
        <v>0</v>
      </c>
      <c r="R373" s="6"/>
      <c r="S373" s="6"/>
      <c r="T373" s="6"/>
      <c r="U373" s="6"/>
    </row>
    <row r="374">
      <c r="A374" s="19"/>
      <c r="B374" s="26" t="s">
        <v>117</v>
      </c>
      <c r="C374" s="26" t="s">
        <v>654</v>
      </c>
      <c r="D374" s="27" t="s">
        <v>656</v>
      </c>
      <c r="E374" s="6" t="b">
        <f t="shared" si="1"/>
        <v>1</v>
      </c>
      <c r="F374" s="6" t="b">
        <f>COUNTIFS('OLT DOWN Tickets'!$AB:$AB, "*" &amp; D374 &amp; "*", 'OLT DOWN Tickets'!$L:$L, "OLT DOWN") &gt; 0</f>
        <v>0</v>
      </c>
      <c r="G374" s="6" t="b">
        <f>COUNTIFS('OLT DOWN Tickets'!$AB:$AB, "*" &amp; D374 &amp; "*", 'OLT DOWN Tickets'!$L:$L, "OLT UPLINK LOW POWER") &gt; 0</f>
        <v>0</v>
      </c>
      <c r="H374" s="6" t="b">
        <f>COUNTIFS('OLT DOWN Tickets'!$AB:$AB, "*" &amp; D374 &amp; "*", 'OLT DOWN Tickets'!$L:$L, "OLT UPLINK DOWN") &gt; 0</f>
        <v>0</v>
      </c>
      <c r="I374" s="6" t="b">
        <f>COUNTIFS('OLT DOWN Tickets'!$AB:$AB, "*" &amp; D374 &amp; "*", 'OLT DOWN Tickets'!$L:$L, "OLT SERVICE DEGRADATION") &gt; 0</f>
        <v>0</v>
      </c>
      <c r="J374" s="32" t="str">
        <f>IFERROR(__xludf.DUMMYFUNCTION("IFERROR(INDEX(FILTER('OLT DOWN Tickets'!$F:$F, REGEXMATCH('OLT DOWN Tickets'!$AB:$AB, ""(?i)""&amp;TRIM(D374)), 'OLT DOWN Tickets'!$L:$L=""OLT DOWN""), 1), """")"),"")</f>
        <v/>
      </c>
      <c r="K374" s="32" t="str">
        <f>IFERROR(__xludf.DUMMYFUNCTION("IFERROR(INDEX(FILTER('OLT DOWN Tickets'!$F:$F, REGEXMATCH('OLT DOWN Tickets'!$AB:$AB, ""(?i)""&amp;TRIM(D374)), 'OLT DOWN Tickets'!$L:$L=""OLT UPLINK LOW POWER""), 1), """")"),"")</f>
        <v/>
      </c>
      <c r="L374" s="32" t="str">
        <f>IFERROR(__xludf.DUMMYFUNCTION("IFERROR(INDEX(FILTER('OLT DOWN Tickets'!$F:$F, REGEXMATCH('OLT DOWN Tickets'!$AB:$AB, ""(?i)""&amp;TRIM(D374)), 'OLT DOWN Tickets'!$L:$L=""OLT UPLINK DOWN""), 1), """")"),"")</f>
        <v/>
      </c>
      <c r="M374" s="32" t="str">
        <f>IFERROR(__xludf.DUMMYFUNCTION("IFERROR(INDEX(FILTER('OLT DOWN Tickets'!$F:$F, REGEXMATCH('OLT DOWN Tickets'!$AB:$AB, ""(?i)""&amp;TRIM(D374)), 'OLT DOWN Tickets'!$L:$L=""OLT SERVICE DEGRADATION""), 1), """")
"),"")</f>
        <v/>
      </c>
      <c r="N374" s="6" t="b">
        <v>0</v>
      </c>
      <c r="O374" s="6" t="b">
        <v>0</v>
      </c>
      <c r="P374" s="6" t="b">
        <v>0</v>
      </c>
      <c r="Q374" s="6" t="b">
        <v>0</v>
      </c>
      <c r="R374" s="6"/>
      <c r="S374" s="6"/>
      <c r="T374" s="6"/>
      <c r="U374" s="6"/>
    </row>
    <row r="375">
      <c r="A375" s="19"/>
      <c r="B375" s="26" t="s">
        <v>117</v>
      </c>
      <c r="C375" s="26" t="s">
        <v>654</v>
      </c>
      <c r="D375" s="27" t="s">
        <v>657</v>
      </c>
      <c r="E375" s="6" t="b">
        <f t="shared" si="1"/>
        <v>1</v>
      </c>
      <c r="F375" s="6" t="b">
        <f>COUNTIFS('OLT DOWN Tickets'!$AB:$AB, "*" &amp; D375 &amp; "*", 'OLT DOWN Tickets'!$L:$L, "OLT DOWN") &gt; 0</f>
        <v>0</v>
      </c>
      <c r="G375" s="6" t="b">
        <f>COUNTIFS('OLT DOWN Tickets'!$AB:$AB, "*" &amp; D375 &amp; "*", 'OLT DOWN Tickets'!$L:$L, "OLT UPLINK LOW POWER") &gt; 0</f>
        <v>0</v>
      </c>
      <c r="H375" s="6" t="b">
        <f>COUNTIFS('OLT DOWN Tickets'!$AB:$AB, "*" &amp; D375 &amp; "*", 'OLT DOWN Tickets'!$L:$L, "OLT UPLINK DOWN") &gt; 0</f>
        <v>0</v>
      </c>
      <c r="I375" s="6" t="b">
        <f>COUNTIFS('OLT DOWN Tickets'!$AB:$AB, "*" &amp; D375 &amp; "*", 'OLT DOWN Tickets'!$L:$L, "OLT SERVICE DEGRADATION") &gt; 0</f>
        <v>0</v>
      </c>
      <c r="J375" s="32" t="str">
        <f>IFERROR(__xludf.DUMMYFUNCTION("IFERROR(INDEX(FILTER('OLT DOWN Tickets'!$F:$F, REGEXMATCH('OLT DOWN Tickets'!$AB:$AB, ""(?i)""&amp;TRIM(D375)), 'OLT DOWN Tickets'!$L:$L=""OLT DOWN""), 1), """")"),"")</f>
        <v/>
      </c>
      <c r="K375" s="32" t="str">
        <f>IFERROR(__xludf.DUMMYFUNCTION("IFERROR(INDEX(FILTER('OLT DOWN Tickets'!$F:$F, REGEXMATCH('OLT DOWN Tickets'!$AB:$AB, ""(?i)""&amp;TRIM(D375)), 'OLT DOWN Tickets'!$L:$L=""OLT UPLINK LOW POWER""), 1), """")"),"")</f>
        <v/>
      </c>
      <c r="L375" s="32" t="str">
        <f>IFERROR(__xludf.DUMMYFUNCTION("IFERROR(INDEX(FILTER('OLT DOWN Tickets'!$F:$F, REGEXMATCH('OLT DOWN Tickets'!$AB:$AB, ""(?i)""&amp;TRIM(D375)), 'OLT DOWN Tickets'!$L:$L=""OLT UPLINK DOWN""), 1), """")"),"")</f>
        <v/>
      </c>
      <c r="M375" s="32" t="str">
        <f>IFERROR(__xludf.DUMMYFUNCTION("IFERROR(INDEX(FILTER('OLT DOWN Tickets'!$F:$F, REGEXMATCH('OLT DOWN Tickets'!$AB:$AB, ""(?i)""&amp;TRIM(D375)), 'OLT DOWN Tickets'!$L:$L=""OLT SERVICE DEGRADATION""), 1), """")
"),"")</f>
        <v/>
      </c>
      <c r="N375" s="6" t="b">
        <v>0</v>
      </c>
      <c r="O375" s="6" t="b">
        <v>0</v>
      </c>
      <c r="P375" s="6" t="b">
        <v>0</v>
      </c>
      <c r="Q375" s="6" t="b">
        <v>0</v>
      </c>
      <c r="R375" s="6"/>
      <c r="S375" s="6"/>
      <c r="T375" s="6"/>
      <c r="U375" s="6"/>
    </row>
    <row r="376">
      <c r="A376" s="19"/>
      <c r="B376" s="26" t="s">
        <v>117</v>
      </c>
      <c r="C376" s="26" t="s">
        <v>658</v>
      </c>
      <c r="D376" s="27" t="s">
        <v>659</v>
      </c>
      <c r="E376" s="6" t="b">
        <f t="shared" si="1"/>
        <v>1</v>
      </c>
      <c r="F376" s="6" t="b">
        <f>COUNTIFS('OLT DOWN Tickets'!$AB:$AB, "*" &amp; D376 &amp; "*", 'OLT DOWN Tickets'!$L:$L, "OLT DOWN") &gt; 0</f>
        <v>0</v>
      </c>
      <c r="G376" s="6" t="b">
        <f>COUNTIFS('OLT DOWN Tickets'!$AB:$AB, "*" &amp; D376 &amp; "*", 'OLT DOWN Tickets'!$L:$L, "OLT UPLINK LOW POWER") &gt; 0</f>
        <v>0</v>
      </c>
      <c r="H376" s="6" t="b">
        <f>COUNTIFS('OLT DOWN Tickets'!$AB:$AB, "*" &amp; D376 &amp; "*", 'OLT DOWN Tickets'!$L:$L, "OLT UPLINK DOWN") &gt; 0</f>
        <v>0</v>
      </c>
      <c r="I376" s="6" t="b">
        <f>COUNTIFS('OLT DOWN Tickets'!$AB:$AB, "*" &amp; D376 &amp; "*", 'OLT DOWN Tickets'!$L:$L, "OLT SERVICE DEGRADATION") &gt; 0</f>
        <v>0</v>
      </c>
      <c r="J376" s="32" t="str">
        <f>IFERROR(__xludf.DUMMYFUNCTION("IFERROR(INDEX(FILTER('OLT DOWN Tickets'!$F:$F, REGEXMATCH('OLT DOWN Tickets'!$AB:$AB, ""(?i)""&amp;TRIM(D376)), 'OLT DOWN Tickets'!$L:$L=""OLT DOWN""), 1), """")"),"")</f>
        <v/>
      </c>
      <c r="K376" s="32" t="str">
        <f>IFERROR(__xludf.DUMMYFUNCTION("IFERROR(INDEX(FILTER('OLT DOWN Tickets'!$F:$F, REGEXMATCH('OLT DOWN Tickets'!$AB:$AB, ""(?i)""&amp;TRIM(D376)), 'OLT DOWN Tickets'!$L:$L=""OLT UPLINK LOW POWER""), 1), """")"),"")</f>
        <v/>
      </c>
      <c r="L376" s="32" t="str">
        <f>IFERROR(__xludf.DUMMYFUNCTION("IFERROR(INDEX(FILTER('OLT DOWN Tickets'!$F:$F, REGEXMATCH('OLT DOWN Tickets'!$AB:$AB, ""(?i)""&amp;TRIM(D376)), 'OLT DOWN Tickets'!$L:$L=""OLT UPLINK DOWN""), 1), """")"),"")</f>
        <v/>
      </c>
      <c r="M376" s="32" t="str">
        <f>IFERROR(__xludf.DUMMYFUNCTION("IFERROR(INDEX(FILTER('OLT DOWN Tickets'!$F:$F, REGEXMATCH('OLT DOWN Tickets'!$AB:$AB, ""(?i)""&amp;TRIM(D376)), 'OLT DOWN Tickets'!$L:$L=""OLT SERVICE DEGRADATION""), 1), """")
"),"")</f>
        <v/>
      </c>
      <c r="N376" s="6" t="b">
        <v>0</v>
      </c>
      <c r="O376" s="6" t="b">
        <v>0</v>
      </c>
      <c r="P376" s="6" t="b">
        <v>0</v>
      </c>
      <c r="Q376" s="6" t="b">
        <v>0</v>
      </c>
      <c r="R376" s="6"/>
      <c r="S376" s="6"/>
      <c r="T376" s="6"/>
      <c r="U376" s="6"/>
    </row>
    <row r="377">
      <c r="A377" s="19"/>
      <c r="B377" s="26" t="s">
        <v>117</v>
      </c>
      <c r="C377" s="26" t="s">
        <v>660</v>
      </c>
      <c r="D377" s="27" t="s">
        <v>661</v>
      </c>
      <c r="E377" s="6" t="b">
        <f t="shared" si="1"/>
        <v>1</v>
      </c>
      <c r="F377" s="6" t="b">
        <f>COUNTIFS('OLT DOWN Tickets'!$AB:$AB, "*" &amp; D377 &amp; "*", 'OLT DOWN Tickets'!$L:$L, "OLT DOWN") &gt; 0</f>
        <v>0</v>
      </c>
      <c r="G377" s="6" t="b">
        <f>COUNTIFS('OLT DOWN Tickets'!$AB:$AB, "*" &amp; D377 &amp; "*", 'OLT DOWN Tickets'!$L:$L, "OLT UPLINK LOW POWER") &gt; 0</f>
        <v>0</v>
      </c>
      <c r="H377" s="6" t="b">
        <f>COUNTIFS('OLT DOWN Tickets'!$AB:$AB, "*" &amp; D377 &amp; "*", 'OLT DOWN Tickets'!$L:$L, "OLT UPLINK DOWN") &gt; 0</f>
        <v>0</v>
      </c>
      <c r="I377" s="6" t="b">
        <f>COUNTIFS('OLT DOWN Tickets'!$AB:$AB, "*" &amp; D377 &amp; "*", 'OLT DOWN Tickets'!$L:$L, "OLT SERVICE DEGRADATION") &gt; 0</f>
        <v>0</v>
      </c>
      <c r="J377" s="32" t="str">
        <f>IFERROR(__xludf.DUMMYFUNCTION("IFERROR(INDEX(FILTER('OLT DOWN Tickets'!$F:$F, REGEXMATCH('OLT DOWN Tickets'!$AB:$AB, ""(?i)""&amp;TRIM(D377)), 'OLT DOWN Tickets'!$L:$L=""OLT DOWN""), 1), """")"),"")</f>
        <v/>
      </c>
      <c r="K377" s="32" t="str">
        <f>IFERROR(__xludf.DUMMYFUNCTION("IFERROR(INDEX(FILTER('OLT DOWN Tickets'!$F:$F, REGEXMATCH('OLT DOWN Tickets'!$AB:$AB, ""(?i)""&amp;TRIM(D377)), 'OLT DOWN Tickets'!$L:$L=""OLT UPLINK LOW POWER""), 1), """")"),"")</f>
        <v/>
      </c>
      <c r="L377" s="32" t="str">
        <f>IFERROR(__xludf.DUMMYFUNCTION("IFERROR(INDEX(FILTER('OLT DOWN Tickets'!$F:$F, REGEXMATCH('OLT DOWN Tickets'!$AB:$AB, ""(?i)""&amp;TRIM(D377)), 'OLT DOWN Tickets'!$L:$L=""OLT UPLINK DOWN""), 1), """")"),"")</f>
        <v/>
      </c>
      <c r="M377" s="32" t="str">
        <f>IFERROR(__xludf.DUMMYFUNCTION("IFERROR(INDEX(FILTER('OLT DOWN Tickets'!$F:$F, REGEXMATCH('OLT DOWN Tickets'!$AB:$AB, ""(?i)""&amp;TRIM(D377)), 'OLT DOWN Tickets'!$L:$L=""OLT SERVICE DEGRADATION""), 1), """")
"),"")</f>
        <v/>
      </c>
      <c r="N377" s="6" t="b">
        <v>0</v>
      </c>
      <c r="O377" s="6" t="b">
        <v>0</v>
      </c>
      <c r="P377" s="6" t="b">
        <v>0</v>
      </c>
      <c r="Q377" s="6" t="b">
        <v>0</v>
      </c>
      <c r="R377" s="6"/>
      <c r="S377" s="6"/>
      <c r="T377" s="6"/>
      <c r="U377" s="6"/>
    </row>
    <row r="378">
      <c r="A378" s="19"/>
      <c r="B378" s="26" t="s">
        <v>117</v>
      </c>
      <c r="C378" s="26" t="s">
        <v>660</v>
      </c>
      <c r="D378" s="27" t="s">
        <v>662</v>
      </c>
      <c r="E378" s="6" t="b">
        <f t="shared" si="1"/>
        <v>1</v>
      </c>
      <c r="F378" s="6" t="b">
        <f>COUNTIFS('OLT DOWN Tickets'!$AB:$AB, "*" &amp; D378 &amp; "*", 'OLT DOWN Tickets'!$L:$L, "OLT DOWN") &gt; 0</f>
        <v>0</v>
      </c>
      <c r="G378" s="6" t="b">
        <f>COUNTIFS('OLT DOWN Tickets'!$AB:$AB, "*" &amp; D378 &amp; "*", 'OLT DOWN Tickets'!$L:$L, "OLT UPLINK LOW POWER") &gt; 0</f>
        <v>0</v>
      </c>
      <c r="H378" s="6" t="b">
        <f>COUNTIFS('OLT DOWN Tickets'!$AB:$AB, "*" &amp; D378 &amp; "*", 'OLT DOWN Tickets'!$L:$L, "OLT UPLINK DOWN") &gt; 0</f>
        <v>0</v>
      </c>
      <c r="I378" s="6" t="b">
        <f>COUNTIFS('OLT DOWN Tickets'!$AB:$AB, "*" &amp; D378 &amp; "*", 'OLT DOWN Tickets'!$L:$L, "OLT SERVICE DEGRADATION") &gt; 0</f>
        <v>0</v>
      </c>
      <c r="J378" s="32" t="str">
        <f>IFERROR(__xludf.DUMMYFUNCTION("IFERROR(INDEX(FILTER('OLT DOWN Tickets'!$F:$F, REGEXMATCH('OLT DOWN Tickets'!$AB:$AB, ""(?i)""&amp;TRIM(D378)), 'OLT DOWN Tickets'!$L:$L=""OLT DOWN""), 1), """")"),"")</f>
        <v/>
      </c>
      <c r="K378" s="32" t="str">
        <f>IFERROR(__xludf.DUMMYFUNCTION("IFERROR(INDEX(FILTER('OLT DOWN Tickets'!$F:$F, REGEXMATCH('OLT DOWN Tickets'!$AB:$AB, ""(?i)""&amp;TRIM(D378)), 'OLT DOWN Tickets'!$L:$L=""OLT UPLINK LOW POWER""), 1), """")"),"")</f>
        <v/>
      </c>
      <c r="L378" s="32" t="str">
        <f>IFERROR(__xludf.DUMMYFUNCTION("IFERROR(INDEX(FILTER('OLT DOWN Tickets'!$F:$F, REGEXMATCH('OLT DOWN Tickets'!$AB:$AB, ""(?i)""&amp;TRIM(D378)), 'OLT DOWN Tickets'!$L:$L=""OLT UPLINK DOWN""), 1), """")"),"")</f>
        <v/>
      </c>
      <c r="M378" s="32" t="str">
        <f>IFERROR(__xludf.DUMMYFUNCTION("IFERROR(INDEX(FILTER('OLT DOWN Tickets'!$F:$F, REGEXMATCH('OLT DOWN Tickets'!$AB:$AB, ""(?i)""&amp;TRIM(D378)), 'OLT DOWN Tickets'!$L:$L=""OLT SERVICE DEGRADATION""), 1), """")
"),"")</f>
        <v/>
      </c>
      <c r="N378" s="6" t="b">
        <v>0</v>
      </c>
      <c r="O378" s="6" t="b">
        <v>0</v>
      </c>
      <c r="P378" s="6" t="b">
        <v>0</v>
      </c>
      <c r="Q378" s="6" t="b">
        <v>0</v>
      </c>
      <c r="R378" s="6"/>
      <c r="S378" s="6"/>
      <c r="T378" s="6"/>
      <c r="U378" s="6"/>
    </row>
    <row r="379">
      <c r="A379" s="19"/>
      <c r="B379" s="26" t="s">
        <v>117</v>
      </c>
      <c r="C379" s="26" t="s">
        <v>660</v>
      </c>
      <c r="D379" s="27" t="s">
        <v>663</v>
      </c>
      <c r="E379" s="6" t="b">
        <f t="shared" si="1"/>
        <v>1</v>
      </c>
      <c r="F379" s="6" t="b">
        <f>COUNTIFS('OLT DOWN Tickets'!$AB:$AB, "*" &amp; D379 &amp; "*", 'OLT DOWN Tickets'!$L:$L, "OLT DOWN") &gt; 0</f>
        <v>0</v>
      </c>
      <c r="G379" s="6" t="b">
        <f>COUNTIFS('OLT DOWN Tickets'!$AB:$AB, "*" &amp; D379 &amp; "*", 'OLT DOWN Tickets'!$L:$L, "OLT UPLINK LOW POWER") &gt; 0</f>
        <v>0</v>
      </c>
      <c r="H379" s="6" t="b">
        <f>COUNTIFS('OLT DOWN Tickets'!$AB:$AB, "*" &amp; D379 &amp; "*", 'OLT DOWN Tickets'!$L:$L, "OLT UPLINK DOWN") &gt; 0</f>
        <v>0</v>
      </c>
      <c r="I379" s="6" t="b">
        <f>COUNTIFS('OLT DOWN Tickets'!$AB:$AB, "*" &amp; D379 &amp; "*", 'OLT DOWN Tickets'!$L:$L, "OLT SERVICE DEGRADATION") &gt; 0</f>
        <v>0</v>
      </c>
      <c r="J379" s="32" t="str">
        <f>IFERROR(__xludf.DUMMYFUNCTION("IFERROR(INDEX(FILTER('OLT DOWN Tickets'!$F:$F, REGEXMATCH('OLT DOWN Tickets'!$AB:$AB, ""(?i)""&amp;TRIM(D379)), 'OLT DOWN Tickets'!$L:$L=""OLT DOWN""), 1), """")"),"")</f>
        <v/>
      </c>
      <c r="K379" s="32" t="str">
        <f>IFERROR(__xludf.DUMMYFUNCTION("IFERROR(INDEX(FILTER('OLT DOWN Tickets'!$F:$F, REGEXMATCH('OLT DOWN Tickets'!$AB:$AB, ""(?i)""&amp;TRIM(D379)), 'OLT DOWN Tickets'!$L:$L=""OLT UPLINK LOW POWER""), 1), """")"),"")</f>
        <v/>
      </c>
      <c r="L379" s="32" t="str">
        <f>IFERROR(__xludf.DUMMYFUNCTION("IFERROR(INDEX(FILTER('OLT DOWN Tickets'!$F:$F, REGEXMATCH('OLT DOWN Tickets'!$AB:$AB, ""(?i)""&amp;TRIM(D379)), 'OLT DOWN Tickets'!$L:$L=""OLT UPLINK DOWN""), 1), """")"),"")</f>
        <v/>
      </c>
      <c r="M379" s="32" t="str">
        <f>IFERROR(__xludf.DUMMYFUNCTION("IFERROR(INDEX(FILTER('OLT DOWN Tickets'!$F:$F, REGEXMATCH('OLT DOWN Tickets'!$AB:$AB, ""(?i)""&amp;TRIM(D379)), 'OLT DOWN Tickets'!$L:$L=""OLT SERVICE DEGRADATION""), 1), """")
"),"")</f>
        <v/>
      </c>
      <c r="N379" s="6" t="b">
        <v>0</v>
      </c>
      <c r="O379" s="6" t="b">
        <v>0</v>
      </c>
      <c r="P379" s="6" t="b">
        <v>0</v>
      </c>
      <c r="Q379" s="6" t="b">
        <v>0</v>
      </c>
      <c r="R379" s="6"/>
      <c r="S379" s="6"/>
      <c r="T379" s="6"/>
      <c r="U379" s="6"/>
    </row>
    <row r="380">
      <c r="A380" s="19"/>
      <c r="B380" s="26" t="s">
        <v>664</v>
      </c>
      <c r="C380" s="26" t="s">
        <v>665</v>
      </c>
      <c r="D380" s="27" t="s">
        <v>666</v>
      </c>
      <c r="E380" s="6" t="b">
        <f t="shared" si="1"/>
        <v>1</v>
      </c>
      <c r="F380" s="6" t="b">
        <f>COUNTIFS('OLT DOWN Tickets'!$AB:$AB, "*" &amp; D380 &amp; "*", 'OLT DOWN Tickets'!$L:$L, "OLT DOWN") &gt; 0</f>
        <v>0</v>
      </c>
      <c r="G380" s="6" t="b">
        <f>COUNTIFS('OLT DOWN Tickets'!$AB:$AB, "*" &amp; D380 &amp; "*", 'OLT DOWN Tickets'!$L:$L, "OLT UPLINK LOW POWER") &gt; 0</f>
        <v>0</v>
      </c>
      <c r="H380" s="6" t="b">
        <f>COUNTIFS('OLT DOWN Tickets'!$AB:$AB, "*" &amp; D380 &amp; "*", 'OLT DOWN Tickets'!$L:$L, "OLT UPLINK DOWN") &gt; 0</f>
        <v>0</v>
      </c>
      <c r="I380" s="6" t="b">
        <f>COUNTIFS('OLT DOWN Tickets'!$AB:$AB, "*" &amp; D380 &amp; "*", 'OLT DOWN Tickets'!$L:$L, "OLT SERVICE DEGRADATION") &gt; 0</f>
        <v>0</v>
      </c>
      <c r="J380" s="32" t="str">
        <f>IFERROR(__xludf.DUMMYFUNCTION("IFERROR(INDEX(FILTER('OLT DOWN Tickets'!$F:$F, REGEXMATCH('OLT DOWN Tickets'!$AB:$AB, ""(?i)""&amp;TRIM(D380)), 'OLT DOWN Tickets'!$L:$L=""OLT DOWN""), 1), """")"),"")</f>
        <v/>
      </c>
      <c r="K380" s="32" t="str">
        <f>IFERROR(__xludf.DUMMYFUNCTION("IFERROR(INDEX(FILTER('OLT DOWN Tickets'!$F:$F, REGEXMATCH('OLT DOWN Tickets'!$AB:$AB, ""(?i)""&amp;TRIM(D380)), 'OLT DOWN Tickets'!$L:$L=""OLT UPLINK LOW POWER""), 1), """")"),"")</f>
        <v/>
      </c>
      <c r="L380" s="32" t="str">
        <f>IFERROR(__xludf.DUMMYFUNCTION("IFERROR(INDEX(FILTER('OLT DOWN Tickets'!$F:$F, REGEXMATCH('OLT DOWN Tickets'!$AB:$AB, ""(?i)""&amp;TRIM(D380)), 'OLT DOWN Tickets'!$L:$L=""OLT UPLINK DOWN""), 1), """")"),"")</f>
        <v/>
      </c>
      <c r="M380" s="32" t="str">
        <f>IFERROR(__xludf.DUMMYFUNCTION("IFERROR(INDEX(FILTER('OLT DOWN Tickets'!$F:$F, REGEXMATCH('OLT DOWN Tickets'!$AB:$AB, ""(?i)""&amp;TRIM(D380)), 'OLT DOWN Tickets'!$L:$L=""OLT SERVICE DEGRADATION""), 1), """")
"),"")</f>
        <v/>
      </c>
      <c r="N380" s="6" t="b">
        <v>0</v>
      </c>
      <c r="O380" s="6" t="b">
        <v>0</v>
      </c>
      <c r="P380" s="6" t="b">
        <v>0</v>
      </c>
      <c r="Q380" s="6" t="b">
        <v>0</v>
      </c>
      <c r="R380" s="6"/>
      <c r="S380" s="6"/>
      <c r="T380" s="6"/>
      <c r="U380" s="6"/>
    </row>
    <row r="381">
      <c r="A381" s="19"/>
      <c r="B381" s="26" t="s">
        <v>664</v>
      </c>
      <c r="C381" s="26" t="s">
        <v>667</v>
      </c>
      <c r="D381" s="27" t="s">
        <v>668</v>
      </c>
      <c r="E381" s="6" t="b">
        <f t="shared" si="1"/>
        <v>1</v>
      </c>
      <c r="F381" s="6" t="b">
        <f>COUNTIFS('OLT DOWN Tickets'!$AB:$AB, "*" &amp; D381 &amp; "*", 'OLT DOWN Tickets'!$L:$L, "OLT DOWN") &gt; 0</f>
        <v>0</v>
      </c>
      <c r="G381" s="6" t="b">
        <f>COUNTIFS('OLT DOWN Tickets'!$AB:$AB, "*" &amp; D381 &amp; "*", 'OLT DOWN Tickets'!$L:$L, "OLT UPLINK LOW POWER") &gt; 0</f>
        <v>0</v>
      </c>
      <c r="H381" s="6" t="b">
        <f>COUNTIFS('OLT DOWN Tickets'!$AB:$AB, "*" &amp; D381 &amp; "*", 'OLT DOWN Tickets'!$L:$L, "OLT UPLINK DOWN") &gt; 0</f>
        <v>0</v>
      </c>
      <c r="I381" s="6" t="b">
        <f>COUNTIFS('OLT DOWN Tickets'!$AB:$AB, "*" &amp; D381 &amp; "*", 'OLT DOWN Tickets'!$L:$L, "OLT SERVICE DEGRADATION") &gt; 0</f>
        <v>0</v>
      </c>
      <c r="J381" s="32" t="str">
        <f>IFERROR(__xludf.DUMMYFUNCTION("IFERROR(INDEX(FILTER('OLT DOWN Tickets'!$F:$F, REGEXMATCH('OLT DOWN Tickets'!$AB:$AB, ""(?i)""&amp;TRIM(D381)), 'OLT DOWN Tickets'!$L:$L=""OLT DOWN""), 1), """")"),"")</f>
        <v/>
      </c>
      <c r="K381" s="32" t="str">
        <f>IFERROR(__xludf.DUMMYFUNCTION("IFERROR(INDEX(FILTER('OLT DOWN Tickets'!$F:$F, REGEXMATCH('OLT DOWN Tickets'!$AB:$AB, ""(?i)""&amp;TRIM(D381)), 'OLT DOWN Tickets'!$L:$L=""OLT UPLINK LOW POWER""), 1), """")"),"")</f>
        <v/>
      </c>
      <c r="L381" s="32" t="str">
        <f>IFERROR(__xludf.DUMMYFUNCTION("IFERROR(INDEX(FILTER('OLT DOWN Tickets'!$F:$F, REGEXMATCH('OLT DOWN Tickets'!$AB:$AB, ""(?i)""&amp;TRIM(D381)), 'OLT DOWN Tickets'!$L:$L=""OLT UPLINK DOWN""), 1), """")"),"")</f>
        <v/>
      </c>
      <c r="M381" s="32" t="str">
        <f>IFERROR(__xludf.DUMMYFUNCTION("IFERROR(INDEX(FILTER('OLT DOWN Tickets'!$F:$F, REGEXMATCH('OLT DOWN Tickets'!$AB:$AB, ""(?i)""&amp;TRIM(D381)), 'OLT DOWN Tickets'!$L:$L=""OLT SERVICE DEGRADATION""), 1), """")
"),"")</f>
        <v/>
      </c>
      <c r="N381" s="6" t="b">
        <v>0</v>
      </c>
      <c r="O381" s="6" t="b">
        <v>0</v>
      </c>
      <c r="P381" s="6" t="b">
        <v>0</v>
      </c>
      <c r="Q381" s="6" t="b">
        <v>0</v>
      </c>
      <c r="R381" s="6"/>
      <c r="S381" s="6"/>
      <c r="T381" s="6"/>
      <c r="U381" s="6"/>
    </row>
    <row r="382">
      <c r="A382" s="19"/>
      <c r="B382" s="26" t="s">
        <v>664</v>
      </c>
      <c r="C382" s="26" t="s">
        <v>667</v>
      </c>
      <c r="D382" s="27" t="s">
        <v>669</v>
      </c>
      <c r="E382" s="6" t="b">
        <f t="shared" si="1"/>
        <v>1</v>
      </c>
      <c r="F382" s="6" t="b">
        <f>COUNTIFS('OLT DOWN Tickets'!$AB:$AB, "*" &amp; D382 &amp; "*", 'OLT DOWN Tickets'!$L:$L, "OLT DOWN") &gt; 0</f>
        <v>0</v>
      </c>
      <c r="G382" s="6" t="b">
        <f>COUNTIFS('OLT DOWN Tickets'!$AB:$AB, "*" &amp; D382 &amp; "*", 'OLT DOWN Tickets'!$L:$L, "OLT UPLINK LOW POWER") &gt; 0</f>
        <v>0</v>
      </c>
      <c r="H382" s="6" t="b">
        <f>COUNTIFS('OLT DOWN Tickets'!$AB:$AB, "*" &amp; D382 &amp; "*", 'OLT DOWN Tickets'!$L:$L, "OLT UPLINK DOWN") &gt; 0</f>
        <v>0</v>
      </c>
      <c r="I382" s="6" t="b">
        <f>COUNTIFS('OLT DOWN Tickets'!$AB:$AB, "*" &amp; D382 &amp; "*", 'OLT DOWN Tickets'!$L:$L, "OLT SERVICE DEGRADATION") &gt; 0</f>
        <v>0</v>
      </c>
      <c r="J382" s="32" t="str">
        <f>IFERROR(__xludf.DUMMYFUNCTION("IFERROR(INDEX(FILTER('OLT DOWN Tickets'!$F:$F, REGEXMATCH('OLT DOWN Tickets'!$AB:$AB, ""(?i)""&amp;TRIM(D382)), 'OLT DOWN Tickets'!$L:$L=""OLT DOWN""), 1), """")"),"")</f>
        <v/>
      </c>
      <c r="K382" s="32" t="str">
        <f>IFERROR(__xludf.DUMMYFUNCTION("IFERROR(INDEX(FILTER('OLT DOWN Tickets'!$F:$F, REGEXMATCH('OLT DOWN Tickets'!$AB:$AB, ""(?i)""&amp;TRIM(D382)), 'OLT DOWN Tickets'!$L:$L=""OLT UPLINK LOW POWER""), 1), """")"),"")</f>
        <v/>
      </c>
      <c r="L382" s="32" t="str">
        <f>IFERROR(__xludf.DUMMYFUNCTION("IFERROR(INDEX(FILTER('OLT DOWN Tickets'!$F:$F, REGEXMATCH('OLT DOWN Tickets'!$AB:$AB, ""(?i)""&amp;TRIM(D382)), 'OLT DOWN Tickets'!$L:$L=""OLT UPLINK DOWN""), 1), """")"),"")</f>
        <v/>
      </c>
      <c r="M382" s="32" t="str">
        <f>IFERROR(__xludf.DUMMYFUNCTION("IFERROR(INDEX(FILTER('OLT DOWN Tickets'!$F:$F, REGEXMATCH('OLT DOWN Tickets'!$AB:$AB, ""(?i)""&amp;TRIM(D382)), 'OLT DOWN Tickets'!$L:$L=""OLT SERVICE DEGRADATION""), 1), """")
"),"")</f>
        <v/>
      </c>
      <c r="N382" s="6" t="b">
        <v>0</v>
      </c>
      <c r="O382" s="6" t="b">
        <v>0</v>
      </c>
      <c r="P382" s="6" t="b">
        <v>0</v>
      </c>
      <c r="Q382" s="6" t="b">
        <v>0</v>
      </c>
      <c r="R382" s="6"/>
      <c r="S382" s="6"/>
      <c r="T382" s="6"/>
      <c r="U382" s="6"/>
    </row>
    <row r="383">
      <c r="A383" s="19"/>
      <c r="B383" s="26" t="s">
        <v>664</v>
      </c>
      <c r="C383" s="26" t="s">
        <v>670</v>
      </c>
      <c r="D383" s="27" t="s">
        <v>671</v>
      </c>
      <c r="E383" s="6" t="b">
        <f t="shared" si="1"/>
        <v>1</v>
      </c>
      <c r="F383" s="6" t="b">
        <f>COUNTIFS('OLT DOWN Tickets'!$AB:$AB, "*" &amp; D383 &amp; "*", 'OLT DOWN Tickets'!$L:$L, "OLT DOWN") &gt; 0</f>
        <v>0</v>
      </c>
      <c r="G383" s="6" t="b">
        <f>COUNTIFS('OLT DOWN Tickets'!$AB:$AB, "*" &amp; D383 &amp; "*", 'OLT DOWN Tickets'!$L:$L, "OLT UPLINK LOW POWER") &gt; 0</f>
        <v>0</v>
      </c>
      <c r="H383" s="6" t="b">
        <f>COUNTIFS('OLT DOWN Tickets'!$AB:$AB, "*" &amp; D383 &amp; "*", 'OLT DOWN Tickets'!$L:$L, "OLT UPLINK DOWN") &gt; 0</f>
        <v>0</v>
      </c>
      <c r="I383" s="6" t="b">
        <f>COUNTIFS('OLT DOWN Tickets'!$AB:$AB, "*" &amp; D383 &amp; "*", 'OLT DOWN Tickets'!$L:$L, "OLT SERVICE DEGRADATION") &gt; 0</f>
        <v>0</v>
      </c>
      <c r="J383" s="32" t="str">
        <f>IFERROR(__xludf.DUMMYFUNCTION("IFERROR(INDEX(FILTER('OLT DOWN Tickets'!$F:$F, REGEXMATCH('OLT DOWN Tickets'!$AB:$AB, ""(?i)""&amp;TRIM(D383)), 'OLT DOWN Tickets'!$L:$L=""OLT DOWN""), 1), """")"),"")</f>
        <v/>
      </c>
      <c r="K383" s="32" t="str">
        <f>IFERROR(__xludf.DUMMYFUNCTION("IFERROR(INDEX(FILTER('OLT DOWN Tickets'!$F:$F, REGEXMATCH('OLT DOWN Tickets'!$AB:$AB, ""(?i)""&amp;TRIM(D383)), 'OLT DOWN Tickets'!$L:$L=""OLT UPLINK LOW POWER""), 1), """")"),"")</f>
        <v/>
      </c>
      <c r="L383" s="32" t="str">
        <f>IFERROR(__xludf.DUMMYFUNCTION("IFERROR(INDEX(FILTER('OLT DOWN Tickets'!$F:$F, REGEXMATCH('OLT DOWN Tickets'!$AB:$AB, ""(?i)""&amp;TRIM(D383)), 'OLT DOWN Tickets'!$L:$L=""OLT UPLINK DOWN""), 1), """")"),"")</f>
        <v/>
      </c>
      <c r="M383" s="32" t="str">
        <f>IFERROR(__xludf.DUMMYFUNCTION("IFERROR(INDEX(FILTER('OLT DOWN Tickets'!$F:$F, REGEXMATCH('OLT DOWN Tickets'!$AB:$AB, ""(?i)""&amp;TRIM(D383)), 'OLT DOWN Tickets'!$L:$L=""OLT SERVICE DEGRADATION""), 1), """")
"),"")</f>
        <v/>
      </c>
      <c r="N383" s="6" t="b">
        <v>0</v>
      </c>
      <c r="O383" s="6" t="b">
        <v>0</v>
      </c>
      <c r="P383" s="6" t="b">
        <v>0</v>
      </c>
      <c r="Q383" s="6" t="b">
        <v>0</v>
      </c>
      <c r="R383" s="6"/>
      <c r="S383" s="6"/>
      <c r="T383" s="6"/>
      <c r="U383" s="6"/>
    </row>
    <row r="384">
      <c r="A384" s="19"/>
      <c r="B384" s="26" t="s">
        <v>664</v>
      </c>
      <c r="C384" s="26" t="s">
        <v>670</v>
      </c>
      <c r="D384" s="27" t="s">
        <v>672</v>
      </c>
      <c r="E384" s="6" t="b">
        <f t="shared" si="1"/>
        <v>1</v>
      </c>
      <c r="F384" s="6" t="b">
        <f>COUNTIFS('OLT DOWN Tickets'!$AB:$AB, "*" &amp; D384 &amp; "*", 'OLT DOWN Tickets'!$L:$L, "OLT DOWN") &gt; 0</f>
        <v>0</v>
      </c>
      <c r="G384" s="6" t="b">
        <f>COUNTIFS('OLT DOWN Tickets'!$AB:$AB, "*" &amp; D384 &amp; "*", 'OLT DOWN Tickets'!$L:$L, "OLT UPLINK LOW POWER") &gt; 0</f>
        <v>0</v>
      </c>
      <c r="H384" s="6" t="b">
        <f>COUNTIFS('OLT DOWN Tickets'!$AB:$AB, "*" &amp; D384 &amp; "*", 'OLT DOWN Tickets'!$L:$L, "OLT UPLINK DOWN") &gt; 0</f>
        <v>0</v>
      </c>
      <c r="I384" s="6" t="b">
        <f>COUNTIFS('OLT DOWN Tickets'!$AB:$AB, "*" &amp; D384 &amp; "*", 'OLT DOWN Tickets'!$L:$L, "OLT SERVICE DEGRADATION") &gt; 0</f>
        <v>0</v>
      </c>
      <c r="J384" s="32" t="str">
        <f>IFERROR(__xludf.DUMMYFUNCTION("IFERROR(INDEX(FILTER('OLT DOWN Tickets'!$F:$F, REGEXMATCH('OLT DOWN Tickets'!$AB:$AB, ""(?i)""&amp;TRIM(D384)), 'OLT DOWN Tickets'!$L:$L=""OLT DOWN""), 1), """")"),"")</f>
        <v/>
      </c>
      <c r="K384" s="32" t="str">
        <f>IFERROR(__xludf.DUMMYFUNCTION("IFERROR(INDEX(FILTER('OLT DOWN Tickets'!$F:$F, REGEXMATCH('OLT DOWN Tickets'!$AB:$AB, ""(?i)""&amp;TRIM(D384)), 'OLT DOWN Tickets'!$L:$L=""OLT UPLINK LOW POWER""), 1), """")"),"")</f>
        <v/>
      </c>
      <c r="L384" s="32" t="str">
        <f>IFERROR(__xludf.DUMMYFUNCTION("IFERROR(INDEX(FILTER('OLT DOWN Tickets'!$F:$F, REGEXMATCH('OLT DOWN Tickets'!$AB:$AB, ""(?i)""&amp;TRIM(D384)), 'OLT DOWN Tickets'!$L:$L=""OLT UPLINK DOWN""), 1), """")"),"")</f>
        <v/>
      </c>
      <c r="M384" s="32" t="str">
        <f>IFERROR(__xludf.DUMMYFUNCTION("IFERROR(INDEX(FILTER('OLT DOWN Tickets'!$F:$F, REGEXMATCH('OLT DOWN Tickets'!$AB:$AB, ""(?i)""&amp;TRIM(D384)), 'OLT DOWN Tickets'!$L:$L=""OLT SERVICE DEGRADATION""), 1), """")
"),"")</f>
        <v/>
      </c>
      <c r="N384" s="6" t="b">
        <v>0</v>
      </c>
      <c r="O384" s="6" t="b">
        <v>0</v>
      </c>
      <c r="P384" s="6" t="b">
        <v>0</v>
      </c>
      <c r="Q384" s="6" t="b">
        <v>0</v>
      </c>
      <c r="R384" s="6"/>
      <c r="S384" s="6"/>
      <c r="T384" s="6"/>
      <c r="U384" s="6"/>
    </row>
    <row r="385">
      <c r="A385" s="19"/>
      <c r="B385" s="26" t="s">
        <v>664</v>
      </c>
      <c r="C385" s="26" t="s">
        <v>673</v>
      </c>
      <c r="D385" s="27" t="s">
        <v>674</v>
      </c>
      <c r="E385" s="6" t="b">
        <f t="shared" si="1"/>
        <v>1</v>
      </c>
      <c r="F385" s="6" t="b">
        <f>COUNTIFS('OLT DOWN Tickets'!$AB:$AB, "*" &amp; D385 &amp; "*", 'OLT DOWN Tickets'!$L:$L, "OLT DOWN") &gt; 0</f>
        <v>0</v>
      </c>
      <c r="G385" s="6" t="b">
        <f>COUNTIFS('OLT DOWN Tickets'!$AB:$AB, "*" &amp; D385 &amp; "*", 'OLT DOWN Tickets'!$L:$L, "OLT UPLINK LOW POWER") &gt; 0</f>
        <v>0</v>
      </c>
      <c r="H385" s="6" t="b">
        <f>COUNTIFS('OLT DOWN Tickets'!$AB:$AB, "*" &amp; D385 &amp; "*", 'OLT DOWN Tickets'!$L:$L, "OLT UPLINK DOWN") &gt; 0</f>
        <v>0</v>
      </c>
      <c r="I385" s="6" t="b">
        <f>COUNTIFS('OLT DOWN Tickets'!$AB:$AB, "*" &amp; D385 &amp; "*", 'OLT DOWN Tickets'!$L:$L, "OLT SERVICE DEGRADATION") &gt; 0</f>
        <v>0</v>
      </c>
      <c r="J385" s="32" t="str">
        <f>IFERROR(__xludf.DUMMYFUNCTION("IFERROR(INDEX(FILTER('OLT DOWN Tickets'!$F:$F, REGEXMATCH('OLT DOWN Tickets'!$AB:$AB, ""(?i)""&amp;TRIM(D385)), 'OLT DOWN Tickets'!$L:$L=""OLT DOWN""), 1), """")"),"")</f>
        <v/>
      </c>
      <c r="K385" s="32" t="str">
        <f>IFERROR(__xludf.DUMMYFUNCTION("IFERROR(INDEX(FILTER('OLT DOWN Tickets'!$F:$F, REGEXMATCH('OLT DOWN Tickets'!$AB:$AB, ""(?i)""&amp;TRIM(D385)), 'OLT DOWN Tickets'!$L:$L=""OLT UPLINK LOW POWER""), 1), """")"),"")</f>
        <v/>
      </c>
      <c r="L385" s="32" t="str">
        <f>IFERROR(__xludf.DUMMYFUNCTION("IFERROR(INDEX(FILTER('OLT DOWN Tickets'!$F:$F, REGEXMATCH('OLT DOWN Tickets'!$AB:$AB, ""(?i)""&amp;TRIM(D385)), 'OLT DOWN Tickets'!$L:$L=""OLT UPLINK DOWN""), 1), """")"),"")</f>
        <v/>
      </c>
      <c r="M385" s="32" t="str">
        <f>IFERROR(__xludf.DUMMYFUNCTION("IFERROR(INDEX(FILTER('OLT DOWN Tickets'!$F:$F, REGEXMATCH('OLT DOWN Tickets'!$AB:$AB, ""(?i)""&amp;TRIM(D385)), 'OLT DOWN Tickets'!$L:$L=""OLT SERVICE DEGRADATION""), 1), """")
"),"")</f>
        <v/>
      </c>
      <c r="N385" s="6" t="b">
        <v>0</v>
      </c>
      <c r="O385" s="6" t="b">
        <v>0</v>
      </c>
      <c r="P385" s="6" t="b">
        <v>0</v>
      </c>
      <c r="Q385" s="6" t="b">
        <v>0</v>
      </c>
      <c r="R385" s="6"/>
      <c r="S385" s="6"/>
      <c r="T385" s="6"/>
      <c r="U385" s="6"/>
    </row>
    <row r="386">
      <c r="A386" s="19"/>
      <c r="B386" s="26" t="s">
        <v>664</v>
      </c>
      <c r="C386" s="26" t="s">
        <v>673</v>
      </c>
      <c r="D386" s="27" t="s">
        <v>675</v>
      </c>
      <c r="E386" s="6" t="b">
        <f t="shared" si="1"/>
        <v>1</v>
      </c>
      <c r="F386" s="6" t="b">
        <f>COUNTIFS('OLT DOWN Tickets'!$AB:$AB, "*" &amp; D386 &amp; "*", 'OLT DOWN Tickets'!$L:$L, "OLT DOWN") &gt; 0</f>
        <v>0</v>
      </c>
      <c r="G386" s="6" t="b">
        <f>COUNTIFS('OLT DOWN Tickets'!$AB:$AB, "*" &amp; D386 &amp; "*", 'OLT DOWN Tickets'!$L:$L, "OLT UPLINK LOW POWER") &gt; 0</f>
        <v>0</v>
      </c>
      <c r="H386" s="6" t="b">
        <f>COUNTIFS('OLT DOWN Tickets'!$AB:$AB, "*" &amp; D386 &amp; "*", 'OLT DOWN Tickets'!$L:$L, "OLT UPLINK DOWN") &gt; 0</f>
        <v>0</v>
      </c>
      <c r="I386" s="6" t="b">
        <f>COUNTIFS('OLT DOWN Tickets'!$AB:$AB, "*" &amp; D386 &amp; "*", 'OLT DOWN Tickets'!$L:$L, "OLT SERVICE DEGRADATION") &gt; 0</f>
        <v>0</v>
      </c>
      <c r="J386" s="32" t="str">
        <f>IFERROR(__xludf.DUMMYFUNCTION("IFERROR(INDEX(FILTER('OLT DOWN Tickets'!$F:$F, REGEXMATCH('OLT DOWN Tickets'!$AB:$AB, ""(?i)""&amp;TRIM(D386)), 'OLT DOWN Tickets'!$L:$L=""OLT DOWN""), 1), """")"),"")</f>
        <v/>
      </c>
      <c r="K386" s="32" t="str">
        <f>IFERROR(__xludf.DUMMYFUNCTION("IFERROR(INDEX(FILTER('OLT DOWN Tickets'!$F:$F, REGEXMATCH('OLT DOWN Tickets'!$AB:$AB, ""(?i)""&amp;TRIM(D386)), 'OLT DOWN Tickets'!$L:$L=""OLT UPLINK LOW POWER""), 1), """")"),"")</f>
        <v/>
      </c>
      <c r="L386" s="32" t="str">
        <f>IFERROR(__xludf.DUMMYFUNCTION("IFERROR(INDEX(FILTER('OLT DOWN Tickets'!$F:$F, REGEXMATCH('OLT DOWN Tickets'!$AB:$AB, ""(?i)""&amp;TRIM(D386)), 'OLT DOWN Tickets'!$L:$L=""OLT UPLINK DOWN""), 1), """")"),"")</f>
        <v/>
      </c>
      <c r="M386" s="32" t="str">
        <f>IFERROR(__xludf.DUMMYFUNCTION("IFERROR(INDEX(FILTER('OLT DOWN Tickets'!$F:$F, REGEXMATCH('OLT DOWN Tickets'!$AB:$AB, ""(?i)""&amp;TRIM(D386)), 'OLT DOWN Tickets'!$L:$L=""OLT SERVICE DEGRADATION""), 1), """")
"),"")</f>
        <v/>
      </c>
      <c r="N386" s="6" t="b">
        <v>0</v>
      </c>
      <c r="O386" s="6" t="b">
        <v>0</v>
      </c>
      <c r="P386" s="6" t="b">
        <v>0</v>
      </c>
      <c r="Q386" s="6" t="b">
        <v>0</v>
      </c>
      <c r="R386" s="6"/>
      <c r="S386" s="6"/>
      <c r="T386" s="6"/>
      <c r="U386" s="6"/>
    </row>
    <row r="387">
      <c r="A387" s="19"/>
      <c r="B387" s="26" t="s">
        <v>664</v>
      </c>
      <c r="C387" s="26" t="s">
        <v>676</v>
      </c>
      <c r="D387" s="27" t="s">
        <v>677</v>
      </c>
      <c r="E387" s="6" t="b">
        <f t="shared" si="1"/>
        <v>1</v>
      </c>
      <c r="F387" s="6" t="b">
        <f>COUNTIFS('OLT DOWN Tickets'!$AB:$AB, "*" &amp; D387 &amp; "*", 'OLT DOWN Tickets'!$L:$L, "OLT DOWN") &gt; 0</f>
        <v>0</v>
      </c>
      <c r="G387" s="6" t="b">
        <f>COUNTIFS('OLT DOWN Tickets'!$AB:$AB, "*" &amp; D387 &amp; "*", 'OLT DOWN Tickets'!$L:$L, "OLT UPLINK LOW POWER") &gt; 0</f>
        <v>0</v>
      </c>
      <c r="H387" s="6" t="b">
        <f>COUNTIFS('OLT DOWN Tickets'!$AB:$AB, "*" &amp; D387 &amp; "*", 'OLT DOWN Tickets'!$L:$L, "OLT UPLINK DOWN") &gt; 0</f>
        <v>0</v>
      </c>
      <c r="I387" s="6" t="b">
        <f>COUNTIFS('OLT DOWN Tickets'!$AB:$AB, "*" &amp; D387 &amp; "*", 'OLT DOWN Tickets'!$L:$L, "OLT SERVICE DEGRADATION") &gt; 0</f>
        <v>0</v>
      </c>
      <c r="J387" s="32" t="str">
        <f>IFERROR(__xludf.DUMMYFUNCTION("IFERROR(INDEX(FILTER('OLT DOWN Tickets'!$F:$F, REGEXMATCH('OLT DOWN Tickets'!$AB:$AB, ""(?i)""&amp;TRIM(D387)), 'OLT DOWN Tickets'!$L:$L=""OLT DOWN""), 1), """")"),"")</f>
        <v/>
      </c>
      <c r="K387" s="32" t="str">
        <f>IFERROR(__xludf.DUMMYFUNCTION("IFERROR(INDEX(FILTER('OLT DOWN Tickets'!$F:$F, REGEXMATCH('OLT DOWN Tickets'!$AB:$AB, ""(?i)""&amp;TRIM(D387)), 'OLT DOWN Tickets'!$L:$L=""OLT UPLINK LOW POWER""), 1), """")"),"")</f>
        <v/>
      </c>
      <c r="L387" s="32" t="str">
        <f>IFERROR(__xludf.DUMMYFUNCTION("IFERROR(INDEX(FILTER('OLT DOWN Tickets'!$F:$F, REGEXMATCH('OLT DOWN Tickets'!$AB:$AB, ""(?i)""&amp;TRIM(D387)), 'OLT DOWN Tickets'!$L:$L=""OLT UPLINK DOWN""), 1), """")"),"")</f>
        <v/>
      </c>
      <c r="M387" s="32" t="str">
        <f>IFERROR(__xludf.DUMMYFUNCTION("IFERROR(INDEX(FILTER('OLT DOWN Tickets'!$F:$F, REGEXMATCH('OLT DOWN Tickets'!$AB:$AB, ""(?i)""&amp;TRIM(D387)), 'OLT DOWN Tickets'!$L:$L=""OLT SERVICE DEGRADATION""), 1), """")
"),"")</f>
        <v/>
      </c>
      <c r="N387" s="6" t="b">
        <v>0</v>
      </c>
      <c r="O387" s="6" t="b">
        <v>0</v>
      </c>
      <c r="P387" s="6" t="b">
        <v>0</v>
      </c>
      <c r="Q387" s="6" t="b">
        <v>0</v>
      </c>
      <c r="R387" s="6"/>
      <c r="S387" s="6"/>
      <c r="T387" s="6"/>
      <c r="U387" s="6"/>
    </row>
    <row r="388">
      <c r="A388" s="19"/>
      <c r="B388" s="26" t="s">
        <v>664</v>
      </c>
      <c r="C388" s="26" t="s">
        <v>676</v>
      </c>
      <c r="D388" s="27" t="s">
        <v>678</v>
      </c>
      <c r="E388" s="6" t="b">
        <f t="shared" si="1"/>
        <v>1</v>
      </c>
      <c r="F388" s="6" t="b">
        <f>COUNTIFS('OLT DOWN Tickets'!$AB:$AB, "*" &amp; D388 &amp; "*", 'OLT DOWN Tickets'!$L:$L, "OLT DOWN") &gt; 0</f>
        <v>0</v>
      </c>
      <c r="G388" s="6" t="b">
        <f>COUNTIFS('OLT DOWN Tickets'!$AB:$AB, "*" &amp; D388 &amp; "*", 'OLT DOWN Tickets'!$L:$L, "OLT UPLINK LOW POWER") &gt; 0</f>
        <v>0</v>
      </c>
      <c r="H388" s="6" t="b">
        <f>COUNTIFS('OLT DOWN Tickets'!$AB:$AB, "*" &amp; D388 &amp; "*", 'OLT DOWN Tickets'!$L:$L, "OLT UPLINK DOWN") &gt; 0</f>
        <v>0</v>
      </c>
      <c r="I388" s="6" t="b">
        <f>COUNTIFS('OLT DOWN Tickets'!$AB:$AB, "*" &amp; D388 &amp; "*", 'OLT DOWN Tickets'!$L:$L, "OLT SERVICE DEGRADATION") &gt; 0</f>
        <v>0</v>
      </c>
      <c r="J388" s="32" t="str">
        <f>IFERROR(__xludf.DUMMYFUNCTION("IFERROR(INDEX(FILTER('OLT DOWN Tickets'!$F:$F, REGEXMATCH('OLT DOWN Tickets'!$AB:$AB, ""(?i)""&amp;TRIM(D388)), 'OLT DOWN Tickets'!$L:$L=""OLT DOWN""), 1), """")"),"")</f>
        <v/>
      </c>
      <c r="K388" s="32" t="str">
        <f>IFERROR(__xludf.DUMMYFUNCTION("IFERROR(INDEX(FILTER('OLT DOWN Tickets'!$F:$F, REGEXMATCH('OLT DOWN Tickets'!$AB:$AB, ""(?i)""&amp;TRIM(D388)), 'OLT DOWN Tickets'!$L:$L=""OLT UPLINK LOW POWER""), 1), """")"),"")</f>
        <v/>
      </c>
      <c r="L388" s="32" t="str">
        <f>IFERROR(__xludf.DUMMYFUNCTION("IFERROR(INDEX(FILTER('OLT DOWN Tickets'!$F:$F, REGEXMATCH('OLT DOWN Tickets'!$AB:$AB, ""(?i)""&amp;TRIM(D388)), 'OLT DOWN Tickets'!$L:$L=""OLT UPLINK DOWN""), 1), """")"),"")</f>
        <v/>
      </c>
      <c r="M388" s="32" t="str">
        <f>IFERROR(__xludf.DUMMYFUNCTION("IFERROR(INDEX(FILTER('OLT DOWN Tickets'!$F:$F, REGEXMATCH('OLT DOWN Tickets'!$AB:$AB, ""(?i)""&amp;TRIM(D388)), 'OLT DOWN Tickets'!$L:$L=""OLT SERVICE DEGRADATION""), 1), """")
"),"")</f>
        <v/>
      </c>
      <c r="N388" s="6" t="b">
        <v>0</v>
      </c>
      <c r="O388" s="6" t="b">
        <v>0</v>
      </c>
      <c r="P388" s="6" t="b">
        <v>0</v>
      </c>
      <c r="Q388" s="6" t="b">
        <v>0</v>
      </c>
      <c r="R388" s="6"/>
      <c r="S388" s="6"/>
      <c r="T388" s="6"/>
      <c r="U388" s="6"/>
    </row>
    <row r="389">
      <c r="A389" s="19"/>
      <c r="B389" s="26" t="s">
        <v>664</v>
      </c>
      <c r="C389" s="26" t="s">
        <v>679</v>
      </c>
      <c r="D389" s="27" t="s">
        <v>680</v>
      </c>
      <c r="E389" s="6" t="b">
        <f t="shared" si="1"/>
        <v>1</v>
      </c>
      <c r="F389" s="6" t="b">
        <f>COUNTIFS('OLT DOWN Tickets'!$AB:$AB, "*" &amp; D389 &amp; "*", 'OLT DOWN Tickets'!$L:$L, "OLT DOWN") &gt; 0</f>
        <v>0</v>
      </c>
      <c r="G389" s="6" t="b">
        <f>COUNTIFS('OLT DOWN Tickets'!$AB:$AB, "*" &amp; D389 &amp; "*", 'OLT DOWN Tickets'!$L:$L, "OLT UPLINK LOW POWER") &gt; 0</f>
        <v>0</v>
      </c>
      <c r="H389" s="6" t="b">
        <f>COUNTIFS('OLT DOWN Tickets'!$AB:$AB, "*" &amp; D389 &amp; "*", 'OLT DOWN Tickets'!$L:$L, "OLT UPLINK DOWN") &gt; 0</f>
        <v>0</v>
      </c>
      <c r="I389" s="6" t="b">
        <f>COUNTIFS('OLT DOWN Tickets'!$AB:$AB, "*" &amp; D389 &amp; "*", 'OLT DOWN Tickets'!$L:$L, "OLT SERVICE DEGRADATION") &gt; 0</f>
        <v>0</v>
      </c>
      <c r="J389" s="32" t="str">
        <f>IFERROR(__xludf.DUMMYFUNCTION("IFERROR(INDEX(FILTER('OLT DOWN Tickets'!$F:$F, REGEXMATCH('OLT DOWN Tickets'!$AB:$AB, ""(?i)""&amp;TRIM(D389)), 'OLT DOWN Tickets'!$L:$L=""OLT DOWN""), 1), """")"),"")</f>
        <v/>
      </c>
      <c r="K389" s="32" t="str">
        <f>IFERROR(__xludf.DUMMYFUNCTION("IFERROR(INDEX(FILTER('OLT DOWN Tickets'!$F:$F, REGEXMATCH('OLT DOWN Tickets'!$AB:$AB, ""(?i)""&amp;TRIM(D389)), 'OLT DOWN Tickets'!$L:$L=""OLT UPLINK LOW POWER""), 1), """")"),"")</f>
        <v/>
      </c>
      <c r="L389" s="32" t="str">
        <f>IFERROR(__xludf.DUMMYFUNCTION("IFERROR(INDEX(FILTER('OLT DOWN Tickets'!$F:$F, REGEXMATCH('OLT DOWN Tickets'!$AB:$AB, ""(?i)""&amp;TRIM(D389)), 'OLT DOWN Tickets'!$L:$L=""OLT UPLINK DOWN""), 1), """")"),"")</f>
        <v/>
      </c>
      <c r="M389" s="32" t="str">
        <f>IFERROR(__xludf.DUMMYFUNCTION("IFERROR(INDEX(FILTER('OLT DOWN Tickets'!$F:$F, REGEXMATCH('OLT DOWN Tickets'!$AB:$AB, ""(?i)""&amp;TRIM(D389)), 'OLT DOWN Tickets'!$L:$L=""OLT SERVICE DEGRADATION""), 1), """")
"),"")</f>
        <v/>
      </c>
      <c r="N389" s="6" t="b">
        <v>0</v>
      </c>
      <c r="O389" s="6" t="b">
        <v>0</v>
      </c>
      <c r="P389" s="6" t="b">
        <v>0</v>
      </c>
      <c r="Q389" s="6" t="b">
        <v>0</v>
      </c>
      <c r="R389" s="6"/>
      <c r="S389" s="6"/>
      <c r="T389" s="6"/>
      <c r="U389" s="6"/>
    </row>
    <row r="390">
      <c r="A390" s="19"/>
      <c r="B390" s="26" t="s">
        <v>664</v>
      </c>
      <c r="C390" s="26" t="s">
        <v>679</v>
      </c>
      <c r="D390" s="27" t="s">
        <v>681</v>
      </c>
      <c r="E390" s="6" t="b">
        <f t="shared" si="1"/>
        <v>1</v>
      </c>
      <c r="F390" s="6" t="b">
        <f>COUNTIFS('OLT DOWN Tickets'!$AB:$AB, "*" &amp; D390 &amp; "*", 'OLT DOWN Tickets'!$L:$L, "OLT DOWN") &gt; 0</f>
        <v>0</v>
      </c>
      <c r="G390" s="6" t="b">
        <f>COUNTIFS('OLT DOWN Tickets'!$AB:$AB, "*" &amp; D390 &amp; "*", 'OLT DOWN Tickets'!$L:$L, "OLT UPLINK LOW POWER") &gt; 0</f>
        <v>0</v>
      </c>
      <c r="H390" s="6" t="b">
        <f>COUNTIFS('OLT DOWN Tickets'!$AB:$AB, "*" &amp; D390 &amp; "*", 'OLT DOWN Tickets'!$L:$L, "OLT UPLINK DOWN") &gt; 0</f>
        <v>0</v>
      </c>
      <c r="I390" s="6" t="b">
        <f>COUNTIFS('OLT DOWN Tickets'!$AB:$AB, "*" &amp; D390 &amp; "*", 'OLT DOWN Tickets'!$L:$L, "OLT SERVICE DEGRADATION") &gt; 0</f>
        <v>0</v>
      </c>
      <c r="J390" s="32" t="str">
        <f>IFERROR(__xludf.DUMMYFUNCTION("IFERROR(INDEX(FILTER('OLT DOWN Tickets'!$F:$F, REGEXMATCH('OLT DOWN Tickets'!$AB:$AB, ""(?i)""&amp;TRIM(D390)), 'OLT DOWN Tickets'!$L:$L=""OLT DOWN""), 1), """")"),"")</f>
        <v/>
      </c>
      <c r="K390" s="32" t="str">
        <f>IFERROR(__xludf.DUMMYFUNCTION("IFERROR(INDEX(FILTER('OLT DOWN Tickets'!$F:$F, REGEXMATCH('OLT DOWN Tickets'!$AB:$AB, ""(?i)""&amp;TRIM(D390)), 'OLT DOWN Tickets'!$L:$L=""OLT UPLINK LOW POWER""), 1), """")"),"")</f>
        <v/>
      </c>
      <c r="L390" s="32" t="str">
        <f>IFERROR(__xludf.DUMMYFUNCTION("IFERROR(INDEX(FILTER('OLT DOWN Tickets'!$F:$F, REGEXMATCH('OLT DOWN Tickets'!$AB:$AB, ""(?i)""&amp;TRIM(D390)), 'OLT DOWN Tickets'!$L:$L=""OLT UPLINK DOWN""), 1), """")"),"")</f>
        <v/>
      </c>
      <c r="M390" s="32" t="str">
        <f>IFERROR(__xludf.DUMMYFUNCTION("IFERROR(INDEX(FILTER('OLT DOWN Tickets'!$F:$F, REGEXMATCH('OLT DOWN Tickets'!$AB:$AB, ""(?i)""&amp;TRIM(D390)), 'OLT DOWN Tickets'!$L:$L=""OLT SERVICE DEGRADATION""), 1), """")
"),"")</f>
        <v/>
      </c>
      <c r="N390" s="6" t="b">
        <v>0</v>
      </c>
      <c r="O390" s="6" t="b">
        <v>0</v>
      </c>
      <c r="P390" s="6" t="b">
        <v>0</v>
      </c>
      <c r="Q390" s="6" t="b">
        <v>0</v>
      </c>
      <c r="R390" s="6"/>
      <c r="S390" s="6"/>
      <c r="T390" s="6"/>
      <c r="U390" s="6"/>
    </row>
    <row r="391">
      <c r="A391" s="19"/>
      <c r="B391" s="26" t="s">
        <v>664</v>
      </c>
      <c r="C391" s="26" t="s">
        <v>682</v>
      </c>
      <c r="D391" s="27" t="s">
        <v>683</v>
      </c>
      <c r="E391" s="6" t="b">
        <f t="shared" si="1"/>
        <v>1</v>
      </c>
      <c r="F391" s="6" t="b">
        <f>COUNTIFS('OLT DOWN Tickets'!$AB:$AB, "*" &amp; D391 &amp; "*", 'OLT DOWN Tickets'!$L:$L, "OLT DOWN") &gt; 0</f>
        <v>0</v>
      </c>
      <c r="G391" s="6" t="b">
        <f>COUNTIFS('OLT DOWN Tickets'!$AB:$AB, "*" &amp; D391 &amp; "*", 'OLT DOWN Tickets'!$L:$L, "OLT UPLINK LOW POWER") &gt; 0</f>
        <v>0</v>
      </c>
      <c r="H391" s="6" t="b">
        <f>COUNTIFS('OLT DOWN Tickets'!$AB:$AB, "*" &amp; D391 &amp; "*", 'OLT DOWN Tickets'!$L:$L, "OLT UPLINK DOWN") &gt; 0</f>
        <v>0</v>
      </c>
      <c r="I391" s="6" t="b">
        <f>COUNTIFS('OLT DOWN Tickets'!$AB:$AB, "*" &amp; D391 &amp; "*", 'OLT DOWN Tickets'!$L:$L, "OLT SERVICE DEGRADATION") &gt; 0</f>
        <v>0</v>
      </c>
      <c r="J391" s="32" t="str">
        <f>IFERROR(__xludf.DUMMYFUNCTION("IFERROR(INDEX(FILTER('OLT DOWN Tickets'!$F:$F, REGEXMATCH('OLT DOWN Tickets'!$AB:$AB, ""(?i)""&amp;TRIM(D391)), 'OLT DOWN Tickets'!$L:$L=""OLT DOWN""), 1), """")"),"")</f>
        <v/>
      </c>
      <c r="K391" s="32" t="str">
        <f>IFERROR(__xludf.DUMMYFUNCTION("IFERROR(INDEX(FILTER('OLT DOWN Tickets'!$F:$F, REGEXMATCH('OLT DOWN Tickets'!$AB:$AB, ""(?i)""&amp;TRIM(D391)), 'OLT DOWN Tickets'!$L:$L=""OLT UPLINK LOW POWER""), 1), """")"),"")</f>
        <v/>
      </c>
      <c r="L391" s="32" t="str">
        <f>IFERROR(__xludf.DUMMYFUNCTION("IFERROR(INDEX(FILTER('OLT DOWN Tickets'!$F:$F, REGEXMATCH('OLT DOWN Tickets'!$AB:$AB, ""(?i)""&amp;TRIM(D391)), 'OLT DOWN Tickets'!$L:$L=""OLT UPLINK DOWN""), 1), """")"),"")</f>
        <v/>
      </c>
      <c r="M391" s="32" t="str">
        <f>IFERROR(__xludf.DUMMYFUNCTION("IFERROR(INDEX(FILTER('OLT DOWN Tickets'!$F:$F, REGEXMATCH('OLT DOWN Tickets'!$AB:$AB, ""(?i)""&amp;TRIM(D391)), 'OLT DOWN Tickets'!$L:$L=""OLT SERVICE DEGRADATION""), 1), """")
"),"")</f>
        <v/>
      </c>
      <c r="N391" s="6" t="b">
        <v>0</v>
      </c>
      <c r="O391" s="6" t="b">
        <v>0</v>
      </c>
      <c r="P391" s="6" t="b">
        <v>0</v>
      </c>
      <c r="Q391" s="6" t="b">
        <v>0</v>
      </c>
      <c r="R391" s="6"/>
      <c r="S391" s="6"/>
      <c r="T391" s="6"/>
      <c r="U391" s="6"/>
    </row>
    <row r="392">
      <c r="A392" s="19"/>
      <c r="B392" s="26" t="s">
        <v>664</v>
      </c>
      <c r="C392" s="26" t="s">
        <v>684</v>
      </c>
      <c r="D392" s="27" t="s">
        <v>685</v>
      </c>
      <c r="E392" s="6" t="b">
        <f t="shared" si="1"/>
        <v>1</v>
      </c>
      <c r="F392" s="6" t="b">
        <f>COUNTIFS('OLT DOWN Tickets'!$AB:$AB, "*" &amp; D392 &amp; "*", 'OLT DOWN Tickets'!$L:$L, "OLT DOWN") &gt; 0</f>
        <v>0</v>
      </c>
      <c r="G392" s="6" t="b">
        <f>COUNTIFS('OLT DOWN Tickets'!$AB:$AB, "*" &amp; D392 &amp; "*", 'OLT DOWN Tickets'!$L:$L, "OLT UPLINK LOW POWER") &gt; 0</f>
        <v>0</v>
      </c>
      <c r="H392" s="6" t="b">
        <f>COUNTIFS('OLT DOWN Tickets'!$AB:$AB, "*" &amp; D392 &amp; "*", 'OLT DOWN Tickets'!$L:$L, "OLT UPLINK DOWN") &gt; 0</f>
        <v>0</v>
      </c>
      <c r="I392" s="6" t="b">
        <f>COUNTIFS('OLT DOWN Tickets'!$AB:$AB, "*" &amp; D392 &amp; "*", 'OLT DOWN Tickets'!$L:$L, "OLT SERVICE DEGRADATION") &gt; 0</f>
        <v>0</v>
      </c>
      <c r="J392" s="32" t="str">
        <f>IFERROR(__xludf.DUMMYFUNCTION("IFERROR(INDEX(FILTER('OLT DOWN Tickets'!$F:$F, REGEXMATCH('OLT DOWN Tickets'!$AB:$AB, ""(?i)""&amp;TRIM(D392)), 'OLT DOWN Tickets'!$L:$L=""OLT DOWN""), 1), """")"),"")</f>
        <v/>
      </c>
      <c r="K392" s="32" t="str">
        <f>IFERROR(__xludf.DUMMYFUNCTION("IFERROR(INDEX(FILTER('OLT DOWN Tickets'!$F:$F, REGEXMATCH('OLT DOWN Tickets'!$AB:$AB, ""(?i)""&amp;TRIM(D392)), 'OLT DOWN Tickets'!$L:$L=""OLT UPLINK LOW POWER""), 1), """")"),"")</f>
        <v/>
      </c>
      <c r="L392" s="32" t="str">
        <f>IFERROR(__xludf.DUMMYFUNCTION("IFERROR(INDEX(FILTER('OLT DOWN Tickets'!$F:$F, REGEXMATCH('OLT DOWN Tickets'!$AB:$AB, ""(?i)""&amp;TRIM(D392)), 'OLT DOWN Tickets'!$L:$L=""OLT UPLINK DOWN""), 1), """")"),"")</f>
        <v/>
      </c>
      <c r="M392" s="32" t="str">
        <f>IFERROR(__xludf.DUMMYFUNCTION("IFERROR(INDEX(FILTER('OLT DOWN Tickets'!$F:$F, REGEXMATCH('OLT DOWN Tickets'!$AB:$AB, ""(?i)""&amp;TRIM(D392)), 'OLT DOWN Tickets'!$L:$L=""OLT SERVICE DEGRADATION""), 1), """")
"),"")</f>
        <v/>
      </c>
      <c r="N392" s="6" t="b">
        <v>0</v>
      </c>
      <c r="O392" s="6" t="b">
        <v>0</v>
      </c>
      <c r="P392" s="6" t="b">
        <v>0</v>
      </c>
      <c r="Q392" s="6" t="b">
        <v>0</v>
      </c>
      <c r="R392" s="6"/>
      <c r="S392" s="6"/>
      <c r="T392" s="6"/>
      <c r="U392" s="6"/>
    </row>
    <row r="393">
      <c r="A393" s="19"/>
      <c r="B393" s="26" t="s">
        <v>664</v>
      </c>
      <c r="C393" s="26" t="s">
        <v>684</v>
      </c>
      <c r="D393" s="27" t="s">
        <v>686</v>
      </c>
      <c r="E393" s="6" t="b">
        <f t="shared" si="1"/>
        <v>1</v>
      </c>
      <c r="F393" s="6" t="b">
        <f>COUNTIFS('OLT DOWN Tickets'!$AB:$AB, "*" &amp; D393 &amp; "*", 'OLT DOWN Tickets'!$L:$L, "OLT DOWN") &gt; 0</f>
        <v>0</v>
      </c>
      <c r="G393" s="6" t="b">
        <f>COUNTIFS('OLT DOWN Tickets'!$AB:$AB, "*" &amp; D393 &amp; "*", 'OLT DOWN Tickets'!$L:$L, "OLT UPLINK LOW POWER") &gt; 0</f>
        <v>0</v>
      </c>
      <c r="H393" s="6" t="b">
        <f>COUNTIFS('OLT DOWN Tickets'!$AB:$AB, "*" &amp; D393 &amp; "*", 'OLT DOWN Tickets'!$L:$L, "OLT UPLINK DOWN") &gt; 0</f>
        <v>0</v>
      </c>
      <c r="I393" s="6" t="b">
        <f>COUNTIFS('OLT DOWN Tickets'!$AB:$AB, "*" &amp; D393 &amp; "*", 'OLT DOWN Tickets'!$L:$L, "OLT SERVICE DEGRADATION") &gt; 0</f>
        <v>0</v>
      </c>
      <c r="J393" s="32" t="str">
        <f>IFERROR(__xludf.DUMMYFUNCTION("IFERROR(INDEX(FILTER('OLT DOWN Tickets'!$F:$F, REGEXMATCH('OLT DOWN Tickets'!$AB:$AB, ""(?i)""&amp;TRIM(D393)), 'OLT DOWN Tickets'!$L:$L=""OLT DOWN""), 1), """")"),"")</f>
        <v/>
      </c>
      <c r="K393" s="32" t="str">
        <f>IFERROR(__xludf.DUMMYFUNCTION("IFERROR(INDEX(FILTER('OLT DOWN Tickets'!$F:$F, REGEXMATCH('OLT DOWN Tickets'!$AB:$AB, ""(?i)""&amp;TRIM(D393)), 'OLT DOWN Tickets'!$L:$L=""OLT UPLINK LOW POWER""), 1), """")"),"")</f>
        <v/>
      </c>
      <c r="L393" s="32" t="str">
        <f>IFERROR(__xludf.DUMMYFUNCTION("IFERROR(INDEX(FILTER('OLT DOWN Tickets'!$F:$F, REGEXMATCH('OLT DOWN Tickets'!$AB:$AB, ""(?i)""&amp;TRIM(D393)), 'OLT DOWN Tickets'!$L:$L=""OLT UPLINK DOWN""), 1), """")"),"")</f>
        <v/>
      </c>
      <c r="M393" s="32" t="str">
        <f>IFERROR(__xludf.DUMMYFUNCTION("IFERROR(INDEX(FILTER('OLT DOWN Tickets'!$F:$F, REGEXMATCH('OLT DOWN Tickets'!$AB:$AB, ""(?i)""&amp;TRIM(D393)), 'OLT DOWN Tickets'!$L:$L=""OLT SERVICE DEGRADATION""), 1), """")
"),"")</f>
        <v/>
      </c>
      <c r="N393" s="6" t="b">
        <v>0</v>
      </c>
      <c r="O393" s="6" t="b">
        <v>0</v>
      </c>
      <c r="P393" s="6" t="b">
        <v>0</v>
      </c>
      <c r="Q393" s="6" t="b">
        <v>0</v>
      </c>
      <c r="R393" s="6"/>
      <c r="S393" s="6"/>
      <c r="T393" s="6"/>
      <c r="U393" s="6"/>
    </row>
    <row r="394">
      <c r="A394" s="19"/>
      <c r="B394" s="26" t="s">
        <v>687</v>
      </c>
      <c r="C394" s="26" t="s">
        <v>688</v>
      </c>
      <c r="D394" s="27" t="s">
        <v>689</v>
      </c>
      <c r="E394" s="6" t="b">
        <f t="shared" si="1"/>
        <v>1</v>
      </c>
      <c r="F394" s="6" t="b">
        <f>COUNTIFS('OLT DOWN Tickets'!$AB:$AB, "*" &amp; D394 &amp; "*", 'OLT DOWN Tickets'!$L:$L, "OLT DOWN") &gt; 0</f>
        <v>0</v>
      </c>
      <c r="G394" s="6" t="b">
        <f>COUNTIFS('OLT DOWN Tickets'!$AB:$AB, "*" &amp; D394 &amp; "*", 'OLT DOWN Tickets'!$L:$L, "OLT UPLINK LOW POWER") &gt; 0</f>
        <v>0</v>
      </c>
      <c r="H394" s="6" t="b">
        <f>COUNTIFS('OLT DOWN Tickets'!$AB:$AB, "*" &amp; D394 &amp; "*", 'OLT DOWN Tickets'!$L:$L, "OLT UPLINK DOWN") &gt; 0</f>
        <v>0</v>
      </c>
      <c r="I394" s="6" t="b">
        <f>COUNTIFS('OLT DOWN Tickets'!$AB:$AB, "*" &amp; D394 &amp; "*", 'OLT DOWN Tickets'!$L:$L, "OLT SERVICE DEGRADATION") &gt; 0</f>
        <v>0</v>
      </c>
      <c r="J394" s="32" t="str">
        <f>IFERROR(__xludf.DUMMYFUNCTION("IFERROR(INDEX(FILTER('OLT DOWN Tickets'!$F:$F, REGEXMATCH('OLT DOWN Tickets'!$AB:$AB, ""(?i)""&amp;TRIM(D394)), 'OLT DOWN Tickets'!$L:$L=""OLT DOWN""), 1), """")"),"")</f>
        <v/>
      </c>
      <c r="K394" s="32" t="str">
        <f>IFERROR(__xludf.DUMMYFUNCTION("IFERROR(INDEX(FILTER('OLT DOWN Tickets'!$F:$F, REGEXMATCH('OLT DOWN Tickets'!$AB:$AB, ""(?i)""&amp;TRIM(D394)), 'OLT DOWN Tickets'!$L:$L=""OLT UPLINK LOW POWER""), 1), """")"),"")</f>
        <v/>
      </c>
      <c r="L394" s="32" t="str">
        <f>IFERROR(__xludf.DUMMYFUNCTION("IFERROR(INDEX(FILTER('OLT DOWN Tickets'!$F:$F, REGEXMATCH('OLT DOWN Tickets'!$AB:$AB, ""(?i)""&amp;TRIM(D394)), 'OLT DOWN Tickets'!$L:$L=""OLT UPLINK DOWN""), 1), """")"),"")</f>
        <v/>
      </c>
      <c r="M394" s="32" t="str">
        <f>IFERROR(__xludf.DUMMYFUNCTION("IFERROR(INDEX(FILTER('OLT DOWN Tickets'!$F:$F, REGEXMATCH('OLT DOWN Tickets'!$AB:$AB, ""(?i)""&amp;TRIM(D394)), 'OLT DOWN Tickets'!$L:$L=""OLT SERVICE DEGRADATION""), 1), """")
"),"")</f>
        <v/>
      </c>
      <c r="N394" s="6" t="b">
        <v>0</v>
      </c>
      <c r="O394" s="6" t="b">
        <v>0</v>
      </c>
      <c r="P394" s="6" t="b">
        <v>0</v>
      </c>
      <c r="Q394" s="6" t="b">
        <v>0</v>
      </c>
      <c r="R394" s="6"/>
      <c r="S394" s="6"/>
      <c r="T394" s="6"/>
      <c r="U394" s="6"/>
    </row>
    <row r="395">
      <c r="A395" s="19"/>
      <c r="B395" s="26" t="s">
        <v>687</v>
      </c>
      <c r="C395" s="26" t="s">
        <v>540</v>
      </c>
      <c r="D395" s="27" t="s">
        <v>690</v>
      </c>
      <c r="E395" s="6" t="b">
        <f t="shared" si="1"/>
        <v>1</v>
      </c>
      <c r="F395" s="6" t="b">
        <f>COUNTIFS('OLT DOWN Tickets'!$AB:$AB, "*" &amp; D395 &amp; "*", 'OLT DOWN Tickets'!$L:$L, "OLT DOWN") &gt; 0</f>
        <v>0</v>
      </c>
      <c r="G395" s="6" t="b">
        <f>COUNTIFS('OLT DOWN Tickets'!$AB:$AB, "*" &amp; D395 &amp; "*", 'OLT DOWN Tickets'!$L:$L, "OLT UPLINK LOW POWER") &gt; 0</f>
        <v>0</v>
      </c>
      <c r="H395" s="6" t="b">
        <f>COUNTIFS('OLT DOWN Tickets'!$AB:$AB, "*" &amp; D395 &amp; "*", 'OLT DOWN Tickets'!$L:$L, "OLT UPLINK DOWN") &gt; 0</f>
        <v>0</v>
      </c>
      <c r="I395" s="6" t="b">
        <f>COUNTIFS('OLT DOWN Tickets'!$AB:$AB, "*" &amp; D395 &amp; "*", 'OLT DOWN Tickets'!$L:$L, "OLT SERVICE DEGRADATION") &gt; 0</f>
        <v>0</v>
      </c>
      <c r="J395" s="32" t="str">
        <f>IFERROR(__xludf.DUMMYFUNCTION("IFERROR(INDEX(FILTER('OLT DOWN Tickets'!$F:$F, REGEXMATCH('OLT DOWN Tickets'!$AB:$AB, ""(?i)""&amp;TRIM(D395)), 'OLT DOWN Tickets'!$L:$L=""OLT DOWN""), 1), """")"),"")</f>
        <v/>
      </c>
      <c r="K395" s="32" t="str">
        <f>IFERROR(__xludf.DUMMYFUNCTION("IFERROR(INDEX(FILTER('OLT DOWN Tickets'!$F:$F, REGEXMATCH('OLT DOWN Tickets'!$AB:$AB, ""(?i)""&amp;TRIM(D395)), 'OLT DOWN Tickets'!$L:$L=""OLT UPLINK LOW POWER""), 1), """")"),"")</f>
        <v/>
      </c>
      <c r="L395" s="32" t="str">
        <f>IFERROR(__xludf.DUMMYFUNCTION("IFERROR(INDEX(FILTER('OLT DOWN Tickets'!$F:$F, REGEXMATCH('OLT DOWN Tickets'!$AB:$AB, ""(?i)""&amp;TRIM(D395)), 'OLT DOWN Tickets'!$L:$L=""OLT UPLINK DOWN""), 1), """")"),"")</f>
        <v/>
      </c>
      <c r="M395" s="32" t="str">
        <f>IFERROR(__xludf.DUMMYFUNCTION("IFERROR(INDEX(FILTER('OLT DOWN Tickets'!$F:$F, REGEXMATCH('OLT DOWN Tickets'!$AB:$AB, ""(?i)""&amp;TRIM(D395)), 'OLT DOWN Tickets'!$L:$L=""OLT SERVICE DEGRADATION""), 1), """")
"),"")</f>
        <v/>
      </c>
      <c r="N395" s="6" t="b">
        <v>0</v>
      </c>
      <c r="O395" s="6" t="b">
        <v>0</v>
      </c>
      <c r="P395" s="6" t="b">
        <v>0</v>
      </c>
      <c r="Q395" s="6" t="b">
        <v>0</v>
      </c>
      <c r="R395" s="6"/>
      <c r="S395" s="6"/>
      <c r="T395" s="6"/>
      <c r="U395" s="6"/>
    </row>
    <row r="396">
      <c r="A396" s="19"/>
      <c r="B396" s="26" t="s">
        <v>687</v>
      </c>
      <c r="C396" s="26" t="s">
        <v>691</v>
      </c>
      <c r="D396" s="27" t="s">
        <v>692</v>
      </c>
      <c r="E396" s="6" t="b">
        <f t="shared" si="1"/>
        <v>1</v>
      </c>
      <c r="F396" s="6" t="b">
        <f>COUNTIFS('OLT DOWN Tickets'!$AB:$AB, "*" &amp; D396 &amp; "*", 'OLT DOWN Tickets'!$L:$L, "OLT DOWN") &gt; 0</f>
        <v>0</v>
      </c>
      <c r="G396" s="6" t="b">
        <f>COUNTIFS('OLT DOWN Tickets'!$AB:$AB, "*" &amp; D396 &amp; "*", 'OLT DOWN Tickets'!$L:$L, "OLT UPLINK LOW POWER") &gt; 0</f>
        <v>0</v>
      </c>
      <c r="H396" s="6" t="b">
        <f>COUNTIFS('OLT DOWN Tickets'!$AB:$AB, "*" &amp; D396 &amp; "*", 'OLT DOWN Tickets'!$L:$L, "OLT UPLINK DOWN") &gt; 0</f>
        <v>0</v>
      </c>
      <c r="I396" s="6" t="b">
        <f>COUNTIFS('OLT DOWN Tickets'!$AB:$AB, "*" &amp; D396 &amp; "*", 'OLT DOWN Tickets'!$L:$L, "OLT SERVICE DEGRADATION") &gt; 0</f>
        <v>0</v>
      </c>
      <c r="J396" s="32" t="str">
        <f>IFERROR(__xludf.DUMMYFUNCTION("IFERROR(INDEX(FILTER('OLT DOWN Tickets'!$F:$F, REGEXMATCH('OLT DOWN Tickets'!$AB:$AB, ""(?i)""&amp;TRIM(D396)), 'OLT DOWN Tickets'!$L:$L=""OLT DOWN""), 1), """")"),"")</f>
        <v/>
      </c>
      <c r="K396" s="32" t="str">
        <f>IFERROR(__xludf.DUMMYFUNCTION("IFERROR(INDEX(FILTER('OLT DOWN Tickets'!$F:$F, REGEXMATCH('OLT DOWN Tickets'!$AB:$AB, ""(?i)""&amp;TRIM(D396)), 'OLT DOWN Tickets'!$L:$L=""OLT UPLINK LOW POWER""), 1), """")"),"")</f>
        <v/>
      </c>
      <c r="L396" s="32" t="str">
        <f>IFERROR(__xludf.DUMMYFUNCTION("IFERROR(INDEX(FILTER('OLT DOWN Tickets'!$F:$F, REGEXMATCH('OLT DOWN Tickets'!$AB:$AB, ""(?i)""&amp;TRIM(D396)), 'OLT DOWN Tickets'!$L:$L=""OLT UPLINK DOWN""), 1), """")"),"")</f>
        <v/>
      </c>
      <c r="M396" s="32" t="str">
        <f>IFERROR(__xludf.DUMMYFUNCTION("IFERROR(INDEX(FILTER('OLT DOWN Tickets'!$F:$F, REGEXMATCH('OLT DOWN Tickets'!$AB:$AB, ""(?i)""&amp;TRIM(D396)), 'OLT DOWN Tickets'!$L:$L=""OLT SERVICE DEGRADATION""), 1), """")
"),"")</f>
        <v/>
      </c>
      <c r="N396" s="6" t="b">
        <v>0</v>
      </c>
      <c r="O396" s="6" t="b">
        <v>0</v>
      </c>
      <c r="P396" s="6" t="b">
        <v>0</v>
      </c>
      <c r="Q396" s="6" t="b">
        <v>0</v>
      </c>
      <c r="R396" s="6"/>
      <c r="S396" s="6"/>
      <c r="T396" s="6"/>
      <c r="U396" s="6"/>
    </row>
    <row r="397">
      <c r="A397" s="19"/>
      <c r="B397" s="26" t="s">
        <v>687</v>
      </c>
      <c r="C397" s="26" t="s">
        <v>691</v>
      </c>
      <c r="D397" s="27" t="s">
        <v>693</v>
      </c>
      <c r="E397" s="6" t="b">
        <f t="shared" si="1"/>
        <v>1</v>
      </c>
      <c r="F397" s="6" t="b">
        <f>COUNTIFS('OLT DOWN Tickets'!$AB:$AB, "*" &amp; D397 &amp; "*", 'OLT DOWN Tickets'!$L:$L, "OLT DOWN") &gt; 0</f>
        <v>0</v>
      </c>
      <c r="G397" s="6" t="b">
        <f>COUNTIFS('OLT DOWN Tickets'!$AB:$AB, "*" &amp; D397 &amp; "*", 'OLT DOWN Tickets'!$L:$L, "OLT UPLINK LOW POWER") &gt; 0</f>
        <v>0</v>
      </c>
      <c r="H397" s="6" t="b">
        <f>COUNTIFS('OLT DOWN Tickets'!$AB:$AB, "*" &amp; D397 &amp; "*", 'OLT DOWN Tickets'!$L:$L, "OLT UPLINK DOWN") &gt; 0</f>
        <v>0</v>
      </c>
      <c r="I397" s="6" t="b">
        <f>COUNTIFS('OLT DOWN Tickets'!$AB:$AB, "*" &amp; D397 &amp; "*", 'OLT DOWN Tickets'!$L:$L, "OLT SERVICE DEGRADATION") &gt; 0</f>
        <v>0</v>
      </c>
      <c r="J397" s="32" t="str">
        <f>IFERROR(__xludf.DUMMYFUNCTION("IFERROR(INDEX(FILTER('OLT DOWN Tickets'!$F:$F, REGEXMATCH('OLT DOWN Tickets'!$AB:$AB, ""(?i)""&amp;TRIM(D397)), 'OLT DOWN Tickets'!$L:$L=""OLT DOWN""), 1), """")"),"")</f>
        <v/>
      </c>
      <c r="K397" s="32" t="str">
        <f>IFERROR(__xludf.DUMMYFUNCTION("IFERROR(INDEX(FILTER('OLT DOWN Tickets'!$F:$F, REGEXMATCH('OLT DOWN Tickets'!$AB:$AB, ""(?i)""&amp;TRIM(D397)), 'OLT DOWN Tickets'!$L:$L=""OLT UPLINK LOW POWER""), 1), """")"),"")</f>
        <v/>
      </c>
      <c r="L397" s="32" t="str">
        <f>IFERROR(__xludf.DUMMYFUNCTION("IFERROR(INDEX(FILTER('OLT DOWN Tickets'!$F:$F, REGEXMATCH('OLT DOWN Tickets'!$AB:$AB, ""(?i)""&amp;TRIM(D397)), 'OLT DOWN Tickets'!$L:$L=""OLT UPLINK DOWN""), 1), """")"),"")</f>
        <v/>
      </c>
      <c r="M397" s="32" t="str">
        <f>IFERROR(__xludf.DUMMYFUNCTION("IFERROR(INDEX(FILTER('OLT DOWN Tickets'!$F:$F, REGEXMATCH('OLT DOWN Tickets'!$AB:$AB, ""(?i)""&amp;TRIM(D397)), 'OLT DOWN Tickets'!$L:$L=""OLT SERVICE DEGRADATION""), 1), """")
"),"")</f>
        <v/>
      </c>
      <c r="N397" s="6" t="b">
        <v>0</v>
      </c>
      <c r="O397" s="6" t="b">
        <v>0</v>
      </c>
      <c r="P397" s="6" t="b">
        <v>0</v>
      </c>
      <c r="Q397" s="6" t="b">
        <v>0</v>
      </c>
      <c r="R397" s="6"/>
      <c r="S397" s="6"/>
      <c r="T397" s="6"/>
      <c r="U397" s="6"/>
    </row>
    <row r="398">
      <c r="A398" s="19"/>
      <c r="B398" s="26" t="s">
        <v>687</v>
      </c>
      <c r="C398" s="26" t="s">
        <v>691</v>
      </c>
      <c r="D398" s="27" t="s">
        <v>694</v>
      </c>
      <c r="E398" s="6" t="b">
        <f t="shared" si="1"/>
        <v>1</v>
      </c>
      <c r="F398" s="6" t="b">
        <f>COUNTIFS('OLT DOWN Tickets'!$AB:$AB, "*" &amp; D398 &amp; "*", 'OLT DOWN Tickets'!$L:$L, "OLT DOWN") &gt; 0</f>
        <v>0</v>
      </c>
      <c r="G398" s="6" t="b">
        <f>COUNTIFS('OLT DOWN Tickets'!$AB:$AB, "*" &amp; D398 &amp; "*", 'OLT DOWN Tickets'!$L:$L, "OLT UPLINK LOW POWER") &gt; 0</f>
        <v>0</v>
      </c>
      <c r="H398" s="6" t="b">
        <f>COUNTIFS('OLT DOWN Tickets'!$AB:$AB, "*" &amp; D398 &amp; "*", 'OLT DOWN Tickets'!$L:$L, "OLT UPLINK DOWN") &gt; 0</f>
        <v>0</v>
      </c>
      <c r="I398" s="6" t="b">
        <f>COUNTIFS('OLT DOWN Tickets'!$AB:$AB, "*" &amp; D398 &amp; "*", 'OLT DOWN Tickets'!$L:$L, "OLT SERVICE DEGRADATION") &gt; 0</f>
        <v>0</v>
      </c>
      <c r="J398" s="32" t="str">
        <f>IFERROR(__xludf.DUMMYFUNCTION("IFERROR(INDEX(FILTER('OLT DOWN Tickets'!$F:$F, REGEXMATCH('OLT DOWN Tickets'!$AB:$AB, ""(?i)""&amp;TRIM(D398)), 'OLT DOWN Tickets'!$L:$L=""OLT DOWN""), 1), """")"),"")</f>
        <v/>
      </c>
      <c r="K398" s="32" t="str">
        <f>IFERROR(__xludf.DUMMYFUNCTION("IFERROR(INDEX(FILTER('OLT DOWN Tickets'!$F:$F, REGEXMATCH('OLT DOWN Tickets'!$AB:$AB, ""(?i)""&amp;TRIM(D398)), 'OLT DOWN Tickets'!$L:$L=""OLT UPLINK LOW POWER""), 1), """")"),"")</f>
        <v/>
      </c>
      <c r="L398" s="32" t="str">
        <f>IFERROR(__xludf.DUMMYFUNCTION("IFERROR(INDEX(FILTER('OLT DOWN Tickets'!$F:$F, REGEXMATCH('OLT DOWN Tickets'!$AB:$AB, ""(?i)""&amp;TRIM(D398)), 'OLT DOWN Tickets'!$L:$L=""OLT UPLINK DOWN""), 1), """")"),"")</f>
        <v/>
      </c>
      <c r="M398" s="32" t="str">
        <f>IFERROR(__xludf.DUMMYFUNCTION("IFERROR(INDEX(FILTER('OLT DOWN Tickets'!$F:$F, REGEXMATCH('OLT DOWN Tickets'!$AB:$AB, ""(?i)""&amp;TRIM(D398)), 'OLT DOWN Tickets'!$L:$L=""OLT SERVICE DEGRADATION""), 1), """")
"),"")</f>
        <v/>
      </c>
      <c r="N398" s="6" t="b">
        <v>0</v>
      </c>
      <c r="O398" s="6" t="b">
        <v>0</v>
      </c>
      <c r="P398" s="6" t="b">
        <v>0</v>
      </c>
      <c r="Q398" s="6" t="b">
        <v>0</v>
      </c>
      <c r="R398" s="6"/>
      <c r="S398" s="6"/>
      <c r="T398" s="6"/>
      <c r="U398" s="6"/>
    </row>
    <row r="399">
      <c r="A399" s="19"/>
      <c r="B399" s="26" t="s">
        <v>687</v>
      </c>
      <c r="C399" s="26" t="s">
        <v>222</v>
      </c>
      <c r="D399" s="27" t="s">
        <v>695</v>
      </c>
      <c r="E399" s="6" t="b">
        <f t="shared" si="1"/>
        <v>1</v>
      </c>
      <c r="F399" s="6" t="b">
        <f>COUNTIFS('OLT DOWN Tickets'!$AB:$AB, "*" &amp; D399 &amp; "*", 'OLT DOWN Tickets'!$L:$L, "OLT DOWN") &gt; 0</f>
        <v>0</v>
      </c>
      <c r="G399" s="6" t="b">
        <f>COUNTIFS('OLT DOWN Tickets'!$AB:$AB, "*" &amp; D399 &amp; "*", 'OLT DOWN Tickets'!$L:$L, "OLT UPLINK LOW POWER") &gt; 0</f>
        <v>0</v>
      </c>
      <c r="H399" s="6" t="b">
        <f>COUNTIFS('OLT DOWN Tickets'!$AB:$AB, "*" &amp; D399 &amp; "*", 'OLT DOWN Tickets'!$L:$L, "OLT UPLINK DOWN") &gt; 0</f>
        <v>0</v>
      </c>
      <c r="I399" s="6" t="b">
        <f>COUNTIFS('OLT DOWN Tickets'!$AB:$AB, "*" &amp; D399 &amp; "*", 'OLT DOWN Tickets'!$L:$L, "OLT SERVICE DEGRADATION") &gt; 0</f>
        <v>0</v>
      </c>
      <c r="J399" s="32" t="str">
        <f>IFERROR(__xludf.DUMMYFUNCTION("IFERROR(INDEX(FILTER('OLT DOWN Tickets'!$F:$F, REGEXMATCH('OLT DOWN Tickets'!$AB:$AB, ""(?i)""&amp;TRIM(D399)), 'OLT DOWN Tickets'!$L:$L=""OLT DOWN""), 1), """")"),"")</f>
        <v/>
      </c>
      <c r="K399" s="32" t="str">
        <f>IFERROR(__xludf.DUMMYFUNCTION("IFERROR(INDEX(FILTER('OLT DOWN Tickets'!$F:$F, REGEXMATCH('OLT DOWN Tickets'!$AB:$AB, ""(?i)""&amp;TRIM(D399)), 'OLT DOWN Tickets'!$L:$L=""OLT UPLINK LOW POWER""), 1), """")"),"")</f>
        <v/>
      </c>
      <c r="L399" s="32" t="str">
        <f>IFERROR(__xludf.DUMMYFUNCTION("IFERROR(INDEX(FILTER('OLT DOWN Tickets'!$F:$F, REGEXMATCH('OLT DOWN Tickets'!$AB:$AB, ""(?i)""&amp;TRIM(D399)), 'OLT DOWN Tickets'!$L:$L=""OLT UPLINK DOWN""), 1), """")"),"")</f>
        <v/>
      </c>
      <c r="M399" s="32" t="str">
        <f>IFERROR(__xludf.DUMMYFUNCTION("IFERROR(INDEX(FILTER('OLT DOWN Tickets'!$F:$F, REGEXMATCH('OLT DOWN Tickets'!$AB:$AB, ""(?i)""&amp;TRIM(D399)), 'OLT DOWN Tickets'!$L:$L=""OLT SERVICE DEGRADATION""), 1), """")
"),"")</f>
        <v/>
      </c>
      <c r="N399" s="6" t="b">
        <v>0</v>
      </c>
      <c r="O399" s="6" t="b">
        <v>0</v>
      </c>
      <c r="P399" s="6" t="b">
        <v>0</v>
      </c>
      <c r="Q399" s="6" t="b">
        <v>0</v>
      </c>
      <c r="R399" s="6"/>
      <c r="S399" s="6"/>
      <c r="T399" s="6"/>
      <c r="U399" s="6"/>
    </row>
    <row r="400">
      <c r="A400" s="19"/>
      <c r="B400" s="26" t="s">
        <v>687</v>
      </c>
      <c r="C400" s="26" t="s">
        <v>696</v>
      </c>
      <c r="D400" s="27" t="s">
        <v>697</v>
      </c>
      <c r="E400" s="6" t="b">
        <f t="shared" si="1"/>
        <v>1</v>
      </c>
      <c r="F400" s="6" t="b">
        <f>COUNTIFS('OLT DOWN Tickets'!$AB:$AB, "*" &amp; D400 &amp; "*", 'OLT DOWN Tickets'!$L:$L, "OLT DOWN") &gt; 0</f>
        <v>0</v>
      </c>
      <c r="G400" s="6" t="b">
        <f>COUNTIFS('OLT DOWN Tickets'!$AB:$AB, "*" &amp; D400 &amp; "*", 'OLT DOWN Tickets'!$L:$L, "OLT UPLINK LOW POWER") &gt; 0</f>
        <v>0</v>
      </c>
      <c r="H400" s="6" t="b">
        <f>COUNTIFS('OLT DOWN Tickets'!$AB:$AB, "*" &amp; D400 &amp; "*", 'OLT DOWN Tickets'!$L:$L, "OLT UPLINK DOWN") &gt; 0</f>
        <v>0</v>
      </c>
      <c r="I400" s="6" t="b">
        <f>COUNTIFS('OLT DOWN Tickets'!$AB:$AB, "*" &amp; D400 &amp; "*", 'OLT DOWN Tickets'!$L:$L, "OLT SERVICE DEGRADATION") &gt; 0</f>
        <v>0</v>
      </c>
      <c r="J400" s="32" t="str">
        <f>IFERROR(__xludf.DUMMYFUNCTION("IFERROR(INDEX(FILTER('OLT DOWN Tickets'!$F:$F, REGEXMATCH('OLT DOWN Tickets'!$AB:$AB, ""(?i)""&amp;TRIM(D400)), 'OLT DOWN Tickets'!$L:$L=""OLT DOWN""), 1), """")"),"")</f>
        <v/>
      </c>
      <c r="K400" s="32" t="str">
        <f>IFERROR(__xludf.DUMMYFUNCTION("IFERROR(INDEX(FILTER('OLT DOWN Tickets'!$F:$F, REGEXMATCH('OLT DOWN Tickets'!$AB:$AB, ""(?i)""&amp;TRIM(D400)), 'OLT DOWN Tickets'!$L:$L=""OLT UPLINK LOW POWER""), 1), """")"),"")</f>
        <v/>
      </c>
      <c r="L400" s="32" t="str">
        <f>IFERROR(__xludf.DUMMYFUNCTION("IFERROR(INDEX(FILTER('OLT DOWN Tickets'!$F:$F, REGEXMATCH('OLT DOWN Tickets'!$AB:$AB, ""(?i)""&amp;TRIM(D400)), 'OLT DOWN Tickets'!$L:$L=""OLT UPLINK DOWN""), 1), """")"),"")</f>
        <v/>
      </c>
      <c r="M400" s="32" t="str">
        <f>IFERROR(__xludf.DUMMYFUNCTION("IFERROR(INDEX(FILTER('OLT DOWN Tickets'!$F:$F, REGEXMATCH('OLT DOWN Tickets'!$AB:$AB, ""(?i)""&amp;TRIM(D400)), 'OLT DOWN Tickets'!$L:$L=""OLT SERVICE DEGRADATION""), 1), """")
"),"")</f>
        <v/>
      </c>
      <c r="N400" s="6" t="b">
        <v>0</v>
      </c>
      <c r="O400" s="6" t="b">
        <v>0</v>
      </c>
      <c r="P400" s="6" t="b">
        <v>0</v>
      </c>
      <c r="Q400" s="6" t="b">
        <v>0</v>
      </c>
      <c r="R400" s="6"/>
      <c r="S400" s="6"/>
      <c r="T400" s="6"/>
      <c r="U400" s="6"/>
    </row>
    <row r="401">
      <c r="A401" s="19"/>
      <c r="B401" s="26" t="s">
        <v>687</v>
      </c>
      <c r="C401" s="26" t="s">
        <v>698</v>
      </c>
      <c r="D401" s="27" t="s">
        <v>699</v>
      </c>
      <c r="E401" s="6" t="b">
        <f t="shared" si="1"/>
        <v>1</v>
      </c>
      <c r="F401" s="6" t="b">
        <f>COUNTIFS('OLT DOWN Tickets'!$AB:$AB, "*" &amp; D401 &amp; "*", 'OLT DOWN Tickets'!$L:$L, "OLT DOWN") &gt; 0</f>
        <v>0</v>
      </c>
      <c r="G401" s="6" t="b">
        <f>COUNTIFS('OLT DOWN Tickets'!$AB:$AB, "*" &amp; D401 &amp; "*", 'OLT DOWN Tickets'!$L:$L, "OLT UPLINK LOW POWER") &gt; 0</f>
        <v>0</v>
      </c>
      <c r="H401" s="6" t="b">
        <f>COUNTIFS('OLT DOWN Tickets'!$AB:$AB, "*" &amp; D401 &amp; "*", 'OLT DOWN Tickets'!$L:$L, "OLT UPLINK DOWN") &gt; 0</f>
        <v>0</v>
      </c>
      <c r="I401" s="6" t="b">
        <f>COUNTIFS('OLT DOWN Tickets'!$AB:$AB, "*" &amp; D401 &amp; "*", 'OLT DOWN Tickets'!$L:$L, "OLT SERVICE DEGRADATION") &gt; 0</f>
        <v>0</v>
      </c>
      <c r="J401" s="32" t="str">
        <f>IFERROR(__xludf.DUMMYFUNCTION("IFERROR(INDEX(FILTER('OLT DOWN Tickets'!$F:$F, REGEXMATCH('OLT DOWN Tickets'!$AB:$AB, ""(?i)""&amp;TRIM(D401)), 'OLT DOWN Tickets'!$L:$L=""OLT DOWN""), 1), """")"),"")</f>
        <v/>
      </c>
      <c r="K401" s="32" t="str">
        <f>IFERROR(__xludf.DUMMYFUNCTION("IFERROR(INDEX(FILTER('OLT DOWN Tickets'!$F:$F, REGEXMATCH('OLT DOWN Tickets'!$AB:$AB, ""(?i)""&amp;TRIM(D401)), 'OLT DOWN Tickets'!$L:$L=""OLT UPLINK LOW POWER""), 1), """")"),"")</f>
        <v/>
      </c>
      <c r="L401" s="32" t="str">
        <f>IFERROR(__xludf.DUMMYFUNCTION("IFERROR(INDEX(FILTER('OLT DOWN Tickets'!$F:$F, REGEXMATCH('OLT DOWN Tickets'!$AB:$AB, ""(?i)""&amp;TRIM(D401)), 'OLT DOWN Tickets'!$L:$L=""OLT UPLINK DOWN""), 1), """")"),"")</f>
        <v/>
      </c>
      <c r="M401" s="32" t="str">
        <f>IFERROR(__xludf.DUMMYFUNCTION("IFERROR(INDEX(FILTER('OLT DOWN Tickets'!$F:$F, REGEXMATCH('OLT DOWN Tickets'!$AB:$AB, ""(?i)""&amp;TRIM(D401)), 'OLT DOWN Tickets'!$L:$L=""OLT SERVICE DEGRADATION""), 1), """")
"),"")</f>
        <v/>
      </c>
      <c r="N401" s="6" t="b">
        <v>0</v>
      </c>
      <c r="O401" s="6" t="b">
        <v>0</v>
      </c>
      <c r="P401" s="6" t="b">
        <v>0</v>
      </c>
      <c r="Q401" s="6" t="b">
        <v>0</v>
      </c>
      <c r="R401" s="6"/>
      <c r="S401" s="6"/>
      <c r="T401" s="6"/>
      <c r="U401" s="6"/>
    </row>
    <row r="402">
      <c r="A402" s="19"/>
      <c r="B402" s="26" t="s">
        <v>687</v>
      </c>
      <c r="C402" s="26" t="s">
        <v>700</v>
      </c>
      <c r="D402" s="27" t="s">
        <v>701</v>
      </c>
      <c r="E402" s="6" t="b">
        <f t="shared" si="1"/>
        <v>1</v>
      </c>
      <c r="F402" s="6" t="b">
        <f>COUNTIFS('OLT DOWN Tickets'!$AB:$AB, "*" &amp; D402 &amp; "*", 'OLT DOWN Tickets'!$L:$L, "OLT DOWN") &gt; 0</f>
        <v>0</v>
      </c>
      <c r="G402" s="6" t="b">
        <f>COUNTIFS('OLT DOWN Tickets'!$AB:$AB, "*" &amp; D402 &amp; "*", 'OLT DOWN Tickets'!$L:$L, "OLT UPLINK LOW POWER") &gt; 0</f>
        <v>0</v>
      </c>
      <c r="H402" s="6" t="b">
        <f>COUNTIFS('OLT DOWN Tickets'!$AB:$AB, "*" &amp; D402 &amp; "*", 'OLT DOWN Tickets'!$L:$L, "OLT UPLINK DOWN") &gt; 0</f>
        <v>0</v>
      </c>
      <c r="I402" s="6" t="b">
        <f>COUNTIFS('OLT DOWN Tickets'!$AB:$AB, "*" &amp; D402 &amp; "*", 'OLT DOWN Tickets'!$L:$L, "OLT SERVICE DEGRADATION") &gt; 0</f>
        <v>0</v>
      </c>
      <c r="J402" s="32" t="str">
        <f>IFERROR(__xludf.DUMMYFUNCTION("IFERROR(INDEX(FILTER('OLT DOWN Tickets'!$F:$F, REGEXMATCH('OLT DOWN Tickets'!$AB:$AB, ""(?i)""&amp;TRIM(D402)), 'OLT DOWN Tickets'!$L:$L=""OLT DOWN""), 1), """")"),"")</f>
        <v/>
      </c>
      <c r="K402" s="32" t="str">
        <f>IFERROR(__xludf.DUMMYFUNCTION("IFERROR(INDEX(FILTER('OLT DOWN Tickets'!$F:$F, REGEXMATCH('OLT DOWN Tickets'!$AB:$AB, ""(?i)""&amp;TRIM(D402)), 'OLT DOWN Tickets'!$L:$L=""OLT UPLINK LOW POWER""), 1), """")"),"")</f>
        <v/>
      </c>
      <c r="L402" s="32" t="str">
        <f>IFERROR(__xludf.DUMMYFUNCTION("IFERROR(INDEX(FILTER('OLT DOWN Tickets'!$F:$F, REGEXMATCH('OLT DOWN Tickets'!$AB:$AB, ""(?i)""&amp;TRIM(D402)), 'OLT DOWN Tickets'!$L:$L=""OLT UPLINK DOWN""), 1), """")"),"")</f>
        <v/>
      </c>
      <c r="M402" s="32" t="str">
        <f>IFERROR(__xludf.DUMMYFUNCTION("IFERROR(INDEX(FILTER('OLT DOWN Tickets'!$F:$F, REGEXMATCH('OLT DOWN Tickets'!$AB:$AB, ""(?i)""&amp;TRIM(D402)), 'OLT DOWN Tickets'!$L:$L=""OLT SERVICE DEGRADATION""), 1), """")
"),"")</f>
        <v/>
      </c>
      <c r="N402" s="6" t="b">
        <v>0</v>
      </c>
      <c r="O402" s="6" t="b">
        <v>0</v>
      </c>
      <c r="P402" s="6" t="b">
        <v>0</v>
      </c>
      <c r="Q402" s="6" t="b">
        <v>0</v>
      </c>
      <c r="R402" s="6"/>
      <c r="S402" s="6"/>
      <c r="T402" s="6"/>
      <c r="U402" s="6"/>
    </row>
    <row r="403">
      <c r="A403" s="19"/>
      <c r="B403" s="26" t="s">
        <v>687</v>
      </c>
      <c r="C403" s="26" t="s">
        <v>700</v>
      </c>
      <c r="D403" s="27" t="s">
        <v>702</v>
      </c>
      <c r="E403" s="6" t="b">
        <f t="shared" si="1"/>
        <v>1</v>
      </c>
      <c r="F403" s="6" t="b">
        <f>COUNTIFS('OLT DOWN Tickets'!$AB:$AB, "*" &amp; D403 &amp; "*", 'OLT DOWN Tickets'!$L:$L, "OLT DOWN") &gt; 0</f>
        <v>0</v>
      </c>
      <c r="G403" s="6" t="b">
        <f>COUNTIFS('OLT DOWN Tickets'!$AB:$AB, "*" &amp; D403 &amp; "*", 'OLT DOWN Tickets'!$L:$L, "OLT UPLINK LOW POWER") &gt; 0</f>
        <v>0</v>
      </c>
      <c r="H403" s="6" t="b">
        <f>COUNTIFS('OLT DOWN Tickets'!$AB:$AB, "*" &amp; D403 &amp; "*", 'OLT DOWN Tickets'!$L:$L, "OLT UPLINK DOWN") &gt; 0</f>
        <v>0</v>
      </c>
      <c r="I403" s="6" t="b">
        <f>COUNTIFS('OLT DOWN Tickets'!$AB:$AB, "*" &amp; D403 &amp; "*", 'OLT DOWN Tickets'!$L:$L, "OLT SERVICE DEGRADATION") &gt; 0</f>
        <v>0</v>
      </c>
      <c r="J403" s="32" t="str">
        <f>IFERROR(__xludf.DUMMYFUNCTION("IFERROR(INDEX(FILTER('OLT DOWN Tickets'!$F:$F, REGEXMATCH('OLT DOWN Tickets'!$AB:$AB, ""(?i)""&amp;TRIM(D403)), 'OLT DOWN Tickets'!$L:$L=""OLT DOWN""), 1), """")"),"")</f>
        <v/>
      </c>
      <c r="K403" s="32" t="str">
        <f>IFERROR(__xludf.DUMMYFUNCTION("IFERROR(INDEX(FILTER('OLT DOWN Tickets'!$F:$F, REGEXMATCH('OLT DOWN Tickets'!$AB:$AB, ""(?i)""&amp;TRIM(D403)), 'OLT DOWN Tickets'!$L:$L=""OLT UPLINK LOW POWER""), 1), """")"),"")</f>
        <v/>
      </c>
      <c r="L403" s="32" t="str">
        <f>IFERROR(__xludf.DUMMYFUNCTION("IFERROR(INDEX(FILTER('OLT DOWN Tickets'!$F:$F, REGEXMATCH('OLT DOWN Tickets'!$AB:$AB, ""(?i)""&amp;TRIM(D403)), 'OLT DOWN Tickets'!$L:$L=""OLT UPLINK DOWN""), 1), """")"),"")</f>
        <v/>
      </c>
      <c r="M403" s="32" t="str">
        <f>IFERROR(__xludf.DUMMYFUNCTION("IFERROR(INDEX(FILTER('OLT DOWN Tickets'!$F:$F, REGEXMATCH('OLT DOWN Tickets'!$AB:$AB, ""(?i)""&amp;TRIM(D403)), 'OLT DOWN Tickets'!$L:$L=""OLT SERVICE DEGRADATION""), 1), """")
"),"")</f>
        <v/>
      </c>
      <c r="N403" s="6" t="b">
        <v>0</v>
      </c>
      <c r="O403" s="6" t="b">
        <v>0</v>
      </c>
      <c r="P403" s="6" t="b">
        <v>0</v>
      </c>
      <c r="Q403" s="6" t="b">
        <v>0</v>
      </c>
      <c r="R403" s="6"/>
      <c r="S403" s="6"/>
      <c r="T403" s="6"/>
      <c r="U403" s="6"/>
    </row>
    <row r="404">
      <c r="A404" s="19"/>
      <c r="B404" s="26" t="s">
        <v>687</v>
      </c>
      <c r="C404" s="26" t="s">
        <v>700</v>
      </c>
      <c r="D404" s="27" t="s">
        <v>703</v>
      </c>
      <c r="E404" s="6" t="b">
        <f t="shared" si="1"/>
        <v>1</v>
      </c>
      <c r="F404" s="6" t="b">
        <f>COUNTIFS('OLT DOWN Tickets'!$AB:$AB, "*" &amp; D404 &amp; "*", 'OLT DOWN Tickets'!$L:$L, "OLT DOWN") &gt; 0</f>
        <v>0</v>
      </c>
      <c r="G404" s="6" t="b">
        <f>COUNTIFS('OLT DOWN Tickets'!$AB:$AB, "*" &amp; D404 &amp; "*", 'OLT DOWN Tickets'!$L:$L, "OLT UPLINK LOW POWER") &gt; 0</f>
        <v>0</v>
      </c>
      <c r="H404" s="6" t="b">
        <f>COUNTIFS('OLT DOWN Tickets'!$AB:$AB, "*" &amp; D404 &amp; "*", 'OLT DOWN Tickets'!$L:$L, "OLT UPLINK DOWN") &gt; 0</f>
        <v>0</v>
      </c>
      <c r="I404" s="6" t="b">
        <f>COUNTIFS('OLT DOWN Tickets'!$AB:$AB, "*" &amp; D404 &amp; "*", 'OLT DOWN Tickets'!$L:$L, "OLT SERVICE DEGRADATION") &gt; 0</f>
        <v>0</v>
      </c>
      <c r="J404" s="32" t="str">
        <f>IFERROR(__xludf.DUMMYFUNCTION("IFERROR(INDEX(FILTER('OLT DOWN Tickets'!$F:$F, REGEXMATCH('OLT DOWN Tickets'!$AB:$AB, ""(?i)""&amp;TRIM(D404)), 'OLT DOWN Tickets'!$L:$L=""OLT DOWN""), 1), """")"),"")</f>
        <v/>
      </c>
      <c r="K404" s="32" t="str">
        <f>IFERROR(__xludf.DUMMYFUNCTION("IFERROR(INDEX(FILTER('OLT DOWN Tickets'!$F:$F, REGEXMATCH('OLT DOWN Tickets'!$AB:$AB, ""(?i)""&amp;TRIM(D404)), 'OLT DOWN Tickets'!$L:$L=""OLT UPLINK LOW POWER""), 1), """")"),"")</f>
        <v/>
      </c>
      <c r="L404" s="32" t="str">
        <f>IFERROR(__xludf.DUMMYFUNCTION("IFERROR(INDEX(FILTER('OLT DOWN Tickets'!$F:$F, REGEXMATCH('OLT DOWN Tickets'!$AB:$AB, ""(?i)""&amp;TRIM(D404)), 'OLT DOWN Tickets'!$L:$L=""OLT UPLINK DOWN""), 1), """")"),"")</f>
        <v/>
      </c>
      <c r="M404" s="32" t="str">
        <f>IFERROR(__xludf.DUMMYFUNCTION("IFERROR(INDEX(FILTER('OLT DOWN Tickets'!$F:$F, REGEXMATCH('OLT DOWN Tickets'!$AB:$AB, ""(?i)""&amp;TRIM(D404)), 'OLT DOWN Tickets'!$L:$L=""OLT SERVICE DEGRADATION""), 1), """")
"),"")</f>
        <v/>
      </c>
      <c r="N404" s="6" t="b">
        <v>0</v>
      </c>
      <c r="O404" s="6" t="b">
        <v>0</v>
      </c>
      <c r="P404" s="6" t="b">
        <v>0</v>
      </c>
      <c r="Q404" s="6" t="b">
        <v>0</v>
      </c>
      <c r="R404" s="6"/>
      <c r="S404" s="6"/>
      <c r="T404" s="6"/>
      <c r="U404" s="6"/>
    </row>
    <row r="405">
      <c r="A405" s="19"/>
      <c r="B405" s="26" t="s">
        <v>687</v>
      </c>
      <c r="C405" s="26" t="s">
        <v>704</v>
      </c>
      <c r="D405" s="27" t="s">
        <v>705</v>
      </c>
      <c r="E405" s="6" t="b">
        <f t="shared" si="1"/>
        <v>1</v>
      </c>
      <c r="F405" s="6" t="b">
        <f>COUNTIFS('OLT DOWN Tickets'!$AB:$AB, "*" &amp; D405 &amp; "*", 'OLT DOWN Tickets'!$L:$L, "OLT DOWN") &gt; 0</f>
        <v>0</v>
      </c>
      <c r="G405" s="6" t="b">
        <f>COUNTIFS('OLT DOWN Tickets'!$AB:$AB, "*" &amp; D405 &amp; "*", 'OLT DOWN Tickets'!$L:$L, "OLT UPLINK LOW POWER") &gt; 0</f>
        <v>0</v>
      </c>
      <c r="H405" s="6" t="b">
        <f>COUNTIFS('OLT DOWN Tickets'!$AB:$AB, "*" &amp; D405 &amp; "*", 'OLT DOWN Tickets'!$L:$L, "OLT UPLINK DOWN") &gt; 0</f>
        <v>0</v>
      </c>
      <c r="I405" s="6" t="b">
        <f>COUNTIFS('OLT DOWN Tickets'!$AB:$AB, "*" &amp; D405 &amp; "*", 'OLT DOWN Tickets'!$L:$L, "OLT SERVICE DEGRADATION") &gt; 0</f>
        <v>0</v>
      </c>
      <c r="J405" s="32" t="str">
        <f>IFERROR(__xludf.DUMMYFUNCTION("IFERROR(INDEX(FILTER('OLT DOWN Tickets'!$F:$F, REGEXMATCH('OLT DOWN Tickets'!$AB:$AB, ""(?i)""&amp;TRIM(D405)), 'OLT DOWN Tickets'!$L:$L=""OLT DOWN""), 1), """")"),"")</f>
        <v/>
      </c>
      <c r="K405" s="32" t="str">
        <f>IFERROR(__xludf.DUMMYFUNCTION("IFERROR(INDEX(FILTER('OLT DOWN Tickets'!$F:$F, REGEXMATCH('OLT DOWN Tickets'!$AB:$AB, ""(?i)""&amp;TRIM(D405)), 'OLT DOWN Tickets'!$L:$L=""OLT UPLINK LOW POWER""), 1), """")"),"")</f>
        <v/>
      </c>
      <c r="L405" s="32" t="str">
        <f>IFERROR(__xludf.DUMMYFUNCTION("IFERROR(INDEX(FILTER('OLT DOWN Tickets'!$F:$F, REGEXMATCH('OLT DOWN Tickets'!$AB:$AB, ""(?i)""&amp;TRIM(D405)), 'OLT DOWN Tickets'!$L:$L=""OLT UPLINK DOWN""), 1), """")"),"")</f>
        <v/>
      </c>
      <c r="M405" s="32" t="str">
        <f>IFERROR(__xludf.DUMMYFUNCTION("IFERROR(INDEX(FILTER('OLT DOWN Tickets'!$F:$F, REGEXMATCH('OLT DOWN Tickets'!$AB:$AB, ""(?i)""&amp;TRIM(D405)), 'OLT DOWN Tickets'!$L:$L=""OLT SERVICE DEGRADATION""), 1), """")
"),"")</f>
        <v/>
      </c>
      <c r="N405" s="6" t="b">
        <v>0</v>
      </c>
      <c r="O405" s="6" t="b">
        <v>0</v>
      </c>
      <c r="P405" s="6" t="b">
        <v>0</v>
      </c>
      <c r="Q405" s="6" t="b">
        <v>0</v>
      </c>
      <c r="R405" s="6"/>
      <c r="S405" s="6"/>
      <c r="T405" s="6"/>
      <c r="U405" s="6"/>
    </row>
    <row r="406">
      <c r="A406" s="19"/>
      <c r="B406" s="26" t="s">
        <v>687</v>
      </c>
      <c r="C406" s="26" t="s">
        <v>704</v>
      </c>
      <c r="D406" s="27" t="s">
        <v>706</v>
      </c>
      <c r="E406" s="6" t="b">
        <f t="shared" si="1"/>
        <v>1</v>
      </c>
      <c r="F406" s="6" t="b">
        <f>COUNTIFS('OLT DOWN Tickets'!$AB:$AB, "*" &amp; D406 &amp; "*", 'OLT DOWN Tickets'!$L:$L, "OLT DOWN") &gt; 0</f>
        <v>0</v>
      </c>
      <c r="G406" s="6" t="b">
        <f>COUNTIFS('OLT DOWN Tickets'!$AB:$AB, "*" &amp; D406 &amp; "*", 'OLT DOWN Tickets'!$L:$L, "OLT UPLINK LOW POWER") &gt; 0</f>
        <v>0</v>
      </c>
      <c r="H406" s="6" t="b">
        <f>COUNTIFS('OLT DOWN Tickets'!$AB:$AB, "*" &amp; D406 &amp; "*", 'OLT DOWN Tickets'!$L:$L, "OLT UPLINK DOWN") &gt; 0</f>
        <v>0</v>
      </c>
      <c r="I406" s="6" t="b">
        <f>COUNTIFS('OLT DOWN Tickets'!$AB:$AB, "*" &amp; D406 &amp; "*", 'OLT DOWN Tickets'!$L:$L, "OLT SERVICE DEGRADATION") &gt; 0</f>
        <v>0</v>
      </c>
      <c r="J406" s="32" t="str">
        <f>IFERROR(__xludf.DUMMYFUNCTION("IFERROR(INDEX(FILTER('OLT DOWN Tickets'!$F:$F, REGEXMATCH('OLT DOWN Tickets'!$AB:$AB, ""(?i)""&amp;TRIM(D406)), 'OLT DOWN Tickets'!$L:$L=""OLT DOWN""), 1), """")"),"")</f>
        <v/>
      </c>
      <c r="K406" s="32" t="str">
        <f>IFERROR(__xludf.DUMMYFUNCTION("IFERROR(INDEX(FILTER('OLT DOWN Tickets'!$F:$F, REGEXMATCH('OLT DOWN Tickets'!$AB:$AB, ""(?i)""&amp;TRIM(D406)), 'OLT DOWN Tickets'!$L:$L=""OLT UPLINK LOW POWER""), 1), """")"),"")</f>
        <v/>
      </c>
      <c r="L406" s="32" t="str">
        <f>IFERROR(__xludf.DUMMYFUNCTION("IFERROR(INDEX(FILTER('OLT DOWN Tickets'!$F:$F, REGEXMATCH('OLT DOWN Tickets'!$AB:$AB, ""(?i)""&amp;TRIM(D406)), 'OLT DOWN Tickets'!$L:$L=""OLT UPLINK DOWN""), 1), """")"),"")</f>
        <v/>
      </c>
      <c r="M406" s="32" t="str">
        <f>IFERROR(__xludf.DUMMYFUNCTION("IFERROR(INDEX(FILTER('OLT DOWN Tickets'!$F:$F, REGEXMATCH('OLT DOWN Tickets'!$AB:$AB, ""(?i)""&amp;TRIM(D406)), 'OLT DOWN Tickets'!$L:$L=""OLT SERVICE DEGRADATION""), 1), """")
"),"")</f>
        <v/>
      </c>
      <c r="N406" s="6" t="b">
        <v>0</v>
      </c>
      <c r="O406" s="6" t="b">
        <v>0</v>
      </c>
      <c r="P406" s="6" t="b">
        <v>0</v>
      </c>
      <c r="Q406" s="6" t="b">
        <v>0</v>
      </c>
      <c r="R406" s="6"/>
      <c r="S406" s="6"/>
      <c r="T406" s="6"/>
      <c r="U406" s="6"/>
    </row>
    <row r="407">
      <c r="A407" s="19"/>
      <c r="B407" s="26" t="s">
        <v>687</v>
      </c>
      <c r="C407" s="26" t="s">
        <v>707</v>
      </c>
      <c r="D407" s="27" t="s">
        <v>708</v>
      </c>
      <c r="E407" s="6" t="b">
        <f t="shared" si="1"/>
        <v>1</v>
      </c>
      <c r="F407" s="6" t="b">
        <f>COUNTIFS('OLT DOWN Tickets'!$AB:$AB, "*" &amp; D407 &amp; "*", 'OLT DOWN Tickets'!$L:$L, "OLT DOWN") &gt; 0</f>
        <v>0</v>
      </c>
      <c r="G407" s="6" t="b">
        <f>COUNTIFS('OLT DOWN Tickets'!$AB:$AB, "*" &amp; D407 &amp; "*", 'OLT DOWN Tickets'!$L:$L, "OLT UPLINK LOW POWER") &gt; 0</f>
        <v>0</v>
      </c>
      <c r="H407" s="6" t="b">
        <f>COUNTIFS('OLT DOWN Tickets'!$AB:$AB, "*" &amp; D407 &amp; "*", 'OLT DOWN Tickets'!$L:$L, "OLT UPLINK DOWN") &gt; 0</f>
        <v>0</v>
      </c>
      <c r="I407" s="6" t="b">
        <f>COUNTIFS('OLT DOWN Tickets'!$AB:$AB, "*" &amp; D407 &amp; "*", 'OLT DOWN Tickets'!$L:$L, "OLT SERVICE DEGRADATION") &gt; 0</f>
        <v>0</v>
      </c>
      <c r="J407" s="32" t="str">
        <f>IFERROR(__xludf.DUMMYFUNCTION("IFERROR(INDEX(FILTER('OLT DOWN Tickets'!$F:$F, REGEXMATCH('OLT DOWN Tickets'!$AB:$AB, ""(?i)""&amp;TRIM(D407)), 'OLT DOWN Tickets'!$L:$L=""OLT DOWN""), 1), """")"),"")</f>
        <v/>
      </c>
      <c r="K407" s="32" t="str">
        <f>IFERROR(__xludf.DUMMYFUNCTION("IFERROR(INDEX(FILTER('OLT DOWN Tickets'!$F:$F, REGEXMATCH('OLT DOWN Tickets'!$AB:$AB, ""(?i)""&amp;TRIM(D407)), 'OLT DOWN Tickets'!$L:$L=""OLT UPLINK LOW POWER""), 1), """")"),"")</f>
        <v/>
      </c>
      <c r="L407" s="32" t="str">
        <f>IFERROR(__xludf.DUMMYFUNCTION("IFERROR(INDEX(FILTER('OLT DOWN Tickets'!$F:$F, REGEXMATCH('OLT DOWN Tickets'!$AB:$AB, ""(?i)""&amp;TRIM(D407)), 'OLT DOWN Tickets'!$L:$L=""OLT UPLINK DOWN""), 1), """")"),"")</f>
        <v/>
      </c>
      <c r="M407" s="32" t="str">
        <f>IFERROR(__xludf.DUMMYFUNCTION("IFERROR(INDEX(FILTER('OLT DOWN Tickets'!$F:$F, REGEXMATCH('OLT DOWN Tickets'!$AB:$AB, ""(?i)""&amp;TRIM(D407)), 'OLT DOWN Tickets'!$L:$L=""OLT SERVICE DEGRADATION""), 1), """")
"),"")</f>
        <v/>
      </c>
      <c r="N407" s="6" t="b">
        <v>0</v>
      </c>
      <c r="O407" s="6" t="b">
        <v>0</v>
      </c>
      <c r="P407" s="6" t="b">
        <v>0</v>
      </c>
      <c r="Q407" s="6" t="b">
        <v>0</v>
      </c>
      <c r="R407" s="6"/>
      <c r="S407" s="6"/>
      <c r="T407" s="6"/>
      <c r="U407" s="6"/>
    </row>
    <row r="408">
      <c r="A408" s="19"/>
      <c r="B408" s="26" t="s">
        <v>687</v>
      </c>
      <c r="C408" s="26" t="s">
        <v>707</v>
      </c>
      <c r="D408" s="27" t="s">
        <v>709</v>
      </c>
      <c r="E408" s="6" t="b">
        <f t="shared" si="1"/>
        <v>1</v>
      </c>
      <c r="F408" s="6" t="b">
        <f>COUNTIFS('OLT DOWN Tickets'!$AB:$AB, "*" &amp; D408 &amp; "*", 'OLT DOWN Tickets'!$L:$L, "OLT DOWN") &gt; 0</f>
        <v>0</v>
      </c>
      <c r="G408" s="6" t="b">
        <f>COUNTIFS('OLT DOWN Tickets'!$AB:$AB, "*" &amp; D408 &amp; "*", 'OLT DOWN Tickets'!$L:$L, "OLT UPLINK LOW POWER") &gt; 0</f>
        <v>0</v>
      </c>
      <c r="H408" s="6" t="b">
        <f>COUNTIFS('OLT DOWN Tickets'!$AB:$AB, "*" &amp; D408 &amp; "*", 'OLT DOWN Tickets'!$L:$L, "OLT UPLINK DOWN") &gt; 0</f>
        <v>0</v>
      </c>
      <c r="I408" s="6" t="b">
        <f>COUNTIFS('OLT DOWN Tickets'!$AB:$AB, "*" &amp; D408 &amp; "*", 'OLT DOWN Tickets'!$L:$L, "OLT SERVICE DEGRADATION") &gt; 0</f>
        <v>0</v>
      </c>
      <c r="J408" s="32" t="str">
        <f>IFERROR(__xludf.DUMMYFUNCTION("IFERROR(INDEX(FILTER('OLT DOWN Tickets'!$F:$F, REGEXMATCH('OLT DOWN Tickets'!$AB:$AB, ""(?i)""&amp;TRIM(D408)), 'OLT DOWN Tickets'!$L:$L=""OLT DOWN""), 1), """")"),"")</f>
        <v/>
      </c>
      <c r="K408" s="32" t="str">
        <f>IFERROR(__xludf.DUMMYFUNCTION("IFERROR(INDEX(FILTER('OLT DOWN Tickets'!$F:$F, REGEXMATCH('OLT DOWN Tickets'!$AB:$AB, ""(?i)""&amp;TRIM(D408)), 'OLT DOWN Tickets'!$L:$L=""OLT UPLINK LOW POWER""), 1), """")"),"")</f>
        <v/>
      </c>
      <c r="L408" s="32" t="str">
        <f>IFERROR(__xludf.DUMMYFUNCTION("IFERROR(INDEX(FILTER('OLT DOWN Tickets'!$F:$F, REGEXMATCH('OLT DOWN Tickets'!$AB:$AB, ""(?i)""&amp;TRIM(D408)), 'OLT DOWN Tickets'!$L:$L=""OLT UPLINK DOWN""), 1), """")"),"")</f>
        <v/>
      </c>
      <c r="M408" s="32" t="str">
        <f>IFERROR(__xludf.DUMMYFUNCTION("IFERROR(INDEX(FILTER('OLT DOWN Tickets'!$F:$F, REGEXMATCH('OLT DOWN Tickets'!$AB:$AB, ""(?i)""&amp;TRIM(D408)), 'OLT DOWN Tickets'!$L:$L=""OLT SERVICE DEGRADATION""), 1), """")
"),"")</f>
        <v/>
      </c>
      <c r="N408" s="6" t="b">
        <v>0</v>
      </c>
      <c r="O408" s="6" t="b">
        <v>0</v>
      </c>
      <c r="P408" s="6" t="b">
        <v>0</v>
      </c>
      <c r="Q408" s="6" t="b">
        <v>0</v>
      </c>
      <c r="R408" s="6"/>
      <c r="S408" s="6"/>
      <c r="T408" s="6"/>
      <c r="U408" s="6"/>
    </row>
    <row r="409">
      <c r="A409" s="19"/>
      <c r="B409" s="26" t="s">
        <v>687</v>
      </c>
      <c r="C409" s="26" t="s">
        <v>710</v>
      </c>
      <c r="D409" s="27" t="s">
        <v>711</v>
      </c>
      <c r="E409" s="6" t="b">
        <f t="shared" si="1"/>
        <v>1</v>
      </c>
      <c r="F409" s="6" t="b">
        <f>COUNTIFS('OLT DOWN Tickets'!$AB:$AB, "*" &amp; D409 &amp; "*", 'OLT DOWN Tickets'!$L:$L, "OLT DOWN") &gt; 0</f>
        <v>0</v>
      </c>
      <c r="G409" s="6" t="b">
        <f>COUNTIFS('OLT DOWN Tickets'!$AB:$AB, "*" &amp; D409 &amp; "*", 'OLT DOWN Tickets'!$L:$L, "OLT UPLINK LOW POWER") &gt; 0</f>
        <v>0</v>
      </c>
      <c r="H409" s="6" t="b">
        <f>COUNTIFS('OLT DOWN Tickets'!$AB:$AB, "*" &amp; D409 &amp; "*", 'OLT DOWN Tickets'!$L:$L, "OLT UPLINK DOWN") &gt; 0</f>
        <v>0</v>
      </c>
      <c r="I409" s="6" t="b">
        <f>COUNTIFS('OLT DOWN Tickets'!$AB:$AB, "*" &amp; D409 &amp; "*", 'OLT DOWN Tickets'!$L:$L, "OLT SERVICE DEGRADATION") &gt; 0</f>
        <v>0</v>
      </c>
      <c r="J409" s="32" t="str">
        <f>IFERROR(__xludf.DUMMYFUNCTION("IFERROR(INDEX(FILTER('OLT DOWN Tickets'!$F:$F, REGEXMATCH('OLT DOWN Tickets'!$AB:$AB, ""(?i)""&amp;TRIM(D409)), 'OLT DOWN Tickets'!$L:$L=""OLT DOWN""), 1), """")"),"")</f>
        <v/>
      </c>
      <c r="K409" s="32" t="str">
        <f>IFERROR(__xludf.DUMMYFUNCTION("IFERROR(INDEX(FILTER('OLT DOWN Tickets'!$F:$F, REGEXMATCH('OLT DOWN Tickets'!$AB:$AB, ""(?i)""&amp;TRIM(D409)), 'OLT DOWN Tickets'!$L:$L=""OLT UPLINK LOW POWER""), 1), """")"),"")</f>
        <v/>
      </c>
      <c r="L409" s="32" t="str">
        <f>IFERROR(__xludf.DUMMYFUNCTION("IFERROR(INDEX(FILTER('OLT DOWN Tickets'!$F:$F, REGEXMATCH('OLT DOWN Tickets'!$AB:$AB, ""(?i)""&amp;TRIM(D409)), 'OLT DOWN Tickets'!$L:$L=""OLT UPLINK DOWN""), 1), """")"),"")</f>
        <v/>
      </c>
      <c r="M409" s="32" t="str">
        <f>IFERROR(__xludf.DUMMYFUNCTION("IFERROR(INDEX(FILTER('OLT DOWN Tickets'!$F:$F, REGEXMATCH('OLT DOWN Tickets'!$AB:$AB, ""(?i)""&amp;TRIM(D409)), 'OLT DOWN Tickets'!$L:$L=""OLT SERVICE DEGRADATION""), 1), """")
"),"")</f>
        <v/>
      </c>
      <c r="N409" s="6" t="b">
        <v>0</v>
      </c>
      <c r="O409" s="6" t="b">
        <v>0</v>
      </c>
      <c r="P409" s="6" t="b">
        <v>0</v>
      </c>
      <c r="Q409" s="6" t="b">
        <v>0</v>
      </c>
      <c r="R409" s="6"/>
      <c r="S409" s="6"/>
      <c r="T409" s="6"/>
      <c r="U409" s="6"/>
    </row>
    <row r="410">
      <c r="A410" s="19"/>
      <c r="B410" s="26" t="s">
        <v>687</v>
      </c>
      <c r="C410" s="26" t="s">
        <v>712</v>
      </c>
      <c r="D410" s="27" t="s">
        <v>713</v>
      </c>
      <c r="E410" s="6" t="b">
        <f t="shared" si="1"/>
        <v>1</v>
      </c>
      <c r="F410" s="6" t="b">
        <f>COUNTIFS('OLT DOWN Tickets'!$AB:$AB, "*" &amp; D410 &amp; "*", 'OLT DOWN Tickets'!$L:$L, "OLT DOWN") &gt; 0</f>
        <v>0</v>
      </c>
      <c r="G410" s="6" t="b">
        <f>COUNTIFS('OLT DOWN Tickets'!$AB:$AB, "*" &amp; D410 &amp; "*", 'OLT DOWN Tickets'!$L:$L, "OLT UPLINK LOW POWER") &gt; 0</f>
        <v>0</v>
      </c>
      <c r="H410" s="6" t="b">
        <f>COUNTIFS('OLT DOWN Tickets'!$AB:$AB, "*" &amp; D410 &amp; "*", 'OLT DOWN Tickets'!$L:$L, "OLT UPLINK DOWN") &gt; 0</f>
        <v>0</v>
      </c>
      <c r="I410" s="6" t="b">
        <f>COUNTIFS('OLT DOWN Tickets'!$AB:$AB, "*" &amp; D410 &amp; "*", 'OLT DOWN Tickets'!$L:$L, "OLT SERVICE DEGRADATION") &gt; 0</f>
        <v>0</v>
      </c>
      <c r="J410" s="32" t="str">
        <f>IFERROR(__xludf.DUMMYFUNCTION("IFERROR(INDEX(FILTER('OLT DOWN Tickets'!$F:$F, REGEXMATCH('OLT DOWN Tickets'!$AB:$AB, ""(?i)""&amp;TRIM(D410)), 'OLT DOWN Tickets'!$L:$L=""OLT DOWN""), 1), """")"),"")</f>
        <v/>
      </c>
      <c r="K410" s="32" t="str">
        <f>IFERROR(__xludf.DUMMYFUNCTION("IFERROR(INDEX(FILTER('OLT DOWN Tickets'!$F:$F, REGEXMATCH('OLT DOWN Tickets'!$AB:$AB, ""(?i)""&amp;TRIM(D410)), 'OLT DOWN Tickets'!$L:$L=""OLT UPLINK LOW POWER""), 1), """")"),"")</f>
        <v/>
      </c>
      <c r="L410" s="32" t="str">
        <f>IFERROR(__xludf.DUMMYFUNCTION("IFERROR(INDEX(FILTER('OLT DOWN Tickets'!$F:$F, REGEXMATCH('OLT DOWN Tickets'!$AB:$AB, ""(?i)""&amp;TRIM(D410)), 'OLT DOWN Tickets'!$L:$L=""OLT UPLINK DOWN""), 1), """")"),"")</f>
        <v/>
      </c>
      <c r="M410" s="32" t="str">
        <f>IFERROR(__xludf.DUMMYFUNCTION("IFERROR(INDEX(FILTER('OLT DOWN Tickets'!$F:$F, REGEXMATCH('OLT DOWN Tickets'!$AB:$AB, ""(?i)""&amp;TRIM(D410)), 'OLT DOWN Tickets'!$L:$L=""OLT SERVICE DEGRADATION""), 1), """")
"),"")</f>
        <v/>
      </c>
      <c r="N410" s="6" t="b">
        <v>0</v>
      </c>
      <c r="O410" s="6" t="b">
        <v>0</v>
      </c>
      <c r="P410" s="6" t="b">
        <v>0</v>
      </c>
      <c r="Q410" s="6" t="b">
        <v>0</v>
      </c>
      <c r="R410" s="6"/>
      <c r="S410" s="6"/>
      <c r="T410" s="6"/>
      <c r="U410" s="6"/>
    </row>
    <row r="411">
      <c r="A411" s="19"/>
      <c r="B411" s="26" t="s">
        <v>687</v>
      </c>
      <c r="C411" s="26" t="s">
        <v>325</v>
      </c>
      <c r="D411" s="27" t="s">
        <v>714</v>
      </c>
      <c r="E411" s="6" t="b">
        <f t="shared" si="1"/>
        <v>1</v>
      </c>
      <c r="F411" s="6" t="b">
        <f>COUNTIFS('OLT DOWN Tickets'!$AB:$AB, "*" &amp; D411 &amp; "*", 'OLT DOWN Tickets'!$L:$L, "OLT DOWN") &gt; 0</f>
        <v>0</v>
      </c>
      <c r="G411" s="6" t="b">
        <f>COUNTIFS('OLT DOWN Tickets'!$AB:$AB, "*" &amp; D411 &amp; "*", 'OLT DOWN Tickets'!$L:$L, "OLT UPLINK LOW POWER") &gt; 0</f>
        <v>0</v>
      </c>
      <c r="H411" s="6" t="b">
        <f>COUNTIFS('OLT DOWN Tickets'!$AB:$AB, "*" &amp; D411 &amp; "*", 'OLT DOWN Tickets'!$L:$L, "OLT UPLINK DOWN") &gt; 0</f>
        <v>0</v>
      </c>
      <c r="I411" s="6" t="b">
        <f>COUNTIFS('OLT DOWN Tickets'!$AB:$AB, "*" &amp; D411 &amp; "*", 'OLT DOWN Tickets'!$L:$L, "OLT SERVICE DEGRADATION") &gt; 0</f>
        <v>0</v>
      </c>
      <c r="J411" s="32" t="str">
        <f>IFERROR(__xludf.DUMMYFUNCTION("IFERROR(INDEX(FILTER('OLT DOWN Tickets'!$F:$F, REGEXMATCH('OLT DOWN Tickets'!$AB:$AB, ""(?i)""&amp;TRIM(D411)), 'OLT DOWN Tickets'!$L:$L=""OLT DOWN""), 1), """")"),"")</f>
        <v/>
      </c>
      <c r="K411" s="32" t="str">
        <f>IFERROR(__xludf.DUMMYFUNCTION("IFERROR(INDEX(FILTER('OLT DOWN Tickets'!$F:$F, REGEXMATCH('OLT DOWN Tickets'!$AB:$AB, ""(?i)""&amp;TRIM(D411)), 'OLT DOWN Tickets'!$L:$L=""OLT UPLINK LOW POWER""), 1), """")"),"")</f>
        <v/>
      </c>
      <c r="L411" s="32" t="str">
        <f>IFERROR(__xludf.DUMMYFUNCTION("IFERROR(INDEX(FILTER('OLT DOWN Tickets'!$F:$F, REGEXMATCH('OLT DOWN Tickets'!$AB:$AB, ""(?i)""&amp;TRIM(D411)), 'OLT DOWN Tickets'!$L:$L=""OLT UPLINK DOWN""), 1), """")"),"")</f>
        <v/>
      </c>
      <c r="M411" s="32" t="str">
        <f>IFERROR(__xludf.DUMMYFUNCTION("IFERROR(INDEX(FILTER('OLT DOWN Tickets'!$F:$F, REGEXMATCH('OLT DOWN Tickets'!$AB:$AB, ""(?i)""&amp;TRIM(D411)), 'OLT DOWN Tickets'!$L:$L=""OLT SERVICE DEGRADATION""), 1), """")
"),"")</f>
        <v/>
      </c>
      <c r="N411" s="6" t="b">
        <v>0</v>
      </c>
      <c r="O411" s="6" t="b">
        <v>0</v>
      </c>
      <c r="P411" s="6" t="b">
        <v>0</v>
      </c>
      <c r="Q411" s="6" t="b">
        <v>0</v>
      </c>
      <c r="R411" s="6"/>
      <c r="S411" s="6"/>
      <c r="T411" s="6"/>
      <c r="U411" s="6"/>
    </row>
    <row r="412">
      <c r="A412" s="19"/>
      <c r="B412" s="26" t="s">
        <v>687</v>
      </c>
      <c r="C412" s="26" t="s">
        <v>715</v>
      </c>
      <c r="D412" s="27" t="s">
        <v>716</v>
      </c>
      <c r="E412" s="6" t="b">
        <f t="shared" si="1"/>
        <v>1</v>
      </c>
      <c r="F412" s="6" t="b">
        <f>COUNTIFS('OLT DOWN Tickets'!$AB:$AB, "*" &amp; D412 &amp; "*", 'OLT DOWN Tickets'!$L:$L, "OLT DOWN") &gt; 0</f>
        <v>0</v>
      </c>
      <c r="G412" s="6" t="b">
        <f>COUNTIFS('OLT DOWN Tickets'!$AB:$AB, "*" &amp; D412 &amp; "*", 'OLT DOWN Tickets'!$L:$L, "OLT UPLINK LOW POWER") &gt; 0</f>
        <v>0</v>
      </c>
      <c r="H412" s="6" t="b">
        <f>COUNTIFS('OLT DOWN Tickets'!$AB:$AB, "*" &amp; D412 &amp; "*", 'OLT DOWN Tickets'!$L:$L, "OLT UPLINK DOWN") &gt; 0</f>
        <v>0</v>
      </c>
      <c r="I412" s="6" t="b">
        <f>COUNTIFS('OLT DOWN Tickets'!$AB:$AB, "*" &amp; D412 &amp; "*", 'OLT DOWN Tickets'!$L:$L, "OLT SERVICE DEGRADATION") &gt; 0</f>
        <v>0</v>
      </c>
      <c r="J412" s="32" t="str">
        <f>IFERROR(__xludf.DUMMYFUNCTION("IFERROR(INDEX(FILTER('OLT DOWN Tickets'!$F:$F, REGEXMATCH('OLT DOWN Tickets'!$AB:$AB, ""(?i)""&amp;TRIM(D412)), 'OLT DOWN Tickets'!$L:$L=""OLT DOWN""), 1), """")"),"")</f>
        <v/>
      </c>
      <c r="K412" s="32" t="str">
        <f>IFERROR(__xludf.DUMMYFUNCTION("IFERROR(INDEX(FILTER('OLT DOWN Tickets'!$F:$F, REGEXMATCH('OLT DOWN Tickets'!$AB:$AB, ""(?i)""&amp;TRIM(D412)), 'OLT DOWN Tickets'!$L:$L=""OLT UPLINK LOW POWER""), 1), """")"),"")</f>
        <v/>
      </c>
      <c r="L412" s="32" t="str">
        <f>IFERROR(__xludf.DUMMYFUNCTION("IFERROR(INDEX(FILTER('OLT DOWN Tickets'!$F:$F, REGEXMATCH('OLT DOWN Tickets'!$AB:$AB, ""(?i)""&amp;TRIM(D412)), 'OLT DOWN Tickets'!$L:$L=""OLT UPLINK DOWN""), 1), """")"),"")</f>
        <v/>
      </c>
      <c r="M412" s="32" t="str">
        <f>IFERROR(__xludf.DUMMYFUNCTION("IFERROR(INDEX(FILTER('OLT DOWN Tickets'!$F:$F, REGEXMATCH('OLT DOWN Tickets'!$AB:$AB, ""(?i)""&amp;TRIM(D412)), 'OLT DOWN Tickets'!$L:$L=""OLT SERVICE DEGRADATION""), 1), """")
"),"")</f>
        <v/>
      </c>
      <c r="N412" s="6" t="b">
        <v>0</v>
      </c>
      <c r="O412" s="6" t="b">
        <v>0</v>
      </c>
      <c r="P412" s="6" t="b">
        <v>0</v>
      </c>
      <c r="Q412" s="6" t="b">
        <v>0</v>
      </c>
      <c r="R412" s="6"/>
      <c r="S412" s="6"/>
      <c r="T412" s="6"/>
      <c r="U412" s="6"/>
    </row>
    <row r="413">
      <c r="A413" s="19"/>
      <c r="B413" s="26" t="s">
        <v>687</v>
      </c>
      <c r="C413" s="26" t="s">
        <v>715</v>
      </c>
      <c r="D413" s="27" t="s">
        <v>717</v>
      </c>
      <c r="E413" s="6" t="b">
        <f t="shared" si="1"/>
        <v>1</v>
      </c>
      <c r="F413" s="6" t="b">
        <f>COUNTIFS('OLT DOWN Tickets'!$AB:$AB, "*" &amp; D413 &amp; "*", 'OLT DOWN Tickets'!$L:$L, "OLT DOWN") &gt; 0</f>
        <v>0</v>
      </c>
      <c r="G413" s="6" t="b">
        <f>COUNTIFS('OLT DOWN Tickets'!$AB:$AB, "*" &amp; D413 &amp; "*", 'OLT DOWN Tickets'!$L:$L, "OLT UPLINK LOW POWER") &gt; 0</f>
        <v>0</v>
      </c>
      <c r="H413" s="6" t="b">
        <f>COUNTIFS('OLT DOWN Tickets'!$AB:$AB, "*" &amp; D413 &amp; "*", 'OLT DOWN Tickets'!$L:$L, "OLT UPLINK DOWN") &gt; 0</f>
        <v>0</v>
      </c>
      <c r="I413" s="6" t="b">
        <f>COUNTIFS('OLT DOWN Tickets'!$AB:$AB, "*" &amp; D413 &amp; "*", 'OLT DOWN Tickets'!$L:$L, "OLT SERVICE DEGRADATION") &gt; 0</f>
        <v>0</v>
      </c>
      <c r="J413" s="32" t="str">
        <f>IFERROR(__xludf.DUMMYFUNCTION("IFERROR(INDEX(FILTER('OLT DOWN Tickets'!$F:$F, REGEXMATCH('OLT DOWN Tickets'!$AB:$AB, ""(?i)""&amp;TRIM(D413)), 'OLT DOWN Tickets'!$L:$L=""OLT DOWN""), 1), """")"),"")</f>
        <v/>
      </c>
      <c r="K413" s="32" t="str">
        <f>IFERROR(__xludf.DUMMYFUNCTION("IFERROR(INDEX(FILTER('OLT DOWN Tickets'!$F:$F, REGEXMATCH('OLT DOWN Tickets'!$AB:$AB, ""(?i)""&amp;TRIM(D413)), 'OLT DOWN Tickets'!$L:$L=""OLT UPLINK LOW POWER""), 1), """")"),"")</f>
        <v/>
      </c>
      <c r="L413" s="32" t="str">
        <f>IFERROR(__xludf.DUMMYFUNCTION("IFERROR(INDEX(FILTER('OLT DOWN Tickets'!$F:$F, REGEXMATCH('OLT DOWN Tickets'!$AB:$AB, ""(?i)""&amp;TRIM(D413)), 'OLT DOWN Tickets'!$L:$L=""OLT UPLINK DOWN""), 1), """")"),"")</f>
        <v/>
      </c>
      <c r="M413" s="32" t="str">
        <f>IFERROR(__xludf.DUMMYFUNCTION("IFERROR(INDEX(FILTER('OLT DOWN Tickets'!$F:$F, REGEXMATCH('OLT DOWN Tickets'!$AB:$AB, ""(?i)""&amp;TRIM(D413)), 'OLT DOWN Tickets'!$L:$L=""OLT SERVICE DEGRADATION""), 1), """")
"),"")</f>
        <v/>
      </c>
      <c r="N413" s="6" t="b">
        <v>0</v>
      </c>
      <c r="O413" s="6" t="b">
        <v>0</v>
      </c>
      <c r="P413" s="6" t="b">
        <v>0</v>
      </c>
      <c r="Q413" s="6" t="b">
        <v>0</v>
      </c>
      <c r="R413" s="6"/>
      <c r="S413" s="6"/>
      <c r="T413" s="6"/>
      <c r="U413" s="6"/>
    </row>
    <row r="414">
      <c r="A414" s="19"/>
      <c r="B414" s="26" t="s">
        <v>687</v>
      </c>
      <c r="C414" s="26" t="s">
        <v>718</v>
      </c>
      <c r="D414" s="27" t="s">
        <v>719</v>
      </c>
      <c r="E414" s="6" t="b">
        <f t="shared" si="1"/>
        <v>1</v>
      </c>
      <c r="F414" s="6" t="b">
        <f>COUNTIFS('OLT DOWN Tickets'!$AB:$AB, "*" &amp; D414 &amp; "*", 'OLT DOWN Tickets'!$L:$L, "OLT DOWN") &gt; 0</f>
        <v>0</v>
      </c>
      <c r="G414" s="6" t="b">
        <f>COUNTIFS('OLT DOWN Tickets'!$AB:$AB, "*" &amp; D414 &amp; "*", 'OLT DOWN Tickets'!$L:$L, "OLT UPLINK LOW POWER") &gt; 0</f>
        <v>0</v>
      </c>
      <c r="H414" s="6" t="b">
        <f>COUNTIFS('OLT DOWN Tickets'!$AB:$AB, "*" &amp; D414 &amp; "*", 'OLT DOWN Tickets'!$L:$L, "OLT UPLINK DOWN") &gt; 0</f>
        <v>0</v>
      </c>
      <c r="I414" s="6" t="b">
        <f>COUNTIFS('OLT DOWN Tickets'!$AB:$AB, "*" &amp; D414 &amp; "*", 'OLT DOWN Tickets'!$L:$L, "OLT SERVICE DEGRADATION") &gt; 0</f>
        <v>0</v>
      </c>
      <c r="J414" s="32" t="str">
        <f>IFERROR(__xludf.DUMMYFUNCTION("IFERROR(INDEX(FILTER('OLT DOWN Tickets'!$F:$F, REGEXMATCH('OLT DOWN Tickets'!$AB:$AB, ""(?i)""&amp;TRIM(D414)), 'OLT DOWN Tickets'!$L:$L=""OLT DOWN""), 1), """")"),"")</f>
        <v/>
      </c>
      <c r="K414" s="32" t="str">
        <f>IFERROR(__xludf.DUMMYFUNCTION("IFERROR(INDEX(FILTER('OLT DOWN Tickets'!$F:$F, REGEXMATCH('OLT DOWN Tickets'!$AB:$AB, ""(?i)""&amp;TRIM(D414)), 'OLT DOWN Tickets'!$L:$L=""OLT UPLINK LOW POWER""), 1), """")"),"")</f>
        <v/>
      </c>
      <c r="L414" s="32" t="str">
        <f>IFERROR(__xludf.DUMMYFUNCTION("IFERROR(INDEX(FILTER('OLT DOWN Tickets'!$F:$F, REGEXMATCH('OLT DOWN Tickets'!$AB:$AB, ""(?i)""&amp;TRIM(D414)), 'OLT DOWN Tickets'!$L:$L=""OLT UPLINK DOWN""), 1), """")"),"")</f>
        <v/>
      </c>
      <c r="M414" s="32" t="str">
        <f>IFERROR(__xludf.DUMMYFUNCTION("IFERROR(INDEX(FILTER('OLT DOWN Tickets'!$F:$F, REGEXMATCH('OLT DOWN Tickets'!$AB:$AB, ""(?i)""&amp;TRIM(D414)), 'OLT DOWN Tickets'!$L:$L=""OLT SERVICE DEGRADATION""), 1), """")
"),"")</f>
        <v/>
      </c>
      <c r="N414" s="6" t="b">
        <v>0</v>
      </c>
      <c r="O414" s="6" t="b">
        <v>0</v>
      </c>
      <c r="P414" s="6" t="b">
        <v>0</v>
      </c>
      <c r="Q414" s="6" t="b">
        <v>0</v>
      </c>
      <c r="R414" s="6"/>
      <c r="S414" s="6"/>
      <c r="T414" s="6"/>
      <c r="U414" s="6"/>
    </row>
    <row r="415">
      <c r="A415" s="19"/>
      <c r="B415" s="26" t="s">
        <v>687</v>
      </c>
      <c r="C415" s="26" t="s">
        <v>718</v>
      </c>
      <c r="D415" s="27" t="s">
        <v>720</v>
      </c>
      <c r="E415" s="6" t="b">
        <f t="shared" si="1"/>
        <v>1</v>
      </c>
      <c r="F415" s="6" t="b">
        <f>COUNTIFS('OLT DOWN Tickets'!$AB:$AB, "*" &amp; D415 &amp; "*", 'OLT DOWN Tickets'!$L:$L, "OLT DOWN") &gt; 0</f>
        <v>0</v>
      </c>
      <c r="G415" s="6" t="b">
        <f>COUNTIFS('OLT DOWN Tickets'!$AB:$AB, "*" &amp; D415 &amp; "*", 'OLT DOWN Tickets'!$L:$L, "OLT UPLINK LOW POWER") &gt; 0</f>
        <v>0</v>
      </c>
      <c r="H415" s="6" t="b">
        <f>COUNTIFS('OLT DOWN Tickets'!$AB:$AB, "*" &amp; D415 &amp; "*", 'OLT DOWN Tickets'!$L:$L, "OLT UPLINK DOWN") &gt; 0</f>
        <v>0</v>
      </c>
      <c r="I415" s="6" t="b">
        <f>COUNTIFS('OLT DOWN Tickets'!$AB:$AB, "*" &amp; D415 &amp; "*", 'OLT DOWN Tickets'!$L:$L, "OLT SERVICE DEGRADATION") &gt; 0</f>
        <v>0</v>
      </c>
      <c r="J415" s="32" t="str">
        <f>IFERROR(__xludf.DUMMYFUNCTION("IFERROR(INDEX(FILTER('OLT DOWN Tickets'!$F:$F, REGEXMATCH('OLT DOWN Tickets'!$AB:$AB, ""(?i)""&amp;TRIM(D415)), 'OLT DOWN Tickets'!$L:$L=""OLT DOWN""), 1), """")"),"")</f>
        <v/>
      </c>
      <c r="K415" s="32" t="str">
        <f>IFERROR(__xludf.DUMMYFUNCTION("IFERROR(INDEX(FILTER('OLT DOWN Tickets'!$F:$F, REGEXMATCH('OLT DOWN Tickets'!$AB:$AB, ""(?i)""&amp;TRIM(D415)), 'OLT DOWN Tickets'!$L:$L=""OLT UPLINK LOW POWER""), 1), """")"),"")</f>
        <v/>
      </c>
      <c r="L415" s="32" t="str">
        <f>IFERROR(__xludf.DUMMYFUNCTION("IFERROR(INDEX(FILTER('OLT DOWN Tickets'!$F:$F, REGEXMATCH('OLT DOWN Tickets'!$AB:$AB, ""(?i)""&amp;TRIM(D415)), 'OLT DOWN Tickets'!$L:$L=""OLT UPLINK DOWN""), 1), """")"),"")</f>
        <v/>
      </c>
      <c r="M415" s="32" t="str">
        <f>IFERROR(__xludf.DUMMYFUNCTION("IFERROR(INDEX(FILTER('OLT DOWN Tickets'!$F:$F, REGEXMATCH('OLT DOWN Tickets'!$AB:$AB, ""(?i)""&amp;TRIM(D415)), 'OLT DOWN Tickets'!$L:$L=""OLT SERVICE DEGRADATION""), 1), """")
"),"")</f>
        <v/>
      </c>
      <c r="N415" s="6" t="b">
        <v>0</v>
      </c>
      <c r="O415" s="6" t="b">
        <v>0</v>
      </c>
      <c r="P415" s="6" t="b">
        <v>0</v>
      </c>
      <c r="Q415" s="6" t="b">
        <v>0</v>
      </c>
      <c r="R415" s="6"/>
      <c r="S415" s="6"/>
      <c r="T415" s="6"/>
      <c r="U415" s="6"/>
    </row>
    <row r="416">
      <c r="A416" s="19"/>
      <c r="B416" s="26" t="s">
        <v>687</v>
      </c>
      <c r="C416" s="26" t="s">
        <v>718</v>
      </c>
      <c r="D416" s="27" t="s">
        <v>721</v>
      </c>
      <c r="E416" s="6" t="b">
        <f t="shared" si="1"/>
        <v>1</v>
      </c>
      <c r="F416" s="6" t="b">
        <f>COUNTIFS('OLT DOWN Tickets'!$AB:$AB, "*" &amp; D416 &amp; "*", 'OLT DOWN Tickets'!$L:$L, "OLT DOWN") &gt; 0</f>
        <v>0</v>
      </c>
      <c r="G416" s="6" t="b">
        <f>COUNTIFS('OLT DOWN Tickets'!$AB:$AB, "*" &amp; D416 &amp; "*", 'OLT DOWN Tickets'!$L:$L, "OLT UPLINK LOW POWER") &gt; 0</f>
        <v>0</v>
      </c>
      <c r="H416" s="6" t="b">
        <f>COUNTIFS('OLT DOWN Tickets'!$AB:$AB, "*" &amp; D416 &amp; "*", 'OLT DOWN Tickets'!$L:$L, "OLT UPLINK DOWN") &gt; 0</f>
        <v>0</v>
      </c>
      <c r="I416" s="6" t="b">
        <f>COUNTIFS('OLT DOWN Tickets'!$AB:$AB, "*" &amp; D416 &amp; "*", 'OLT DOWN Tickets'!$L:$L, "OLT SERVICE DEGRADATION") &gt; 0</f>
        <v>0</v>
      </c>
      <c r="J416" s="32" t="str">
        <f>IFERROR(__xludf.DUMMYFUNCTION("IFERROR(INDEX(FILTER('OLT DOWN Tickets'!$F:$F, REGEXMATCH('OLT DOWN Tickets'!$AB:$AB, ""(?i)""&amp;TRIM(D416)), 'OLT DOWN Tickets'!$L:$L=""OLT DOWN""), 1), """")"),"")</f>
        <v/>
      </c>
      <c r="K416" s="32" t="str">
        <f>IFERROR(__xludf.DUMMYFUNCTION("IFERROR(INDEX(FILTER('OLT DOWN Tickets'!$F:$F, REGEXMATCH('OLT DOWN Tickets'!$AB:$AB, ""(?i)""&amp;TRIM(D416)), 'OLT DOWN Tickets'!$L:$L=""OLT UPLINK LOW POWER""), 1), """")"),"")</f>
        <v/>
      </c>
      <c r="L416" s="32" t="str">
        <f>IFERROR(__xludf.DUMMYFUNCTION("IFERROR(INDEX(FILTER('OLT DOWN Tickets'!$F:$F, REGEXMATCH('OLT DOWN Tickets'!$AB:$AB, ""(?i)""&amp;TRIM(D416)), 'OLT DOWN Tickets'!$L:$L=""OLT UPLINK DOWN""), 1), """")"),"")</f>
        <v/>
      </c>
      <c r="M416" s="32" t="str">
        <f>IFERROR(__xludf.DUMMYFUNCTION("IFERROR(INDEX(FILTER('OLT DOWN Tickets'!$F:$F, REGEXMATCH('OLT DOWN Tickets'!$AB:$AB, ""(?i)""&amp;TRIM(D416)), 'OLT DOWN Tickets'!$L:$L=""OLT SERVICE DEGRADATION""), 1), """")
"),"")</f>
        <v/>
      </c>
      <c r="N416" s="6" t="b">
        <v>0</v>
      </c>
      <c r="O416" s="6" t="b">
        <v>0</v>
      </c>
      <c r="P416" s="6" t="b">
        <v>0</v>
      </c>
      <c r="Q416" s="6" t="b">
        <v>0</v>
      </c>
      <c r="R416" s="6"/>
      <c r="S416" s="6"/>
      <c r="T416" s="6"/>
      <c r="U416" s="6"/>
    </row>
    <row r="417">
      <c r="A417" s="19"/>
      <c r="B417" s="26" t="s">
        <v>687</v>
      </c>
      <c r="C417" s="26" t="s">
        <v>718</v>
      </c>
      <c r="D417" s="27" t="s">
        <v>722</v>
      </c>
      <c r="E417" s="6" t="b">
        <f t="shared" si="1"/>
        <v>1</v>
      </c>
      <c r="F417" s="6" t="b">
        <f>COUNTIFS('OLT DOWN Tickets'!$AB:$AB, "*" &amp; D417 &amp; "*", 'OLT DOWN Tickets'!$L:$L, "OLT DOWN") &gt; 0</f>
        <v>0</v>
      </c>
      <c r="G417" s="6" t="b">
        <f>COUNTIFS('OLT DOWN Tickets'!$AB:$AB, "*" &amp; D417 &amp; "*", 'OLT DOWN Tickets'!$L:$L, "OLT UPLINK LOW POWER") &gt; 0</f>
        <v>0</v>
      </c>
      <c r="H417" s="6" t="b">
        <f>COUNTIFS('OLT DOWN Tickets'!$AB:$AB, "*" &amp; D417 &amp; "*", 'OLT DOWN Tickets'!$L:$L, "OLT UPLINK DOWN") &gt; 0</f>
        <v>0</v>
      </c>
      <c r="I417" s="6" t="b">
        <f>COUNTIFS('OLT DOWN Tickets'!$AB:$AB, "*" &amp; D417 &amp; "*", 'OLT DOWN Tickets'!$L:$L, "OLT SERVICE DEGRADATION") &gt; 0</f>
        <v>0</v>
      </c>
      <c r="J417" s="32" t="str">
        <f>IFERROR(__xludf.DUMMYFUNCTION("IFERROR(INDEX(FILTER('OLT DOWN Tickets'!$F:$F, REGEXMATCH('OLT DOWN Tickets'!$AB:$AB, ""(?i)""&amp;TRIM(D417)), 'OLT DOWN Tickets'!$L:$L=""OLT DOWN""), 1), """")"),"")</f>
        <v/>
      </c>
      <c r="K417" s="32" t="str">
        <f>IFERROR(__xludf.DUMMYFUNCTION("IFERROR(INDEX(FILTER('OLT DOWN Tickets'!$F:$F, REGEXMATCH('OLT DOWN Tickets'!$AB:$AB, ""(?i)""&amp;TRIM(D417)), 'OLT DOWN Tickets'!$L:$L=""OLT UPLINK LOW POWER""), 1), """")"),"")</f>
        <v/>
      </c>
      <c r="L417" s="32" t="str">
        <f>IFERROR(__xludf.DUMMYFUNCTION("IFERROR(INDEX(FILTER('OLT DOWN Tickets'!$F:$F, REGEXMATCH('OLT DOWN Tickets'!$AB:$AB, ""(?i)""&amp;TRIM(D417)), 'OLT DOWN Tickets'!$L:$L=""OLT UPLINK DOWN""), 1), """")"),"")</f>
        <v/>
      </c>
      <c r="M417" s="32" t="str">
        <f>IFERROR(__xludf.DUMMYFUNCTION("IFERROR(INDEX(FILTER('OLT DOWN Tickets'!$F:$F, REGEXMATCH('OLT DOWN Tickets'!$AB:$AB, ""(?i)""&amp;TRIM(D417)), 'OLT DOWN Tickets'!$L:$L=""OLT SERVICE DEGRADATION""), 1), """")
"),"")</f>
        <v/>
      </c>
      <c r="N417" s="6" t="b">
        <v>0</v>
      </c>
      <c r="O417" s="6" t="b">
        <v>0</v>
      </c>
      <c r="P417" s="6" t="b">
        <v>0</v>
      </c>
      <c r="Q417" s="6" t="b">
        <v>0</v>
      </c>
      <c r="R417" s="6"/>
      <c r="S417" s="6"/>
      <c r="T417" s="6"/>
      <c r="U417" s="6"/>
    </row>
    <row r="418">
      <c r="A418" s="19"/>
      <c r="B418" s="26" t="s">
        <v>687</v>
      </c>
      <c r="C418" s="26" t="s">
        <v>723</v>
      </c>
      <c r="D418" s="27" t="s">
        <v>724</v>
      </c>
      <c r="E418" s="6" t="b">
        <f t="shared" si="1"/>
        <v>1</v>
      </c>
      <c r="F418" s="6" t="b">
        <f>COUNTIFS('OLT DOWN Tickets'!$AB:$AB, "*" &amp; D418 &amp; "*", 'OLT DOWN Tickets'!$L:$L, "OLT DOWN") &gt; 0</f>
        <v>0</v>
      </c>
      <c r="G418" s="6" t="b">
        <f>COUNTIFS('OLT DOWN Tickets'!$AB:$AB, "*" &amp; D418 &amp; "*", 'OLT DOWN Tickets'!$L:$L, "OLT UPLINK LOW POWER") &gt; 0</f>
        <v>0</v>
      </c>
      <c r="H418" s="6" t="b">
        <f>COUNTIFS('OLT DOWN Tickets'!$AB:$AB, "*" &amp; D418 &amp; "*", 'OLT DOWN Tickets'!$L:$L, "OLT UPLINK DOWN") &gt; 0</f>
        <v>0</v>
      </c>
      <c r="I418" s="6" t="b">
        <f>COUNTIFS('OLT DOWN Tickets'!$AB:$AB, "*" &amp; D418 &amp; "*", 'OLT DOWN Tickets'!$L:$L, "OLT SERVICE DEGRADATION") &gt; 0</f>
        <v>0</v>
      </c>
      <c r="J418" s="32" t="str">
        <f>IFERROR(__xludf.DUMMYFUNCTION("IFERROR(INDEX(FILTER('OLT DOWN Tickets'!$F:$F, REGEXMATCH('OLT DOWN Tickets'!$AB:$AB, ""(?i)""&amp;TRIM(D418)), 'OLT DOWN Tickets'!$L:$L=""OLT DOWN""), 1), """")"),"")</f>
        <v/>
      </c>
      <c r="K418" s="32" t="str">
        <f>IFERROR(__xludf.DUMMYFUNCTION("IFERROR(INDEX(FILTER('OLT DOWN Tickets'!$F:$F, REGEXMATCH('OLT DOWN Tickets'!$AB:$AB, ""(?i)""&amp;TRIM(D418)), 'OLT DOWN Tickets'!$L:$L=""OLT UPLINK LOW POWER""), 1), """")"),"")</f>
        <v/>
      </c>
      <c r="L418" s="32" t="str">
        <f>IFERROR(__xludf.DUMMYFUNCTION("IFERROR(INDEX(FILTER('OLT DOWN Tickets'!$F:$F, REGEXMATCH('OLT DOWN Tickets'!$AB:$AB, ""(?i)""&amp;TRIM(D418)), 'OLT DOWN Tickets'!$L:$L=""OLT UPLINK DOWN""), 1), """")"),"")</f>
        <v/>
      </c>
      <c r="M418" s="32" t="str">
        <f>IFERROR(__xludf.DUMMYFUNCTION("IFERROR(INDEX(FILTER('OLT DOWN Tickets'!$F:$F, REGEXMATCH('OLT DOWN Tickets'!$AB:$AB, ""(?i)""&amp;TRIM(D418)), 'OLT DOWN Tickets'!$L:$L=""OLT SERVICE DEGRADATION""), 1), """")
"),"")</f>
        <v/>
      </c>
      <c r="N418" s="6" t="b">
        <v>0</v>
      </c>
      <c r="O418" s="6" t="b">
        <v>0</v>
      </c>
      <c r="P418" s="6" t="b">
        <v>0</v>
      </c>
      <c r="Q418" s="6" t="b">
        <v>0</v>
      </c>
      <c r="R418" s="6"/>
      <c r="S418" s="6"/>
      <c r="T418" s="6"/>
      <c r="U418" s="6"/>
    </row>
    <row r="419">
      <c r="A419" s="19"/>
      <c r="B419" s="26" t="s">
        <v>687</v>
      </c>
      <c r="C419" s="26" t="s">
        <v>725</v>
      </c>
      <c r="D419" s="27" t="s">
        <v>726</v>
      </c>
      <c r="E419" s="6" t="b">
        <f t="shared" si="1"/>
        <v>1</v>
      </c>
      <c r="F419" s="6" t="b">
        <f>COUNTIFS('OLT DOWN Tickets'!$AB:$AB, "*" &amp; D419 &amp; "*", 'OLT DOWN Tickets'!$L:$L, "OLT DOWN") &gt; 0</f>
        <v>0</v>
      </c>
      <c r="G419" s="6" t="b">
        <f>COUNTIFS('OLT DOWN Tickets'!$AB:$AB, "*" &amp; D419 &amp; "*", 'OLT DOWN Tickets'!$L:$L, "OLT UPLINK LOW POWER") &gt; 0</f>
        <v>0</v>
      </c>
      <c r="H419" s="6" t="b">
        <f>COUNTIFS('OLT DOWN Tickets'!$AB:$AB, "*" &amp; D419 &amp; "*", 'OLT DOWN Tickets'!$L:$L, "OLT UPLINK DOWN") &gt; 0</f>
        <v>0</v>
      </c>
      <c r="I419" s="6" t="b">
        <f>COUNTIFS('OLT DOWN Tickets'!$AB:$AB, "*" &amp; D419 &amp; "*", 'OLT DOWN Tickets'!$L:$L, "OLT SERVICE DEGRADATION") &gt; 0</f>
        <v>0</v>
      </c>
      <c r="J419" s="32" t="str">
        <f>IFERROR(__xludf.DUMMYFUNCTION("IFERROR(INDEX(FILTER('OLT DOWN Tickets'!$F:$F, REGEXMATCH('OLT DOWN Tickets'!$AB:$AB, ""(?i)""&amp;TRIM(D419)), 'OLT DOWN Tickets'!$L:$L=""OLT DOWN""), 1), """")"),"")</f>
        <v/>
      </c>
      <c r="K419" s="32" t="str">
        <f>IFERROR(__xludf.DUMMYFUNCTION("IFERROR(INDEX(FILTER('OLT DOWN Tickets'!$F:$F, REGEXMATCH('OLT DOWN Tickets'!$AB:$AB, ""(?i)""&amp;TRIM(D419)), 'OLT DOWN Tickets'!$L:$L=""OLT UPLINK LOW POWER""), 1), """")"),"")</f>
        <v/>
      </c>
      <c r="L419" s="32" t="str">
        <f>IFERROR(__xludf.DUMMYFUNCTION("IFERROR(INDEX(FILTER('OLT DOWN Tickets'!$F:$F, REGEXMATCH('OLT DOWN Tickets'!$AB:$AB, ""(?i)""&amp;TRIM(D419)), 'OLT DOWN Tickets'!$L:$L=""OLT UPLINK DOWN""), 1), """")"),"")</f>
        <v/>
      </c>
      <c r="M419" s="32" t="str">
        <f>IFERROR(__xludf.DUMMYFUNCTION("IFERROR(INDEX(FILTER('OLT DOWN Tickets'!$F:$F, REGEXMATCH('OLT DOWN Tickets'!$AB:$AB, ""(?i)""&amp;TRIM(D419)), 'OLT DOWN Tickets'!$L:$L=""OLT SERVICE DEGRADATION""), 1), """")
"),"")</f>
        <v/>
      </c>
      <c r="N419" s="6" t="b">
        <v>0</v>
      </c>
      <c r="O419" s="6" t="b">
        <v>0</v>
      </c>
      <c r="P419" s="6" t="b">
        <v>0</v>
      </c>
      <c r="Q419" s="6" t="b">
        <v>0</v>
      </c>
      <c r="R419" s="6"/>
      <c r="S419" s="6"/>
      <c r="T419" s="6"/>
      <c r="U419" s="6"/>
    </row>
    <row r="420">
      <c r="A420" s="19"/>
      <c r="B420" s="26" t="s">
        <v>687</v>
      </c>
      <c r="C420" s="26" t="s">
        <v>725</v>
      </c>
      <c r="D420" s="27" t="s">
        <v>727</v>
      </c>
      <c r="E420" s="6" t="b">
        <f t="shared" si="1"/>
        <v>1</v>
      </c>
      <c r="F420" s="6" t="b">
        <f>COUNTIFS('OLT DOWN Tickets'!$AB:$AB, "*" &amp; D420 &amp; "*", 'OLT DOWN Tickets'!$L:$L, "OLT DOWN") &gt; 0</f>
        <v>0</v>
      </c>
      <c r="G420" s="6" t="b">
        <f>COUNTIFS('OLT DOWN Tickets'!$AB:$AB, "*" &amp; D420 &amp; "*", 'OLT DOWN Tickets'!$L:$L, "OLT UPLINK LOW POWER") &gt; 0</f>
        <v>0</v>
      </c>
      <c r="H420" s="6" t="b">
        <f>COUNTIFS('OLT DOWN Tickets'!$AB:$AB, "*" &amp; D420 &amp; "*", 'OLT DOWN Tickets'!$L:$L, "OLT UPLINK DOWN") &gt; 0</f>
        <v>0</v>
      </c>
      <c r="I420" s="6" t="b">
        <f>COUNTIFS('OLT DOWN Tickets'!$AB:$AB, "*" &amp; D420 &amp; "*", 'OLT DOWN Tickets'!$L:$L, "OLT SERVICE DEGRADATION") &gt; 0</f>
        <v>0</v>
      </c>
      <c r="J420" s="32" t="str">
        <f>IFERROR(__xludf.DUMMYFUNCTION("IFERROR(INDEX(FILTER('OLT DOWN Tickets'!$F:$F, REGEXMATCH('OLT DOWN Tickets'!$AB:$AB, ""(?i)""&amp;TRIM(D420)), 'OLT DOWN Tickets'!$L:$L=""OLT DOWN""), 1), """")"),"")</f>
        <v/>
      </c>
      <c r="K420" s="32" t="str">
        <f>IFERROR(__xludf.DUMMYFUNCTION("IFERROR(INDEX(FILTER('OLT DOWN Tickets'!$F:$F, REGEXMATCH('OLT DOWN Tickets'!$AB:$AB, ""(?i)""&amp;TRIM(D420)), 'OLT DOWN Tickets'!$L:$L=""OLT UPLINK LOW POWER""), 1), """")"),"")</f>
        <v/>
      </c>
      <c r="L420" s="32" t="str">
        <f>IFERROR(__xludf.DUMMYFUNCTION("IFERROR(INDEX(FILTER('OLT DOWN Tickets'!$F:$F, REGEXMATCH('OLT DOWN Tickets'!$AB:$AB, ""(?i)""&amp;TRIM(D420)), 'OLT DOWN Tickets'!$L:$L=""OLT UPLINK DOWN""), 1), """")"),"")</f>
        <v/>
      </c>
      <c r="M420" s="32" t="str">
        <f>IFERROR(__xludf.DUMMYFUNCTION("IFERROR(INDEX(FILTER('OLT DOWN Tickets'!$F:$F, REGEXMATCH('OLT DOWN Tickets'!$AB:$AB, ""(?i)""&amp;TRIM(D420)), 'OLT DOWN Tickets'!$L:$L=""OLT SERVICE DEGRADATION""), 1), """")
"),"")</f>
        <v/>
      </c>
      <c r="N420" s="6" t="b">
        <v>0</v>
      </c>
      <c r="O420" s="6" t="b">
        <v>0</v>
      </c>
      <c r="P420" s="6" t="b">
        <v>0</v>
      </c>
      <c r="Q420" s="6" t="b">
        <v>0</v>
      </c>
      <c r="R420" s="6"/>
      <c r="S420" s="6"/>
      <c r="T420" s="6"/>
      <c r="U420" s="6"/>
    </row>
    <row r="421">
      <c r="A421" s="19"/>
      <c r="B421" s="26" t="s">
        <v>687</v>
      </c>
      <c r="C421" s="26" t="s">
        <v>728</v>
      </c>
      <c r="D421" s="27" t="s">
        <v>729</v>
      </c>
      <c r="E421" s="6" t="b">
        <f t="shared" si="1"/>
        <v>1</v>
      </c>
      <c r="F421" s="6" t="b">
        <f>COUNTIFS('OLT DOWN Tickets'!$AB:$AB, "*" &amp; D421 &amp; "*", 'OLT DOWN Tickets'!$L:$L, "OLT DOWN") &gt; 0</f>
        <v>0</v>
      </c>
      <c r="G421" s="6" t="b">
        <f>COUNTIFS('OLT DOWN Tickets'!$AB:$AB, "*" &amp; D421 &amp; "*", 'OLT DOWN Tickets'!$L:$L, "OLT UPLINK LOW POWER") &gt; 0</f>
        <v>0</v>
      </c>
      <c r="H421" s="6" t="b">
        <f>COUNTIFS('OLT DOWN Tickets'!$AB:$AB, "*" &amp; D421 &amp; "*", 'OLT DOWN Tickets'!$L:$L, "OLT UPLINK DOWN") &gt; 0</f>
        <v>0</v>
      </c>
      <c r="I421" s="6" t="b">
        <f>COUNTIFS('OLT DOWN Tickets'!$AB:$AB, "*" &amp; D421 &amp; "*", 'OLT DOWN Tickets'!$L:$L, "OLT SERVICE DEGRADATION") &gt; 0</f>
        <v>0</v>
      </c>
      <c r="J421" s="32" t="str">
        <f>IFERROR(__xludf.DUMMYFUNCTION("IFERROR(INDEX(FILTER('OLT DOWN Tickets'!$F:$F, REGEXMATCH('OLT DOWN Tickets'!$AB:$AB, ""(?i)""&amp;TRIM(D421)), 'OLT DOWN Tickets'!$L:$L=""OLT DOWN""), 1), """")"),"")</f>
        <v/>
      </c>
      <c r="K421" s="32" t="str">
        <f>IFERROR(__xludf.DUMMYFUNCTION("IFERROR(INDEX(FILTER('OLT DOWN Tickets'!$F:$F, REGEXMATCH('OLT DOWN Tickets'!$AB:$AB, ""(?i)""&amp;TRIM(D421)), 'OLT DOWN Tickets'!$L:$L=""OLT UPLINK LOW POWER""), 1), """")"),"")</f>
        <v/>
      </c>
      <c r="L421" s="32" t="str">
        <f>IFERROR(__xludf.DUMMYFUNCTION("IFERROR(INDEX(FILTER('OLT DOWN Tickets'!$F:$F, REGEXMATCH('OLT DOWN Tickets'!$AB:$AB, ""(?i)""&amp;TRIM(D421)), 'OLT DOWN Tickets'!$L:$L=""OLT UPLINK DOWN""), 1), """")"),"")</f>
        <v/>
      </c>
      <c r="M421" s="32" t="str">
        <f>IFERROR(__xludf.DUMMYFUNCTION("IFERROR(INDEX(FILTER('OLT DOWN Tickets'!$F:$F, REGEXMATCH('OLT DOWN Tickets'!$AB:$AB, ""(?i)""&amp;TRIM(D421)), 'OLT DOWN Tickets'!$L:$L=""OLT SERVICE DEGRADATION""), 1), """")
"),"")</f>
        <v/>
      </c>
      <c r="N421" s="6" t="b">
        <v>0</v>
      </c>
      <c r="O421" s="6" t="b">
        <v>0</v>
      </c>
      <c r="P421" s="6" t="b">
        <v>0</v>
      </c>
      <c r="Q421" s="6" t="b">
        <v>0</v>
      </c>
      <c r="R421" s="6"/>
      <c r="S421" s="6"/>
      <c r="T421" s="6"/>
      <c r="U421" s="6"/>
    </row>
    <row r="422">
      <c r="A422" s="19"/>
      <c r="B422" s="26" t="s">
        <v>687</v>
      </c>
      <c r="C422" s="26" t="s">
        <v>730</v>
      </c>
      <c r="D422" s="27" t="s">
        <v>731</v>
      </c>
      <c r="E422" s="6" t="b">
        <f t="shared" si="1"/>
        <v>1</v>
      </c>
      <c r="F422" s="6" t="b">
        <f>COUNTIFS('OLT DOWN Tickets'!$AB:$AB, "*" &amp; D422 &amp; "*", 'OLT DOWN Tickets'!$L:$L, "OLT DOWN") &gt; 0</f>
        <v>0</v>
      </c>
      <c r="G422" s="6" t="b">
        <f>COUNTIFS('OLT DOWN Tickets'!$AB:$AB, "*" &amp; D422 &amp; "*", 'OLT DOWN Tickets'!$L:$L, "OLT UPLINK LOW POWER") &gt; 0</f>
        <v>0</v>
      </c>
      <c r="H422" s="6" t="b">
        <f>COUNTIFS('OLT DOWN Tickets'!$AB:$AB, "*" &amp; D422 &amp; "*", 'OLT DOWN Tickets'!$L:$L, "OLT UPLINK DOWN") &gt; 0</f>
        <v>0</v>
      </c>
      <c r="I422" s="6" t="b">
        <f>COUNTIFS('OLT DOWN Tickets'!$AB:$AB, "*" &amp; D422 &amp; "*", 'OLT DOWN Tickets'!$L:$L, "OLT SERVICE DEGRADATION") &gt; 0</f>
        <v>0</v>
      </c>
      <c r="J422" s="32" t="str">
        <f>IFERROR(__xludf.DUMMYFUNCTION("IFERROR(INDEX(FILTER('OLT DOWN Tickets'!$F:$F, REGEXMATCH('OLT DOWN Tickets'!$AB:$AB, ""(?i)""&amp;TRIM(D422)), 'OLT DOWN Tickets'!$L:$L=""OLT DOWN""), 1), """")"),"")</f>
        <v/>
      </c>
      <c r="K422" s="32" t="str">
        <f>IFERROR(__xludf.DUMMYFUNCTION("IFERROR(INDEX(FILTER('OLT DOWN Tickets'!$F:$F, REGEXMATCH('OLT DOWN Tickets'!$AB:$AB, ""(?i)""&amp;TRIM(D422)), 'OLT DOWN Tickets'!$L:$L=""OLT UPLINK LOW POWER""), 1), """")"),"")</f>
        <v/>
      </c>
      <c r="L422" s="32" t="str">
        <f>IFERROR(__xludf.DUMMYFUNCTION("IFERROR(INDEX(FILTER('OLT DOWN Tickets'!$F:$F, REGEXMATCH('OLT DOWN Tickets'!$AB:$AB, ""(?i)""&amp;TRIM(D422)), 'OLT DOWN Tickets'!$L:$L=""OLT UPLINK DOWN""), 1), """")"),"")</f>
        <v/>
      </c>
      <c r="M422" s="32" t="str">
        <f>IFERROR(__xludf.DUMMYFUNCTION("IFERROR(INDEX(FILTER('OLT DOWN Tickets'!$F:$F, REGEXMATCH('OLT DOWN Tickets'!$AB:$AB, ""(?i)""&amp;TRIM(D422)), 'OLT DOWN Tickets'!$L:$L=""OLT SERVICE DEGRADATION""), 1), """")
"),"")</f>
        <v/>
      </c>
      <c r="N422" s="6" t="b">
        <v>0</v>
      </c>
      <c r="O422" s="6" t="b">
        <v>0</v>
      </c>
      <c r="P422" s="6" t="b">
        <v>0</v>
      </c>
      <c r="Q422" s="6" t="b">
        <v>0</v>
      </c>
      <c r="R422" s="6"/>
      <c r="S422" s="6"/>
      <c r="T422" s="6"/>
      <c r="U422" s="6"/>
    </row>
    <row r="423">
      <c r="A423" s="19"/>
      <c r="B423" s="26" t="s">
        <v>687</v>
      </c>
      <c r="C423" s="26" t="s">
        <v>730</v>
      </c>
      <c r="D423" s="27" t="s">
        <v>732</v>
      </c>
      <c r="E423" s="6" t="b">
        <f t="shared" si="1"/>
        <v>1</v>
      </c>
      <c r="F423" s="6" t="b">
        <f>COUNTIFS('OLT DOWN Tickets'!$AB:$AB, "*" &amp; D423 &amp; "*", 'OLT DOWN Tickets'!$L:$L, "OLT DOWN") &gt; 0</f>
        <v>0</v>
      </c>
      <c r="G423" s="6" t="b">
        <f>COUNTIFS('OLT DOWN Tickets'!$AB:$AB, "*" &amp; D423 &amp; "*", 'OLT DOWN Tickets'!$L:$L, "OLT UPLINK LOW POWER") &gt; 0</f>
        <v>0</v>
      </c>
      <c r="H423" s="6" t="b">
        <f>COUNTIFS('OLT DOWN Tickets'!$AB:$AB, "*" &amp; D423 &amp; "*", 'OLT DOWN Tickets'!$L:$L, "OLT UPLINK DOWN") &gt; 0</f>
        <v>0</v>
      </c>
      <c r="I423" s="6" t="b">
        <f>COUNTIFS('OLT DOWN Tickets'!$AB:$AB, "*" &amp; D423 &amp; "*", 'OLT DOWN Tickets'!$L:$L, "OLT SERVICE DEGRADATION") &gt; 0</f>
        <v>0</v>
      </c>
      <c r="J423" s="32" t="str">
        <f>IFERROR(__xludf.DUMMYFUNCTION("IFERROR(INDEX(FILTER('OLT DOWN Tickets'!$F:$F, REGEXMATCH('OLT DOWN Tickets'!$AB:$AB, ""(?i)""&amp;TRIM(D423)), 'OLT DOWN Tickets'!$L:$L=""OLT DOWN""), 1), """")"),"")</f>
        <v/>
      </c>
      <c r="K423" s="32" t="str">
        <f>IFERROR(__xludf.DUMMYFUNCTION("IFERROR(INDEX(FILTER('OLT DOWN Tickets'!$F:$F, REGEXMATCH('OLT DOWN Tickets'!$AB:$AB, ""(?i)""&amp;TRIM(D423)), 'OLT DOWN Tickets'!$L:$L=""OLT UPLINK LOW POWER""), 1), """")"),"")</f>
        <v/>
      </c>
      <c r="L423" s="32" t="str">
        <f>IFERROR(__xludf.DUMMYFUNCTION("IFERROR(INDEX(FILTER('OLT DOWN Tickets'!$F:$F, REGEXMATCH('OLT DOWN Tickets'!$AB:$AB, ""(?i)""&amp;TRIM(D423)), 'OLT DOWN Tickets'!$L:$L=""OLT UPLINK DOWN""), 1), """")"),"")</f>
        <v/>
      </c>
      <c r="M423" s="32" t="str">
        <f>IFERROR(__xludf.DUMMYFUNCTION("IFERROR(INDEX(FILTER('OLT DOWN Tickets'!$F:$F, REGEXMATCH('OLT DOWN Tickets'!$AB:$AB, ""(?i)""&amp;TRIM(D423)), 'OLT DOWN Tickets'!$L:$L=""OLT SERVICE DEGRADATION""), 1), """")
"),"")</f>
        <v/>
      </c>
      <c r="N423" s="6" t="b">
        <v>0</v>
      </c>
      <c r="O423" s="6" t="b">
        <v>0</v>
      </c>
      <c r="P423" s="6" t="b">
        <v>0</v>
      </c>
      <c r="Q423" s="6" t="b">
        <v>0</v>
      </c>
      <c r="R423" s="6"/>
      <c r="S423" s="6"/>
      <c r="T423" s="6"/>
      <c r="U423" s="6"/>
    </row>
    <row r="424">
      <c r="A424" s="19"/>
      <c r="B424" s="26" t="s">
        <v>687</v>
      </c>
      <c r="C424" s="26" t="s">
        <v>733</v>
      </c>
      <c r="D424" s="27" t="s">
        <v>734</v>
      </c>
      <c r="E424" s="6" t="b">
        <f t="shared" si="1"/>
        <v>1</v>
      </c>
      <c r="F424" s="6" t="b">
        <f>COUNTIFS('OLT DOWN Tickets'!$AB:$AB, "*" &amp; D424 &amp; "*", 'OLT DOWN Tickets'!$L:$L, "OLT DOWN") &gt; 0</f>
        <v>0</v>
      </c>
      <c r="G424" s="6" t="b">
        <f>COUNTIFS('OLT DOWN Tickets'!$AB:$AB, "*" &amp; D424 &amp; "*", 'OLT DOWN Tickets'!$L:$L, "OLT UPLINK LOW POWER") &gt; 0</f>
        <v>0</v>
      </c>
      <c r="H424" s="6" t="b">
        <f>COUNTIFS('OLT DOWN Tickets'!$AB:$AB, "*" &amp; D424 &amp; "*", 'OLT DOWN Tickets'!$L:$L, "OLT UPLINK DOWN") &gt; 0</f>
        <v>0</v>
      </c>
      <c r="I424" s="6" t="b">
        <f>COUNTIFS('OLT DOWN Tickets'!$AB:$AB, "*" &amp; D424 &amp; "*", 'OLT DOWN Tickets'!$L:$L, "OLT SERVICE DEGRADATION") &gt; 0</f>
        <v>0</v>
      </c>
      <c r="J424" s="32" t="str">
        <f>IFERROR(__xludf.DUMMYFUNCTION("IFERROR(INDEX(FILTER('OLT DOWN Tickets'!$F:$F, REGEXMATCH('OLT DOWN Tickets'!$AB:$AB, ""(?i)""&amp;TRIM(D424)), 'OLT DOWN Tickets'!$L:$L=""OLT DOWN""), 1), """")"),"")</f>
        <v/>
      </c>
      <c r="K424" s="32" t="str">
        <f>IFERROR(__xludf.DUMMYFUNCTION("IFERROR(INDEX(FILTER('OLT DOWN Tickets'!$F:$F, REGEXMATCH('OLT DOWN Tickets'!$AB:$AB, ""(?i)""&amp;TRIM(D424)), 'OLT DOWN Tickets'!$L:$L=""OLT UPLINK LOW POWER""), 1), """")"),"")</f>
        <v/>
      </c>
      <c r="L424" s="32" t="str">
        <f>IFERROR(__xludf.DUMMYFUNCTION("IFERROR(INDEX(FILTER('OLT DOWN Tickets'!$F:$F, REGEXMATCH('OLT DOWN Tickets'!$AB:$AB, ""(?i)""&amp;TRIM(D424)), 'OLT DOWN Tickets'!$L:$L=""OLT UPLINK DOWN""), 1), """")"),"")</f>
        <v/>
      </c>
      <c r="M424" s="32" t="str">
        <f>IFERROR(__xludf.DUMMYFUNCTION("IFERROR(INDEX(FILTER('OLT DOWN Tickets'!$F:$F, REGEXMATCH('OLT DOWN Tickets'!$AB:$AB, ""(?i)""&amp;TRIM(D424)), 'OLT DOWN Tickets'!$L:$L=""OLT SERVICE DEGRADATION""), 1), """")
"),"")</f>
        <v/>
      </c>
      <c r="N424" s="6" t="b">
        <v>0</v>
      </c>
      <c r="O424" s="6" t="b">
        <v>0</v>
      </c>
      <c r="P424" s="6" t="b">
        <v>0</v>
      </c>
      <c r="Q424" s="6" t="b">
        <v>0</v>
      </c>
      <c r="R424" s="6"/>
      <c r="S424" s="6"/>
      <c r="T424" s="6"/>
      <c r="U424" s="6"/>
    </row>
    <row r="425">
      <c r="A425" s="19"/>
      <c r="B425" s="26" t="s">
        <v>687</v>
      </c>
      <c r="C425" s="26" t="s">
        <v>735</v>
      </c>
      <c r="D425" s="27" t="s">
        <v>736</v>
      </c>
      <c r="E425" s="6" t="b">
        <f t="shared" si="1"/>
        <v>1</v>
      </c>
      <c r="F425" s="6" t="b">
        <f>COUNTIFS('OLT DOWN Tickets'!$AB:$AB, "*" &amp; D425 &amp; "*", 'OLT DOWN Tickets'!$L:$L, "OLT DOWN") &gt; 0</f>
        <v>0</v>
      </c>
      <c r="G425" s="6" t="b">
        <f>COUNTIFS('OLT DOWN Tickets'!$AB:$AB, "*" &amp; D425 &amp; "*", 'OLT DOWN Tickets'!$L:$L, "OLT UPLINK LOW POWER") &gt; 0</f>
        <v>0</v>
      </c>
      <c r="H425" s="6" t="b">
        <f>COUNTIFS('OLT DOWN Tickets'!$AB:$AB, "*" &amp; D425 &amp; "*", 'OLT DOWN Tickets'!$L:$L, "OLT UPLINK DOWN") &gt; 0</f>
        <v>0</v>
      </c>
      <c r="I425" s="6" t="b">
        <f>COUNTIFS('OLT DOWN Tickets'!$AB:$AB, "*" &amp; D425 &amp; "*", 'OLT DOWN Tickets'!$L:$L, "OLT SERVICE DEGRADATION") &gt; 0</f>
        <v>0</v>
      </c>
      <c r="J425" s="32" t="str">
        <f>IFERROR(__xludf.DUMMYFUNCTION("IFERROR(INDEX(FILTER('OLT DOWN Tickets'!$F:$F, REGEXMATCH('OLT DOWN Tickets'!$AB:$AB, ""(?i)""&amp;TRIM(D425)), 'OLT DOWN Tickets'!$L:$L=""OLT DOWN""), 1), """")"),"")</f>
        <v/>
      </c>
      <c r="K425" s="32" t="str">
        <f>IFERROR(__xludf.DUMMYFUNCTION("IFERROR(INDEX(FILTER('OLT DOWN Tickets'!$F:$F, REGEXMATCH('OLT DOWN Tickets'!$AB:$AB, ""(?i)""&amp;TRIM(D425)), 'OLT DOWN Tickets'!$L:$L=""OLT UPLINK LOW POWER""), 1), """")"),"")</f>
        <v/>
      </c>
      <c r="L425" s="32" t="str">
        <f>IFERROR(__xludf.DUMMYFUNCTION("IFERROR(INDEX(FILTER('OLT DOWN Tickets'!$F:$F, REGEXMATCH('OLT DOWN Tickets'!$AB:$AB, ""(?i)""&amp;TRIM(D425)), 'OLT DOWN Tickets'!$L:$L=""OLT UPLINK DOWN""), 1), """")"),"")</f>
        <v/>
      </c>
      <c r="M425" s="32" t="str">
        <f>IFERROR(__xludf.DUMMYFUNCTION("IFERROR(INDEX(FILTER('OLT DOWN Tickets'!$F:$F, REGEXMATCH('OLT DOWN Tickets'!$AB:$AB, ""(?i)""&amp;TRIM(D425)), 'OLT DOWN Tickets'!$L:$L=""OLT SERVICE DEGRADATION""), 1), """")
"),"")</f>
        <v/>
      </c>
      <c r="N425" s="6" t="b">
        <v>0</v>
      </c>
      <c r="O425" s="6" t="b">
        <v>0</v>
      </c>
      <c r="P425" s="6" t="b">
        <v>0</v>
      </c>
      <c r="Q425" s="6" t="b">
        <v>0</v>
      </c>
      <c r="R425" s="6"/>
      <c r="S425" s="6"/>
      <c r="T425" s="6"/>
      <c r="U425" s="6"/>
    </row>
    <row r="426">
      <c r="A426" s="19"/>
      <c r="B426" s="26" t="s">
        <v>687</v>
      </c>
      <c r="C426" s="26" t="s">
        <v>737</v>
      </c>
      <c r="D426" s="27" t="s">
        <v>738</v>
      </c>
      <c r="E426" s="6" t="b">
        <f t="shared" si="1"/>
        <v>1</v>
      </c>
      <c r="F426" s="6" t="b">
        <f>COUNTIFS('OLT DOWN Tickets'!$AB:$AB, "*" &amp; D426 &amp; "*", 'OLT DOWN Tickets'!$L:$L, "OLT DOWN") &gt; 0</f>
        <v>0</v>
      </c>
      <c r="G426" s="6" t="b">
        <f>COUNTIFS('OLT DOWN Tickets'!$AB:$AB, "*" &amp; D426 &amp; "*", 'OLT DOWN Tickets'!$L:$L, "OLT UPLINK LOW POWER") &gt; 0</f>
        <v>0</v>
      </c>
      <c r="H426" s="6" t="b">
        <f>COUNTIFS('OLT DOWN Tickets'!$AB:$AB, "*" &amp; D426 &amp; "*", 'OLT DOWN Tickets'!$L:$L, "OLT UPLINK DOWN") &gt; 0</f>
        <v>0</v>
      </c>
      <c r="I426" s="6" t="b">
        <f>COUNTIFS('OLT DOWN Tickets'!$AB:$AB, "*" &amp; D426 &amp; "*", 'OLT DOWN Tickets'!$L:$L, "OLT SERVICE DEGRADATION") &gt; 0</f>
        <v>0</v>
      </c>
      <c r="J426" s="32" t="str">
        <f>IFERROR(__xludf.DUMMYFUNCTION("IFERROR(INDEX(FILTER('OLT DOWN Tickets'!$F:$F, REGEXMATCH('OLT DOWN Tickets'!$AB:$AB, ""(?i)""&amp;TRIM(D426)), 'OLT DOWN Tickets'!$L:$L=""OLT DOWN""), 1), """")"),"")</f>
        <v/>
      </c>
      <c r="K426" s="32" t="str">
        <f>IFERROR(__xludf.DUMMYFUNCTION("IFERROR(INDEX(FILTER('OLT DOWN Tickets'!$F:$F, REGEXMATCH('OLT DOWN Tickets'!$AB:$AB, ""(?i)""&amp;TRIM(D426)), 'OLT DOWN Tickets'!$L:$L=""OLT UPLINK LOW POWER""), 1), """")"),"")</f>
        <v/>
      </c>
      <c r="L426" s="32" t="str">
        <f>IFERROR(__xludf.DUMMYFUNCTION("IFERROR(INDEX(FILTER('OLT DOWN Tickets'!$F:$F, REGEXMATCH('OLT DOWN Tickets'!$AB:$AB, ""(?i)""&amp;TRIM(D426)), 'OLT DOWN Tickets'!$L:$L=""OLT UPLINK DOWN""), 1), """")"),"")</f>
        <v/>
      </c>
      <c r="M426" s="32" t="str">
        <f>IFERROR(__xludf.DUMMYFUNCTION("IFERROR(INDEX(FILTER('OLT DOWN Tickets'!$F:$F, REGEXMATCH('OLT DOWN Tickets'!$AB:$AB, ""(?i)""&amp;TRIM(D426)), 'OLT DOWN Tickets'!$L:$L=""OLT SERVICE DEGRADATION""), 1), """")
"),"")</f>
        <v/>
      </c>
      <c r="N426" s="6" t="b">
        <v>0</v>
      </c>
      <c r="O426" s="6" t="b">
        <v>0</v>
      </c>
      <c r="P426" s="6" t="b">
        <v>0</v>
      </c>
      <c r="Q426" s="6" t="b">
        <v>0</v>
      </c>
      <c r="R426" s="6"/>
      <c r="S426" s="6"/>
      <c r="T426" s="6"/>
      <c r="U426" s="6"/>
    </row>
    <row r="427">
      <c r="A427" s="19"/>
      <c r="B427" s="26" t="s">
        <v>687</v>
      </c>
      <c r="C427" s="26" t="s">
        <v>737</v>
      </c>
      <c r="D427" s="27" t="s">
        <v>739</v>
      </c>
      <c r="E427" s="6" t="b">
        <f t="shared" si="1"/>
        <v>1</v>
      </c>
      <c r="F427" s="6" t="b">
        <f>COUNTIFS('OLT DOWN Tickets'!$AB:$AB, "*" &amp; D427 &amp; "*", 'OLT DOWN Tickets'!$L:$L, "OLT DOWN") &gt; 0</f>
        <v>0</v>
      </c>
      <c r="G427" s="6" t="b">
        <f>COUNTIFS('OLT DOWN Tickets'!$AB:$AB, "*" &amp; D427 &amp; "*", 'OLT DOWN Tickets'!$L:$L, "OLT UPLINK LOW POWER") &gt; 0</f>
        <v>0</v>
      </c>
      <c r="H427" s="6" t="b">
        <f>COUNTIFS('OLT DOWN Tickets'!$AB:$AB, "*" &amp; D427 &amp; "*", 'OLT DOWN Tickets'!$L:$L, "OLT UPLINK DOWN") &gt; 0</f>
        <v>0</v>
      </c>
      <c r="I427" s="6" t="b">
        <f>COUNTIFS('OLT DOWN Tickets'!$AB:$AB, "*" &amp; D427 &amp; "*", 'OLT DOWN Tickets'!$L:$L, "OLT SERVICE DEGRADATION") &gt; 0</f>
        <v>0</v>
      </c>
      <c r="J427" s="32" t="str">
        <f>IFERROR(__xludf.DUMMYFUNCTION("IFERROR(INDEX(FILTER('OLT DOWN Tickets'!$F:$F, REGEXMATCH('OLT DOWN Tickets'!$AB:$AB, ""(?i)""&amp;TRIM(D427)), 'OLT DOWN Tickets'!$L:$L=""OLT DOWN""), 1), """")"),"")</f>
        <v/>
      </c>
      <c r="K427" s="32" t="str">
        <f>IFERROR(__xludf.DUMMYFUNCTION("IFERROR(INDEX(FILTER('OLT DOWN Tickets'!$F:$F, REGEXMATCH('OLT DOWN Tickets'!$AB:$AB, ""(?i)""&amp;TRIM(D427)), 'OLT DOWN Tickets'!$L:$L=""OLT UPLINK LOW POWER""), 1), """")"),"")</f>
        <v/>
      </c>
      <c r="L427" s="32" t="str">
        <f>IFERROR(__xludf.DUMMYFUNCTION("IFERROR(INDEX(FILTER('OLT DOWN Tickets'!$F:$F, REGEXMATCH('OLT DOWN Tickets'!$AB:$AB, ""(?i)""&amp;TRIM(D427)), 'OLT DOWN Tickets'!$L:$L=""OLT UPLINK DOWN""), 1), """")"),"")</f>
        <v/>
      </c>
      <c r="M427" s="32" t="str">
        <f>IFERROR(__xludf.DUMMYFUNCTION("IFERROR(INDEX(FILTER('OLT DOWN Tickets'!$F:$F, REGEXMATCH('OLT DOWN Tickets'!$AB:$AB, ""(?i)""&amp;TRIM(D427)), 'OLT DOWN Tickets'!$L:$L=""OLT SERVICE DEGRADATION""), 1), """")
"),"")</f>
        <v/>
      </c>
      <c r="N427" s="6" t="b">
        <v>0</v>
      </c>
      <c r="O427" s="6" t="b">
        <v>0</v>
      </c>
      <c r="P427" s="6" t="b">
        <v>0</v>
      </c>
      <c r="Q427" s="6" t="b">
        <v>0</v>
      </c>
      <c r="R427" s="6"/>
      <c r="S427" s="6"/>
      <c r="T427" s="6"/>
      <c r="U427" s="6"/>
    </row>
    <row r="428">
      <c r="A428" s="19"/>
      <c r="B428" s="26" t="s">
        <v>687</v>
      </c>
      <c r="C428" s="26" t="s">
        <v>737</v>
      </c>
      <c r="D428" s="27" t="s">
        <v>740</v>
      </c>
      <c r="E428" s="6" t="b">
        <f t="shared" si="1"/>
        <v>1</v>
      </c>
      <c r="F428" s="6" t="b">
        <f>COUNTIFS('OLT DOWN Tickets'!$AB:$AB, "*" &amp; D428 &amp; "*", 'OLT DOWN Tickets'!$L:$L, "OLT DOWN") &gt; 0</f>
        <v>0</v>
      </c>
      <c r="G428" s="6" t="b">
        <f>COUNTIFS('OLT DOWN Tickets'!$AB:$AB, "*" &amp; D428 &amp; "*", 'OLT DOWN Tickets'!$L:$L, "OLT UPLINK LOW POWER") &gt; 0</f>
        <v>0</v>
      </c>
      <c r="H428" s="6" t="b">
        <f>COUNTIFS('OLT DOWN Tickets'!$AB:$AB, "*" &amp; D428 &amp; "*", 'OLT DOWN Tickets'!$L:$L, "OLT UPLINK DOWN") &gt; 0</f>
        <v>0</v>
      </c>
      <c r="I428" s="6" t="b">
        <f>COUNTIFS('OLT DOWN Tickets'!$AB:$AB, "*" &amp; D428 &amp; "*", 'OLT DOWN Tickets'!$L:$L, "OLT SERVICE DEGRADATION") &gt; 0</f>
        <v>0</v>
      </c>
      <c r="J428" s="32" t="str">
        <f>IFERROR(__xludf.DUMMYFUNCTION("IFERROR(INDEX(FILTER('OLT DOWN Tickets'!$F:$F, REGEXMATCH('OLT DOWN Tickets'!$AB:$AB, ""(?i)""&amp;TRIM(D428)), 'OLT DOWN Tickets'!$L:$L=""OLT DOWN""), 1), """")"),"")</f>
        <v/>
      </c>
      <c r="K428" s="32" t="str">
        <f>IFERROR(__xludf.DUMMYFUNCTION("IFERROR(INDEX(FILTER('OLT DOWN Tickets'!$F:$F, REGEXMATCH('OLT DOWN Tickets'!$AB:$AB, ""(?i)""&amp;TRIM(D428)), 'OLT DOWN Tickets'!$L:$L=""OLT UPLINK LOW POWER""), 1), """")"),"")</f>
        <v/>
      </c>
      <c r="L428" s="32" t="str">
        <f>IFERROR(__xludf.DUMMYFUNCTION("IFERROR(INDEX(FILTER('OLT DOWN Tickets'!$F:$F, REGEXMATCH('OLT DOWN Tickets'!$AB:$AB, ""(?i)""&amp;TRIM(D428)), 'OLT DOWN Tickets'!$L:$L=""OLT UPLINK DOWN""), 1), """")"),"")</f>
        <v/>
      </c>
      <c r="M428" s="32" t="str">
        <f>IFERROR(__xludf.DUMMYFUNCTION("IFERROR(INDEX(FILTER('OLT DOWN Tickets'!$F:$F, REGEXMATCH('OLT DOWN Tickets'!$AB:$AB, ""(?i)""&amp;TRIM(D428)), 'OLT DOWN Tickets'!$L:$L=""OLT SERVICE DEGRADATION""), 1), """")
"),"")</f>
        <v/>
      </c>
      <c r="N428" s="6" t="b">
        <v>0</v>
      </c>
      <c r="O428" s="6" t="b">
        <v>0</v>
      </c>
      <c r="P428" s="6" t="b">
        <v>0</v>
      </c>
      <c r="Q428" s="6" t="b">
        <v>0</v>
      </c>
      <c r="R428" s="6"/>
      <c r="S428" s="6"/>
      <c r="T428" s="6"/>
      <c r="U428" s="6"/>
    </row>
    <row r="429">
      <c r="A429" s="19"/>
      <c r="B429" s="26" t="s">
        <v>687</v>
      </c>
      <c r="C429" s="26" t="s">
        <v>741</v>
      </c>
      <c r="D429" s="27" t="s">
        <v>742</v>
      </c>
      <c r="E429" s="6" t="b">
        <f t="shared" si="1"/>
        <v>1</v>
      </c>
      <c r="F429" s="6" t="b">
        <f>COUNTIFS('OLT DOWN Tickets'!$AB:$AB, "*" &amp; D429 &amp; "*", 'OLT DOWN Tickets'!$L:$L, "OLT DOWN") &gt; 0</f>
        <v>0</v>
      </c>
      <c r="G429" s="6" t="b">
        <f>COUNTIFS('OLT DOWN Tickets'!$AB:$AB, "*" &amp; D429 &amp; "*", 'OLT DOWN Tickets'!$L:$L, "OLT UPLINK LOW POWER") &gt; 0</f>
        <v>0</v>
      </c>
      <c r="H429" s="6" t="b">
        <f>COUNTIFS('OLT DOWN Tickets'!$AB:$AB, "*" &amp; D429 &amp; "*", 'OLT DOWN Tickets'!$L:$L, "OLT UPLINK DOWN") &gt; 0</f>
        <v>0</v>
      </c>
      <c r="I429" s="6" t="b">
        <f>COUNTIFS('OLT DOWN Tickets'!$AB:$AB, "*" &amp; D429 &amp; "*", 'OLT DOWN Tickets'!$L:$L, "OLT SERVICE DEGRADATION") &gt; 0</f>
        <v>0</v>
      </c>
      <c r="J429" s="32" t="str">
        <f>IFERROR(__xludf.DUMMYFUNCTION("IFERROR(INDEX(FILTER('OLT DOWN Tickets'!$F:$F, REGEXMATCH('OLT DOWN Tickets'!$AB:$AB, ""(?i)""&amp;TRIM(D429)), 'OLT DOWN Tickets'!$L:$L=""OLT DOWN""), 1), """")"),"")</f>
        <v/>
      </c>
      <c r="K429" s="32" t="str">
        <f>IFERROR(__xludf.DUMMYFUNCTION("IFERROR(INDEX(FILTER('OLT DOWN Tickets'!$F:$F, REGEXMATCH('OLT DOWN Tickets'!$AB:$AB, ""(?i)""&amp;TRIM(D429)), 'OLT DOWN Tickets'!$L:$L=""OLT UPLINK LOW POWER""), 1), """")"),"")</f>
        <v/>
      </c>
      <c r="L429" s="32" t="str">
        <f>IFERROR(__xludf.DUMMYFUNCTION("IFERROR(INDEX(FILTER('OLT DOWN Tickets'!$F:$F, REGEXMATCH('OLT DOWN Tickets'!$AB:$AB, ""(?i)""&amp;TRIM(D429)), 'OLT DOWN Tickets'!$L:$L=""OLT UPLINK DOWN""), 1), """")"),"")</f>
        <v/>
      </c>
      <c r="M429" s="32" t="str">
        <f>IFERROR(__xludf.DUMMYFUNCTION("IFERROR(INDEX(FILTER('OLT DOWN Tickets'!$F:$F, REGEXMATCH('OLT DOWN Tickets'!$AB:$AB, ""(?i)""&amp;TRIM(D429)), 'OLT DOWN Tickets'!$L:$L=""OLT SERVICE DEGRADATION""), 1), """")
"),"")</f>
        <v/>
      </c>
      <c r="N429" s="6" t="b">
        <v>0</v>
      </c>
      <c r="O429" s="6" t="b">
        <v>0</v>
      </c>
      <c r="P429" s="6" t="b">
        <v>0</v>
      </c>
      <c r="Q429" s="6" t="b">
        <v>0</v>
      </c>
      <c r="R429" s="6"/>
      <c r="S429" s="6"/>
      <c r="T429" s="6"/>
      <c r="U429" s="6"/>
    </row>
    <row r="430">
      <c r="A430" s="19"/>
      <c r="B430" s="26" t="s">
        <v>687</v>
      </c>
      <c r="C430" s="26" t="s">
        <v>741</v>
      </c>
      <c r="D430" s="27" t="s">
        <v>743</v>
      </c>
      <c r="E430" s="6" t="b">
        <f t="shared" si="1"/>
        <v>1</v>
      </c>
      <c r="F430" s="6" t="b">
        <f>COUNTIFS('OLT DOWN Tickets'!$AB:$AB, "*" &amp; D430 &amp; "*", 'OLT DOWN Tickets'!$L:$L, "OLT DOWN") &gt; 0</f>
        <v>0</v>
      </c>
      <c r="G430" s="6" t="b">
        <f>COUNTIFS('OLT DOWN Tickets'!$AB:$AB, "*" &amp; D430 &amp; "*", 'OLT DOWN Tickets'!$L:$L, "OLT UPLINK LOW POWER") &gt; 0</f>
        <v>0</v>
      </c>
      <c r="H430" s="6" t="b">
        <f>COUNTIFS('OLT DOWN Tickets'!$AB:$AB, "*" &amp; D430 &amp; "*", 'OLT DOWN Tickets'!$L:$L, "OLT UPLINK DOWN") &gt; 0</f>
        <v>0</v>
      </c>
      <c r="I430" s="6" t="b">
        <f>COUNTIFS('OLT DOWN Tickets'!$AB:$AB, "*" &amp; D430 &amp; "*", 'OLT DOWN Tickets'!$L:$L, "OLT SERVICE DEGRADATION") &gt; 0</f>
        <v>0</v>
      </c>
      <c r="J430" s="32" t="str">
        <f>IFERROR(__xludf.DUMMYFUNCTION("IFERROR(INDEX(FILTER('OLT DOWN Tickets'!$F:$F, REGEXMATCH('OLT DOWN Tickets'!$AB:$AB, ""(?i)""&amp;TRIM(D430)), 'OLT DOWN Tickets'!$L:$L=""OLT DOWN""), 1), """")"),"")</f>
        <v/>
      </c>
      <c r="K430" s="32" t="str">
        <f>IFERROR(__xludf.DUMMYFUNCTION("IFERROR(INDEX(FILTER('OLT DOWN Tickets'!$F:$F, REGEXMATCH('OLT DOWN Tickets'!$AB:$AB, ""(?i)""&amp;TRIM(D430)), 'OLT DOWN Tickets'!$L:$L=""OLT UPLINK LOW POWER""), 1), """")"),"")</f>
        <v/>
      </c>
      <c r="L430" s="32" t="str">
        <f>IFERROR(__xludf.DUMMYFUNCTION("IFERROR(INDEX(FILTER('OLT DOWN Tickets'!$F:$F, REGEXMATCH('OLT DOWN Tickets'!$AB:$AB, ""(?i)""&amp;TRIM(D430)), 'OLT DOWN Tickets'!$L:$L=""OLT UPLINK DOWN""), 1), """")"),"")</f>
        <v/>
      </c>
      <c r="M430" s="32" t="str">
        <f>IFERROR(__xludf.DUMMYFUNCTION("IFERROR(INDEX(FILTER('OLT DOWN Tickets'!$F:$F, REGEXMATCH('OLT DOWN Tickets'!$AB:$AB, ""(?i)""&amp;TRIM(D430)), 'OLT DOWN Tickets'!$L:$L=""OLT SERVICE DEGRADATION""), 1), """")
"),"")</f>
        <v/>
      </c>
      <c r="N430" s="6" t="b">
        <v>0</v>
      </c>
      <c r="O430" s="6" t="b">
        <v>0</v>
      </c>
      <c r="P430" s="6" t="b">
        <v>0</v>
      </c>
      <c r="Q430" s="6" t="b">
        <v>0</v>
      </c>
      <c r="R430" s="6"/>
      <c r="S430" s="6"/>
      <c r="T430" s="6"/>
      <c r="U430" s="6"/>
    </row>
    <row r="431">
      <c r="A431" s="19"/>
      <c r="B431" s="26" t="s">
        <v>687</v>
      </c>
      <c r="C431" s="26" t="s">
        <v>744</v>
      </c>
      <c r="D431" s="27" t="s">
        <v>745</v>
      </c>
      <c r="E431" s="6" t="b">
        <f t="shared" si="1"/>
        <v>1</v>
      </c>
      <c r="F431" s="6" t="b">
        <f>COUNTIFS('OLT DOWN Tickets'!$AB:$AB, "*" &amp; D431 &amp; "*", 'OLT DOWN Tickets'!$L:$L, "OLT DOWN") &gt; 0</f>
        <v>0</v>
      </c>
      <c r="G431" s="6" t="b">
        <f>COUNTIFS('OLT DOWN Tickets'!$AB:$AB, "*" &amp; D431 &amp; "*", 'OLT DOWN Tickets'!$L:$L, "OLT UPLINK LOW POWER") &gt; 0</f>
        <v>0</v>
      </c>
      <c r="H431" s="6" t="b">
        <f>COUNTIFS('OLT DOWN Tickets'!$AB:$AB, "*" &amp; D431 &amp; "*", 'OLT DOWN Tickets'!$L:$L, "OLT UPLINK DOWN") &gt; 0</f>
        <v>0</v>
      </c>
      <c r="I431" s="6" t="b">
        <f>COUNTIFS('OLT DOWN Tickets'!$AB:$AB, "*" &amp; D431 &amp; "*", 'OLT DOWN Tickets'!$L:$L, "OLT SERVICE DEGRADATION") &gt; 0</f>
        <v>0</v>
      </c>
      <c r="J431" s="32" t="str">
        <f>IFERROR(__xludf.DUMMYFUNCTION("IFERROR(INDEX(FILTER('OLT DOWN Tickets'!$F:$F, REGEXMATCH('OLT DOWN Tickets'!$AB:$AB, ""(?i)""&amp;TRIM(D431)), 'OLT DOWN Tickets'!$L:$L=""OLT DOWN""), 1), """")"),"")</f>
        <v/>
      </c>
      <c r="K431" s="32" t="str">
        <f>IFERROR(__xludf.DUMMYFUNCTION("IFERROR(INDEX(FILTER('OLT DOWN Tickets'!$F:$F, REGEXMATCH('OLT DOWN Tickets'!$AB:$AB, ""(?i)""&amp;TRIM(D431)), 'OLT DOWN Tickets'!$L:$L=""OLT UPLINK LOW POWER""), 1), """")"),"")</f>
        <v/>
      </c>
      <c r="L431" s="32" t="str">
        <f>IFERROR(__xludf.DUMMYFUNCTION("IFERROR(INDEX(FILTER('OLT DOWN Tickets'!$F:$F, REGEXMATCH('OLT DOWN Tickets'!$AB:$AB, ""(?i)""&amp;TRIM(D431)), 'OLT DOWN Tickets'!$L:$L=""OLT UPLINK DOWN""), 1), """")"),"")</f>
        <v/>
      </c>
      <c r="M431" s="32" t="str">
        <f>IFERROR(__xludf.DUMMYFUNCTION("IFERROR(INDEX(FILTER('OLT DOWN Tickets'!$F:$F, REGEXMATCH('OLT DOWN Tickets'!$AB:$AB, ""(?i)""&amp;TRIM(D431)), 'OLT DOWN Tickets'!$L:$L=""OLT SERVICE DEGRADATION""), 1), """")
"),"")</f>
        <v/>
      </c>
      <c r="N431" s="6" t="b">
        <v>0</v>
      </c>
      <c r="O431" s="6" t="b">
        <v>0</v>
      </c>
      <c r="P431" s="6" t="b">
        <v>0</v>
      </c>
      <c r="Q431" s="6" t="b">
        <v>0</v>
      </c>
      <c r="R431" s="6"/>
      <c r="S431" s="6"/>
      <c r="T431" s="6"/>
      <c r="U431" s="6"/>
    </row>
    <row r="432">
      <c r="A432" s="19"/>
      <c r="B432" s="26" t="s">
        <v>687</v>
      </c>
      <c r="C432" s="26" t="s">
        <v>744</v>
      </c>
      <c r="D432" s="27" t="s">
        <v>746</v>
      </c>
      <c r="E432" s="6" t="b">
        <f t="shared" si="1"/>
        <v>1</v>
      </c>
      <c r="F432" s="6" t="b">
        <f>COUNTIFS('OLT DOWN Tickets'!$AB:$AB, "*" &amp; D432 &amp; "*", 'OLT DOWN Tickets'!$L:$L, "OLT DOWN") &gt; 0</f>
        <v>0</v>
      </c>
      <c r="G432" s="6" t="b">
        <f>COUNTIFS('OLT DOWN Tickets'!$AB:$AB, "*" &amp; D432 &amp; "*", 'OLT DOWN Tickets'!$L:$L, "OLT UPLINK LOW POWER") &gt; 0</f>
        <v>0</v>
      </c>
      <c r="H432" s="6" t="b">
        <f>COUNTIFS('OLT DOWN Tickets'!$AB:$AB, "*" &amp; D432 &amp; "*", 'OLT DOWN Tickets'!$L:$L, "OLT UPLINK DOWN") &gt; 0</f>
        <v>0</v>
      </c>
      <c r="I432" s="6" t="b">
        <f>COUNTIFS('OLT DOWN Tickets'!$AB:$AB, "*" &amp; D432 &amp; "*", 'OLT DOWN Tickets'!$L:$L, "OLT SERVICE DEGRADATION") &gt; 0</f>
        <v>0</v>
      </c>
      <c r="J432" s="32" t="str">
        <f>IFERROR(__xludf.DUMMYFUNCTION("IFERROR(INDEX(FILTER('OLT DOWN Tickets'!$F:$F, REGEXMATCH('OLT DOWN Tickets'!$AB:$AB, ""(?i)""&amp;TRIM(D432)), 'OLT DOWN Tickets'!$L:$L=""OLT DOWN""), 1), """")"),"")</f>
        <v/>
      </c>
      <c r="K432" s="32" t="str">
        <f>IFERROR(__xludf.DUMMYFUNCTION("IFERROR(INDEX(FILTER('OLT DOWN Tickets'!$F:$F, REGEXMATCH('OLT DOWN Tickets'!$AB:$AB, ""(?i)""&amp;TRIM(D432)), 'OLT DOWN Tickets'!$L:$L=""OLT UPLINK LOW POWER""), 1), """")"),"")</f>
        <v/>
      </c>
      <c r="L432" s="32" t="str">
        <f>IFERROR(__xludf.DUMMYFUNCTION("IFERROR(INDEX(FILTER('OLT DOWN Tickets'!$F:$F, REGEXMATCH('OLT DOWN Tickets'!$AB:$AB, ""(?i)""&amp;TRIM(D432)), 'OLT DOWN Tickets'!$L:$L=""OLT UPLINK DOWN""), 1), """")"),"")</f>
        <v/>
      </c>
      <c r="M432" s="32" t="str">
        <f>IFERROR(__xludf.DUMMYFUNCTION("IFERROR(INDEX(FILTER('OLT DOWN Tickets'!$F:$F, REGEXMATCH('OLT DOWN Tickets'!$AB:$AB, ""(?i)""&amp;TRIM(D432)), 'OLT DOWN Tickets'!$L:$L=""OLT SERVICE DEGRADATION""), 1), """")
"),"")</f>
        <v/>
      </c>
      <c r="N432" s="6" t="b">
        <v>0</v>
      </c>
      <c r="O432" s="6" t="b">
        <v>0</v>
      </c>
      <c r="P432" s="6" t="b">
        <v>0</v>
      </c>
      <c r="Q432" s="6" t="b">
        <v>0</v>
      </c>
      <c r="R432" s="6"/>
      <c r="S432" s="6"/>
      <c r="T432" s="6"/>
      <c r="U432" s="6"/>
    </row>
    <row r="433">
      <c r="A433" s="19"/>
      <c r="B433" s="26" t="s">
        <v>687</v>
      </c>
      <c r="C433" s="26" t="s">
        <v>747</v>
      </c>
      <c r="D433" s="27" t="s">
        <v>748</v>
      </c>
      <c r="E433" s="6" t="b">
        <f t="shared" si="1"/>
        <v>1</v>
      </c>
      <c r="F433" s="6" t="b">
        <f>COUNTIFS('OLT DOWN Tickets'!$AB:$AB, "*" &amp; D433 &amp; "*", 'OLT DOWN Tickets'!$L:$L, "OLT DOWN") &gt; 0</f>
        <v>0</v>
      </c>
      <c r="G433" s="6" t="b">
        <f>COUNTIFS('OLT DOWN Tickets'!$AB:$AB, "*" &amp; D433 &amp; "*", 'OLT DOWN Tickets'!$L:$L, "OLT UPLINK LOW POWER") &gt; 0</f>
        <v>0</v>
      </c>
      <c r="H433" s="6" t="b">
        <f>COUNTIFS('OLT DOWN Tickets'!$AB:$AB, "*" &amp; D433 &amp; "*", 'OLT DOWN Tickets'!$L:$L, "OLT UPLINK DOWN") &gt; 0</f>
        <v>0</v>
      </c>
      <c r="I433" s="6" t="b">
        <f>COUNTIFS('OLT DOWN Tickets'!$AB:$AB, "*" &amp; D433 &amp; "*", 'OLT DOWN Tickets'!$L:$L, "OLT SERVICE DEGRADATION") &gt; 0</f>
        <v>0</v>
      </c>
      <c r="J433" s="32" t="str">
        <f>IFERROR(__xludf.DUMMYFUNCTION("IFERROR(INDEX(FILTER('OLT DOWN Tickets'!$F:$F, REGEXMATCH('OLT DOWN Tickets'!$AB:$AB, ""(?i)""&amp;TRIM(D433)), 'OLT DOWN Tickets'!$L:$L=""OLT DOWN""), 1), """")"),"")</f>
        <v/>
      </c>
      <c r="K433" s="32" t="str">
        <f>IFERROR(__xludf.DUMMYFUNCTION("IFERROR(INDEX(FILTER('OLT DOWN Tickets'!$F:$F, REGEXMATCH('OLT DOWN Tickets'!$AB:$AB, ""(?i)""&amp;TRIM(D433)), 'OLT DOWN Tickets'!$L:$L=""OLT UPLINK LOW POWER""), 1), """")"),"")</f>
        <v/>
      </c>
      <c r="L433" s="32" t="str">
        <f>IFERROR(__xludf.DUMMYFUNCTION("IFERROR(INDEX(FILTER('OLT DOWN Tickets'!$F:$F, REGEXMATCH('OLT DOWN Tickets'!$AB:$AB, ""(?i)""&amp;TRIM(D433)), 'OLT DOWN Tickets'!$L:$L=""OLT UPLINK DOWN""), 1), """")"),"")</f>
        <v/>
      </c>
      <c r="M433" s="32" t="str">
        <f>IFERROR(__xludf.DUMMYFUNCTION("IFERROR(INDEX(FILTER('OLT DOWN Tickets'!$F:$F, REGEXMATCH('OLT DOWN Tickets'!$AB:$AB, ""(?i)""&amp;TRIM(D433)), 'OLT DOWN Tickets'!$L:$L=""OLT SERVICE DEGRADATION""), 1), """")
"),"")</f>
        <v/>
      </c>
      <c r="N433" s="6" t="b">
        <v>0</v>
      </c>
      <c r="O433" s="6" t="b">
        <v>0</v>
      </c>
      <c r="P433" s="6" t="b">
        <v>0</v>
      </c>
      <c r="Q433" s="6" t="b">
        <v>0</v>
      </c>
      <c r="R433" s="6"/>
      <c r="S433" s="6"/>
      <c r="T433" s="6"/>
      <c r="U433" s="6"/>
    </row>
    <row r="434">
      <c r="A434" s="19"/>
      <c r="B434" s="26" t="s">
        <v>687</v>
      </c>
      <c r="C434" s="26" t="s">
        <v>747</v>
      </c>
      <c r="D434" s="27" t="s">
        <v>749</v>
      </c>
      <c r="E434" s="6" t="b">
        <f t="shared" si="1"/>
        <v>1</v>
      </c>
      <c r="F434" s="6" t="b">
        <f>COUNTIFS('OLT DOWN Tickets'!$AB:$AB, "*" &amp; D434 &amp; "*", 'OLT DOWN Tickets'!$L:$L, "OLT DOWN") &gt; 0</f>
        <v>0</v>
      </c>
      <c r="G434" s="6" t="b">
        <f>COUNTIFS('OLT DOWN Tickets'!$AB:$AB, "*" &amp; D434 &amp; "*", 'OLT DOWN Tickets'!$L:$L, "OLT UPLINK LOW POWER") &gt; 0</f>
        <v>0</v>
      </c>
      <c r="H434" s="6" t="b">
        <f>COUNTIFS('OLT DOWN Tickets'!$AB:$AB, "*" &amp; D434 &amp; "*", 'OLT DOWN Tickets'!$L:$L, "OLT UPLINK DOWN") &gt; 0</f>
        <v>0</v>
      </c>
      <c r="I434" s="6" t="b">
        <f>COUNTIFS('OLT DOWN Tickets'!$AB:$AB, "*" &amp; D434 &amp; "*", 'OLT DOWN Tickets'!$L:$L, "OLT SERVICE DEGRADATION") &gt; 0</f>
        <v>0</v>
      </c>
      <c r="J434" s="32" t="str">
        <f>IFERROR(__xludf.DUMMYFUNCTION("IFERROR(INDEX(FILTER('OLT DOWN Tickets'!$F:$F, REGEXMATCH('OLT DOWN Tickets'!$AB:$AB, ""(?i)""&amp;TRIM(D434)), 'OLT DOWN Tickets'!$L:$L=""OLT DOWN""), 1), """")"),"")</f>
        <v/>
      </c>
      <c r="K434" s="32" t="str">
        <f>IFERROR(__xludf.DUMMYFUNCTION("IFERROR(INDEX(FILTER('OLT DOWN Tickets'!$F:$F, REGEXMATCH('OLT DOWN Tickets'!$AB:$AB, ""(?i)""&amp;TRIM(D434)), 'OLT DOWN Tickets'!$L:$L=""OLT UPLINK LOW POWER""), 1), """")"),"")</f>
        <v/>
      </c>
      <c r="L434" s="32" t="str">
        <f>IFERROR(__xludf.DUMMYFUNCTION("IFERROR(INDEX(FILTER('OLT DOWN Tickets'!$F:$F, REGEXMATCH('OLT DOWN Tickets'!$AB:$AB, ""(?i)""&amp;TRIM(D434)), 'OLT DOWN Tickets'!$L:$L=""OLT UPLINK DOWN""), 1), """")"),"")</f>
        <v/>
      </c>
      <c r="M434" s="32" t="str">
        <f>IFERROR(__xludf.DUMMYFUNCTION("IFERROR(INDEX(FILTER('OLT DOWN Tickets'!$F:$F, REGEXMATCH('OLT DOWN Tickets'!$AB:$AB, ""(?i)""&amp;TRIM(D434)), 'OLT DOWN Tickets'!$L:$L=""OLT SERVICE DEGRADATION""), 1), """")
"),"")</f>
        <v/>
      </c>
      <c r="N434" s="6" t="b">
        <v>0</v>
      </c>
      <c r="O434" s="6" t="b">
        <v>0</v>
      </c>
      <c r="P434" s="6" t="b">
        <v>0</v>
      </c>
      <c r="Q434" s="6" t="b">
        <v>0</v>
      </c>
      <c r="R434" s="6"/>
      <c r="S434" s="6"/>
      <c r="T434" s="6"/>
      <c r="U434" s="6"/>
    </row>
    <row r="435">
      <c r="A435" s="19"/>
      <c r="B435" s="26" t="s">
        <v>687</v>
      </c>
      <c r="C435" s="26" t="s">
        <v>750</v>
      </c>
      <c r="D435" s="27" t="s">
        <v>751</v>
      </c>
      <c r="E435" s="6" t="b">
        <f t="shared" si="1"/>
        <v>1</v>
      </c>
      <c r="F435" s="6" t="b">
        <f>COUNTIFS('OLT DOWN Tickets'!$AB:$AB, "*" &amp; D435 &amp; "*", 'OLT DOWN Tickets'!$L:$L, "OLT DOWN") &gt; 0</f>
        <v>0</v>
      </c>
      <c r="G435" s="6" t="b">
        <f>COUNTIFS('OLT DOWN Tickets'!$AB:$AB, "*" &amp; D435 &amp; "*", 'OLT DOWN Tickets'!$L:$L, "OLT UPLINK LOW POWER") &gt; 0</f>
        <v>0</v>
      </c>
      <c r="H435" s="6" t="b">
        <f>COUNTIFS('OLT DOWN Tickets'!$AB:$AB, "*" &amp; D435 &amp; "*", 'OLT DOWN Tickets'!$L:$L, "OLT UPLINK DOWN") &gt; 0</f>
        <v>0</v>
      </c>
      <c r="I435" s="6" t="b">
        <f>COUNTIFS('OLT DOWN Tickets'!$AB:$AB, "*" &amp; D435 &amp; "*", 'OLT DOWN Tickets'!$L:$L, "OLT SERVICE DEGRADATION") &gt; 0</f>
        <v>0</v>
      </c>
      <c r="J435" s="32" t="str">
        <f>IFERROR(__xludf.DUMMYFUNCTION("IFERROR(INDEX(FILTER('OLT DOWN Tickets'!$F:$F, REGEXMATCH('OLT DOWN Tickets'!$AB:$AB, ""(?i)""&amp;TRIM(D435)), 'OLT DOWN Tickets'!$L:$L=""OLT DOWN""), 1), """")"),"")</f>
        <v/>
      </c>
      <c r="K435" s="32" t="str">
        <f>IFERROR(__xludf.DUMMYFUNCTION("IFERROR(INDEX(FILTER('OLT DOWN Tickets'!$F:$F, REGEXMATCH('OLT DOWN Tickets'!$AB:$AB, ""(?i)""&amp;TRIM(D435)), 'OLT DOWN Tickets'!$L:$L=""OLT UPLINK LOW POWER""), 1), """")"),"")</f>
        <v/>
      </c>
      <c r="L435" s="32" t="str">
        <f>IFERROR(__xludf.DUMMYFUNCTION("IFERROR(INDEX(FILTER('OLT DOWN Tickets'!$F:$F, REGEXMATCH('OLT DOWN Tickets'!$AB:$AB, ""(?i)""&amp;TRIM(D435)), 'OLT DOWN Tickets'!$L:$L=""OLT UPLINK DOWN""), 1), """")"),"")</f>
        <v/>
      </c>
      <c r="M435" s="32" t="str">
        <f>IFERROR(__xludf.DUMMYFUNCTION("IFERROR(INDEX(FILTER('OLT DOWN Tickets'!$F:$F, REGEXMATCH('OLT DOWN Tickets'!$AB:$AB, ""(?i)""&amp;TRIM(D435)), 'OLT DOWN Tickets'!$L:$L=""OLT SERVICE DEGRADATION""), 1), """")
"),"")</f>
        <v/>
      </c>
      <c r="N435" s="6" t="b">
        <v>0</v>
      </c>
      <c r="O435" s="6" t="b">
        <v>0</v>
      </c>
      <c r="P435" s="6" t="b">
        <v>0</v>
      </c>
      <c r="Q435" s="6" t="b">
        <v>0</v>
      </c>
      <c r="R435" s="6"/>
      <c r="S435" s="6"/>
      <c r="T435" s="6"/>
      <c r="U435" s="6"/>
    </row>
    <row r="436">
      <c r="A436" s="19"/>
      <c r="B436" s="26" t="s">
        <v>687</v>
      </c>
      <c r="C436" s="26" t="s">
        <v>750</v>
      </c>
      <c r="D436" s="27" t="s">
        <v>752</v>
      </c>
      <c r="E436" s="6" t="b">
        <f t="shared" si="1"/>
        <v>1</v>
      </c>
      <c r="F436" s="6" t="b">
        <f>COUNTIFS('OLT DOWN Tickets'!$AB:$AB, "*" &amp; D436 &amp; "*", 'OLT DOWN Tickets'!$L:$L, "OLT DOWN") &gt; 0</f>
        <v>0</v>
      </c>
      <c r="G436" s="6" t="b">
        <f>COUNTIFS('OLT DOWN Tickets'!$AB:$AB, "*" &amp; D436 &amp; "*", 'OLT DOWN Tickets'!$L:$L, "OLT UPLINK LOW POWER") &gt; 0</f>
        <v>0</v>
      </c>
      <c r="H436" s="6" t="b">
        <f>COUNTIFS('OLT DOWN Tickets'!$AB:$AB, "*" &amp; D436 &amp; "*", 'OLT DOWN Tickets'!$L:$L, "OLT UPLINK DOWN") &gt; 0</f>
        <v>0</v>
      </c>
      <c r="I436" s="6" t="b">
        <f>COUNTIFS('OLT DOWN Tickets'!$AB:$AB, "*" &amp; D436 &amp; "*", 'OLT DOWN Tickets'!$L:$L, "OLT SERVICE DEGRADATION") &gt; 0</f>
        <v>0</v>
      </c>
      <c r="J436" s="32" t="str">
        <f>IFERROR(__xludf.DUMMYFUNCTION("IFERROR(INDEX(FILTER('OLT DOWN Tickets'!$F:$F, REGEXMATCH('OLT DOWN Tickets'!$AB:$AB, ""(?i)""&amp;TRIM(D436)), 'OLT DOWN Tickets'!$L:$L=""OLT DOWN""), 1), """")"),"")</f>
        <v/>
      </c>
      <c r="K436" s="32" t="str">
        <f>IFERROR(__xludf.DUMMYFUNCTION("IFERROR(INDEX(FILTER('OLT DOWN Tickets'!$F:$F, REGEXMATCH('OLT DOWN Tickets'!$AB:$AB, ""(?i)""&amp;TRIM(D436)), 'OLT DOWN Tickets'!$L:$L=""OLT UPLINK LOW POWER""), 1), """")"),"")</f>
        <v/>
      </c>
      <c r="L436" s="32" t="str">
        <f>IFERROR(__xludf.DUMMYFUNCTION("IFERROR(INDEX(FILTER('OLT DOWN Tickets'!$F:$F, REGEXMATCH('OLT DOWN Tickets'!$AB:$AB, ""(?i)""&amp;TRIM(D436)), 'OLT DOWN Tickets'!$L:$L=""OLT UPLINK DOWN""), 1), """")"),"")</f>
        <v/>
      </c>
      <c r="M436" s="32" t="str">
        <f>IFERROR(__xludf.DUMMYFUNCTION("IFERROR(INDEX(FILTER('OLT DOWN Tickets'!$F:$F, REGEXMATCH('OLT DOWN Tickets'!$AB:$AB, ""(?i)""&amp;TRIM(D436)), 'OLT DOWN Tickets'!$L:$L=""OLT SERVICE DEGRADATION""), 1), """")
"),"")</f>
        <v/>
      </c>
      <c r="N436" s="6" t="b">
        <v>0</v>
      </c>
      <c r="O436" s="6" t="b">
        <v>0</v>
      </c>
      <c r="P436" s="6" t="b">
        <v>0</v>
      </c>
      <c r="Q436" s="6" t="b">
        <v>0</v>
      </c>
      <c r="R436" s="6"/>
      <c r="S436" s="6"/>
      <c r="T436" s="6"/>
      <c r="U436" s="6"/>
    </row>
    <row r="437">
      <c r="A437" s="19"/>
      <c r="B437" s="26" t="s">
        <v>687</v>
      </c>
      <c r="C437" s="26" t="s">
        <v>753</v>
      </c>
      <c r="D437" s="27" t="s">
        <v>754</v>
      </c>
      <c r="E437" s="6" t="b">
        <f t="shared" si="1"/>
        <v>1</v>
      </c>
      <c r="F437" s="6" t="b">
        <f>COUNTIFS('OLT DOWN Tickets'!$AB:$AB, "*" &amp; D437 &amp; "*", 'OLT DOWN Tickets'!$L:$L, "OLT DOWN") &gt; 0</f>
        <v>0</v>
      </c>
      <c r="G437" s="6" t="b">
        <f>COUNTIFS('OLT DOWN Tickets'!$AB:$AB, "*" &amp; D437 &amp; "*", 'OLT DOWN Tickets'!$L:$L, "OLT UPLINK LOW POWER") &gt; 0</f>
        <v>0</v>
      </c>
      <c r="H437" s="6" t="b">
        <f>COUNTIFS('OLT DOWN Tickets'!$AB:$AB, "*" &amp; D437 &amp; "*", 'OLT DOWN Tickets'!$L:$L, "OLT UPLINK DOWN") &gt; 0</f>
        <v>0</v>
      </c>
      <c r="I437" s="6" t="b">
        <f>COUNTIFS('OLT DOWN Tickets'!$AB:$AB, "*" &amp; D437 &amp; "*", 'OLT DOWN Tickets'!$L:$L, "OLT SERVICE DEGRADATION") &gt; 0</f>
        <v>0</v>
      </c>
      <c r="J437" s="32" t="str">
        <f>IFERROR(__xludf.DUMMYFUNCTION("IFERROR(INDEX(FILTER('OLT DOWN Tickets'!$F:$F, REGEXMATCH('OLT DOWN Tickets'!$AB:$AB, ""(?i)""&amp;TRIM(D437)), 'OLT DOWN Tickets'!$L:$L=""OLT DOWN""), 1), """")"),"")</f>
        <v/>
      </c>
      <c r="K437" s="32" t="str">
        <f>IFERROR(__xludf.DUMMYFUNCTION("IFERROR(INDEX(FILTER('OLT DOWN Tickets'!$F:$F, REGEXMATCH('OLT DOWN Tickets'!$AB:$AB, ""(?i)""&amp;TRIM(D437)), 'OLT DOWN Tickets'!$L:$L=""OLT UPLINK LOW POWER""), 1), """")"),"")</f>
        <v/>
      </c>
      <c r="L437" s="32" t="str">
        <f>IFERROR(__xludf.DUMMYFUNCTION("IFERROR(INDEX(FILTER('OLT DOWN Tickets'!$F:$F, REGEXMATCH('OLT DOWN Tickets'!$AB:$AB, ""(?i)""&amp;TRIM(D437)), 'OLT DOWN Tickets'!$L:$L=""OLT UPLINK DOWN""), 1), """")"),"")</f>
        <v/>
      </c>
      <c r="M437" s="32" t="str">
        <f>IFERROR(__xludf.DUMMYFUNCTION("IFERROR(INDEX(FILTER('OLT DOWN Tickets'!$F:$F, REGEXMATCH('OLT DOWN Tickets'!$AB:$AB, ""(?i)""&amp;TRIM(D437)), 'OLT DOWN Tickets'!$L:$L=""OLT SERVICE DEGRADATION""), 1), """")
"),"")</f>
        <v/>
      </c>
      <c r="N437" s="6" t="b">
        <v>0</v>
      </c>
      <c r="O437" s="6" t="b">
        <v>0</v>
      </c>
      <c r="P437" s="6" t="b">
        <v>0</v>
      </c>
      <c r="Q437" s="6" t="b">
        <v>0</v>
      </c>
      <c r="R437" s="6"/>
      <c r="S437" s="6"/>
      <c r="T437" s="6"/>
      <c r="U437" s="6"/>
    </row>
    <row r="438">
      <c r="A438" s="19"/>
      <c r="B438" s="26" t="s">
        <v>687</v>
      </c>
      <c r="C438" s="26" t="s">
        <v>753</v>
      </c>
      <c r="D438" s="27" t="s">
        <v>755</v>
      </c>
      <c r="E438" s="6" t="b">
        <f t="shared" si="1"/>
        <v>1</v>
      </c>
      <c r="F438" s="6" t="b">
        <f>COUNTIFS('OLT DOWN Tickets'!$AB:$AB, "*" &amp; D438 &amp; "*", 'OLT DOWN Tickets'!$L:$L, "OLT DOWN") &gt; 0</f>
        <v>0</v>
      </c>
      <c r="G438" s="6" t="b">
        <f>COUNTIFS('OLT DOWN Tickets'!$AB:$AB, "*" &amp; D438 &amp; "*", 'OLT DOWN Tickets'!$L:$L, "OLT UPLINK LOW POWER") &gt; 0</f>
        <v>0</v>
      </c>
      <c r="H438" s="6" t="b">
        <f>COUNTIFS('OLT DOWN Tickets'!$AB:$AB, "*" &amp; D438 &amp; "*", 'OLT DOWN Tickets'!$L:$L, "OLT UPLINK DOWN") &gt; 0</f>
        <v>0</v>
      </c>
      <c r="I438" s="6" t="b">
        <f>COUNTIFS('OLT DOWN Tickets'!$AB:$AB, "*" &amp; D438 &amp; "*", 'OLT DOWN Tickets'!$L:$L, "OLT SERVICE DEGRADATION") &gt; 0</f>
        <v>0</v>
      </c>
      <c r="J438" s="32" t="str">
        <f>IFERROR(__xludf.DUMMYFUNCTION("IFERROR(INDEX(FILTER('OLT DOWN Tickets'!$F:$F, REGEXMATCH('OLT DOWN Tickets'!$AB:$AB, ""(?i)""&amp;TRIM(D438)), 'OLT DOWN Tickets'!$L:$L=""OLT DOWN""), 1), """")"),"")</f>
        <v/>
      </c>
      <c r="K438" s="32" t="str">
        <f>IFERROR(__xludf.DUMMYFUNCTION("IFERROR(INDEX(FILTER('OLT DOWN Tickets'!$F:$F, REGEXMATCH('OLT DOWN Tickets'!$AB:$AB, ""(?i)""&amp;TRIM(D438)), 'OLT DOWN Tickets'!$L:$L=""OLT UPLINK LOW POWER""), 1), """")"),"")</f>
        <v/>
      </c>
      <c r="L438" s="32" t="str">
        <f>IFERROR(__xludf.DUMMYFUNCTION("IFERROR(INDEX(FILTER('OLT DOWN Tickets'!$F:$F, REGEXMATCH('OLT DOWN Tickets'!$AB:$AB, ""(?i)""&amp;TRIM(D438)), 'OLT DOWN Tickets'!$L:$L=""OLT UPLINK DOWN""), 1), """")"),"")</f>
        <v/>
      </c>
      <c r="M438" s="32" t="str">
        <f>IFERROR(__xludf.DUMMYFUNCTION("IFERROR(INDEX(FILTER('OLT DOWN Tickets'!$F:$F, REGEXMATCH('OLT DOWN Tickets'!$AB:$AB, ""(?i)""&amp;TRIM(D438)), 'OLT DOWN Tickets'!$L:$L=""OLT SERVICE DEGRADATION""), 1), """")
"),"")</f>
        <v/>
      </c>
      <c r="N438" s="6" t="b">
        <v>0</v>
      </c>
      <c r="O438" s="6" t="b">
        <v>0</v>
      </c>
      <c r="P438" s="6" t="b">
        <v>0</v>
      </c>
      <c r="Q438" s="6" t="b">
        <v>0</v>
      </c>
      <c r="R438" s="6"/>
      <c r="S438" s="6"/>
      <c r="T438" s="6"/>
      <c r="U438" s="6"/>
    </row>
    <row r="439">
      <c r="A439" s="19"/>
      <c r="B439" s="26" t="s">
        <v>687</v>
      </c>
      <c r="C439" s="26" t="s">
        <v>753</v>
      </c>
      <c r="D439" s="27" t="s">
        <v>756</v>
      </c>
      <c r="E439" s="6" t="b">
        <f t="shared" si="1"/>
        <v>1</v>
      </c>
      <c r="F439" s="6" t="b">
        <f>COUNTIFS('OLT DOWN Tickets'!$AB:$AB, "*" &amp; D439 &amp; "*", 'OLT DOWN Tickets'!$L:$L, "OLT DOWN") &gt; 0</f>
        <v>0</v>
      </c>
      <c r="G439" s="6" t="b">
        <f>COUNTIFS('OLT DOWN Tickets'!$AB:$AB, "*" &amp; D439 &amp; "*", 'OLT DOWN Tickets'!$L:$L, "OLT UPLINK LOW POWER") &gt; 0</f>
        <v>0</v>
      </c>
      <c r="H439" s="6" t="b">
        <f>COUNTIFS('OLT DOWN Tickets'!$AB:$AB, "*" &amp; D439 &amp; "*", 'OLT DOWN Tickets'!$L:$L, "OLT UPLINK DOWN") &gt; 0</f>
        <v>0</v>
      </c>
      <c r="I439" s="6" t="b">
        <f>COUNTIFS('OLT DOWN Tickets'!$AB:$AB, "*" &amp; D439 &amp; "*", 'OLT DOWN Tickets'!$L:$L, "OLT SERVICE DEGRADATION") &gt; 0</f>
        <v>0</v>
      </c>
      <c r="J439" s="32" t="str">
        <f>IFERROR(__xludf.DUMMYFUNCTION("IFERROR(INDEX(FILTER('OLT DOWN Tickets'!$F:$F, REGEXMATCH('OLT DOWN Tickets'!$AB:$AB, ""(?i)""&amp;TRIM(D439)), 'OLT DOWN Tickets'!$L:$L=""OLT DOWN""), 1), """")"),"")</f>
        <v/>
      </c>
      <c r="K439" s="32" t="str">
        <f>IFERROR(__xludf.DUMMYFUNCTION("IFERROR(INDEX(FILTER('OLT DOWN Tickets'!$F:$F, REGEXMATCH('OLT DOWN Tickets'!$AB:$AB, ""(?i)""&amp;TRIM(D439)), 'OLT DOWN Tickets'!$L:$L=""OLT UPLINK LOW POWER""), 1), """")"),"")</f>
        <v/>
      </c>
      <c r="L439" s="32" t="str">
        <f>IFERROR(__xludf.DUMMYFUNCTION("IFERROR(INDEX(FILTER('OLT DOWN Tickets'!$F:$F, REGEXMATCH('OLT DOWN Tickets'!$AB:$AB, ""(?i)""&amp;TRIM(D439)), 'OLT DOWN Tickets'!$L:$L=""OLT UPLINK DOWN""), 1), """")"),"")</f>
        <v/>
      </c>
      <c r="M439" s="32" t="str">
        <f>IFERROR(__xludf.DUMMYFUNCTION("IFERROR(INDEX(FILTER('OLT DOWN Tickets'!$F:$F, REGEXMATCH('OLT DOWN Tickets'!$AB:$AB, ""(?i)""&amp;TRIM(D439)), 'OLT DOWN Tickets'!$L:$L=""OLT SERVICE DEGRADATION""), 1), """")
"),"")</f>
        <v/>
      </c>
      <c r="N439" s="6" t="b">
        <v>0</v>
      </c>
      <c r="O439" s="6" t="b">
        <v>0</v>
      </c>
      <c r="P439" s="6" t="b">
        <v>0</v>
      </c>
      <c r="Q439" s="6" t="b">
        <v>0</v>
      </c>
      <c r="R439" s="6"/>
      <c r="S439" s="6"/>
      <c r="T439" s="6"/>
      <c r="U439" s="6"/>
    </row>
    <row r="440">
      <c r="A440" s="19"/>
      <c r="B440" s="26" t="s">
        <v>687</v>
      </c>
      <c r="C440" s="26" t="s">
        <v>753</v>
      </c>
      <c r="D440" s="27" t="s">
        <v>757</v>
      </c>
      <c r="E440" s="6" t="b">
        <f t="shared" si="1"/>
        <v>1</v>
      </c>
      <c r="F440" s="6" t="b">
        <f>COUNTIFS('OLT DOWN Tickets'!$AB:$AB, "*" &amp; D440 &amp; "*", 'OLT DOWN Tickets'!$L:$L, "OLT DOWN") &gt; 0</f>
        <v>0</v>
      </c>
      <c r="G440" s="6" t="b">
        <f>COUNTIFS('OLT DOWN Tickets'!$AB:$AB, "*" &amp; D440 &amp; "*", 'OLT DOWN Tickets'!$L:$L, "OLT UPLINK LOW POWER") &gt; 0</f>
        <v>0</v>
      </c>
      <c r="H440" s="6" t="b">
        <f>COUNTIFS('OLT DOWN Tickets'!$AB:$AB, "*" &amp; D440 &amp; "*", 'OLT DOWN Tickets'!$L:$L, "OLT UPLINK DOWN") &gt; 0</f>
        <v>0</v>
      </c>
      <c r="I440" s="6" t="b">
        <f>COUNTIFS('OLT DOWN Tickets'!$AB:$AB, "*" &amp; D440 &amp; "*", 'OLT DOWN Tickets'!$L:$L, "OLT SERVICE DEGRADATION") &gt; 0</f>
        <v>0</v>
      </c>
      <c r="J440" s="32" t="str">
        <f>IFERROR(__xludf.DUMMYFUNCTION("IFERROR(INDEX(FILTER('OLT DOWN Tickets'!$F:$F, REGEXMATCH('OLT DOWN Tickets'!$AB:$AB, ""(?i)""&amp;TRIM(D440)), 'OLT DOWN Tickets'!$L:$L=""OLT DOWN""), 1), """")"),"")</f>
        <v/>
      </c>
      <c r="K440" s="32" t="str">
        <f>IFERROR(__xludf.DUMMYFUNCTION("IFERROR(INDEX(FILTER('OLT DOWN Tickets'!$F:$F, REGEXMATCH('OLT DOWN Tickets'!$AB:$AB, ""(?i)""&amp;TRIM(D440)), 'OLT DOWN Tickets'!$L:$L=""OLT UPLINK LOW POWER""), 1), """")"),"")</f>
        <v/>
      </c>
      <c r="L440" s="32" t="str">
        <f>IFERROR(__xludf.DUMMYFUNCTION("IFERROR(INDEX(FILTER('OLT DOWN Tickets'!$F:$F, REGEXMATCH('OLT DOWN Tickets'!$AB:$AB, ""(?i)""&amp;TRIM(D440)), 'OLT DOWN Tickets'!$L:$L=""OLT UPLINK DOWN""), 1), """")"),"")</f>
        <v/>
      </c>
      <c r="M440" s="32" t="str">
        <f>IFERROR(__xludf.DUMMYFUNCTION("IFERROR(INDEX(FILTER('OLT DOWN Tickets'!$F:$F, REGEXMATCH('OLT DOWN Tickets'!$AB:$AB, ""(?i)""&amp;TRIM(D440)), 'OLT DOWN Tickets'!$L:$L=""OLT SERVICE DEGRADATION""), 1), """")
"),"")</f>
        <v/>
      </c>
      <c r="N440" s="6" t="b">
        <v>0</v>
      </c>
      <c r="O440" s="6" t="b">
        <v>0</v>
      </c>
      <c r="P440" s="6" t="b">
        <v>0</v>
      </c>
      <c r="Q440" s="6" t="b">
        <v>0</v>
      </c>
      <c r="R440" s="6"/>
      <c r="S440" s="6"/>
      <c r="T440" s="6"/>
      <c r="U440" s="6"/>
    </row>
    <row r="441">
      <c r="A441" s="19"/>
      <c r="B441" s="26" t="s">
        <v>687</v>
      </c>
      <c r="C441" s="26" t="s">
        <v>758</v>
      </c>
      <c r="D441" s="27" t="s">
        <v>759</v>
      </c>
      <c r="E441" s="6" t="b">
        <f t="shared" si="1"/>
        <v>1</v>
      </c>
      <c r="F441" s="6" t="b">
        <f>COUNTIFS('OLT DOWN Tickets'!$AB:$AB, "*" &amp; D441 &amp; "*", 'OLT DOWN Tickets'!$L:$L, "OLT DOWN") &gt; 0</f>
        <v>0</v>
      </c>
      <c r="G441" s="6" t="b">
        <f>COUNTIFS('OLT DOWN Tickets'!$AB:$AB, "*" &amp; D441 &amp; "*", 'OLT DOWN Tickets'!$L:$L, "OLT UPLINK LOW POWER") &gt; 0</f>
        <v>0</v>
      </c>
      <c r="H441" s="6" t="b">
        <f>COUNTIFS('OLT DOWN Tickets'!$AB:$AB, "*" &amp; D441 &amp; "*", 'OLT DOWN Tickets'!$L:$L, "OLT UPLINK DOWN") &gt; 0</f>
        <v>0</v>
      </c>
      <c r="I441" s="6" t="b">
        <f>COUNTIFS('OLT DOWN Tickets'!$AB:$AB, "*" &amp; D441 &amp; "*", 'OLT DOWN Tickets'!$L:$L, "OLT SERVICE DEGRADATION") &gt; 0</f>
        <v>0</v>
      </c>
      <c r="J441" s="32" t="str">
        <f>IFERROR(__xludf.DUMMYFUNCTION("IFERROR(INDEX(FILTER('OLT DOWN Tickets'!$F:$F, REGEXMATCH('OLT DOWN Tickets'!$AB:$AB, ""(?i)""&amp;TRIM(D441)), 'OLT DOWN Tickets'!$L:$L=""OLT DOWN""), 1), """")"),"")</f>
        <v/>
      </c>
      <c r="K441" s="32" t="str">
        <f>IFERROR(__xludf.DUMMYFUNCTION("IFERROR(INDEX(FILTER('OLT DOWN Tickets'!$F:$F, REGEXMATCH('OLT DOWN Tickets'!$AB:$AB, ""(?i)""&amp;TRIM(D441)), 'OLT DOWN Tickets'!$L:$L=""OLT UPLINK LOW POWER""), 1), """")"),"")</f>
        <v/>
      </c>
      <c r="L441" s="32" t="str">
        <f>IFERROR(__xludf.DUMMYFUNCTION("IFERROR(INDEX(FILTER('OLT DOWN Tickets'!$F:$F, REGEXMATCH('OLT DOWN Tickets'!$AB:$AB, ""(?i)""&amp;TRIM(D441)), 'OLT DOWN Tickets'!$L:$L=""OLT UPLINK DOWN""), 1), """")"),"")</f>
        <v/>
      </c>
      <c r="M441" s="32" t="str">
        <f>IFERROR(__xludf.DUMMYFUNCTION("IFERROR(INDEX(FILTER('OLT DOWN Tickets'!$F:$F, REGEXMATCH('OLT DOWN Tickets'!$AB:$AB, ""(?i)""&amp;TRIM(D441)), 'OLT DOWN Tickets'!$L:$L=""OLT SERVICE DEGRADATION""), 1), """")
"),"")</f>
        <v/>
      </c>
      <c r="N441" s="6" t="b">
        <v>0</v>
      </c>
      <c r="O441" s="6" t="b">
        <v>0</v>
      </c>
      <c r="P441" s="6" t="b">
        <v>0</v>
      </c>
      <c r="Q441" s="6" t="b">
        <v>0</v>
      </c>
      <c r="R441" s="6"/>
      <c r="S441" s="6"/>
      <c r="T441" s="6"/>
      <c r="U441" s="6"/>
    </row>
    <row r="442">
      <c r="A442" s="19"/>
      <c r="B442" s="26" t="s">
        <v>687</v>
      </c>
      <c r="C442" s="26" t="s">
        <v>507</v>
      </c>
      <c r="D442" s="27" t="s">
        <v>760</v>
      </c>
      <c r="E442" s="6" t="b">
        <f t="shared" si="1"/>
        <v>1</v>
      </c>
      <c r="F442" s="6" t="b">
        <f>COUNTIFS('OLT DOWN Tickets'!$AB:$AB, "*" &amp; D442 &amp; "*", 'OLT DOWN Tickets'!$L:$L, "OLT DOWN") &gt; 0</f>
        <v>0</v>
      </c>
      <c r="G442" s="6" t="b">
        <f>COUNTIFS('OLT DOWN Tickets'!$AB:$AB, "*" &amp; D442 &amp; "*", 'OLT DOWN Tickets'!$L:$L, "OLT UPLINK LOW POWER") &gt; 0</f>
        <v>0</v>
      </c>
      <c r="H442" s="6" t="b">
        <f>COUNTIFS('OLT DOWN Tickets'!$AB:$AB, "*" &amp; D442 &amp; "*", 'OLT DOWN Tickets'!$L:$L, "OLT UPLINK DOWN") &gt; 0</f>
        <v>0</v>
      </c>
      <c r="I442" s="6" t="b">
        <f>COUNTIFS('OLT DOWN Tickets'!$AB:$AB, "*" &amp; D442 &amp; "*", 'OLT DOWN Tickets'!$L:$L, "OLT SERVICE DEGRADATION") &gt; 0</f>
        <v>0</v>
      </c>
      <c r="J442" s="32" t="str">
        <f>IFERROR(__xludf.DUMMYFUNCTION("IFERROR(INDEX(FILTER('OLT DOWN Tickets'!$F:$F, REGEXMATCH('OLT DOWN Tickets'!$AB:$AB, ""(?i)""&amp;TRIM(D442)), 'OLT DOWN Tickets'!$L:$L=""OLT DOWN""), 1), """")"),"")</f>
        <v/>
      </c>
      <c r="K442" s="32" t="str">
        <f>IFERROR(__xludf.DUMMYFUNCTION("IFERROR(INDEX(FILTER('OLT DOWN Tickets'!$F:$F, REGEXMATCH('OLT DOWN Tickets'!$AB:$AB, ""(?i)""&amp;TRIM(D442)), 'OLT DOWN Tickets'!$L:$L=""OLT UPLINK LOW POWER""), 1), """")"),"")</f>
        <v/>
      </c>
      <c r="L442" s="32" t="str">
        <f>IFERROR(__xludf.DUMMYFUNCTION("IFERROR(INDEX(FILTER('OLT DOWN Tickets'!$F:$F, REGEXMATCH('OLT DOWN Tickets'!$AB:$AB, ""(?i)""&amp;TRIM(D442)), 'OLT DOWN Tickets'!$L:$L=""OLT UPLINK DOWN""), 1), """")"),"")</f>
        <v/>
      </c>
      <c r="M442" s="32" t="str">
        <f>IFERROR(__xludf.DUMMYFUNCTION("IFERROR(INDEX(FILTER('OLT DOWN Tickets'!$F:$F, REGEXMATCH('OLT DOWN Tickets'!$AB:$AB, ""(?i)""&amp;TRIM(D442)), 'OLT DOWN Tickets'!$L:$L=""OLT SERVICE DEGRADATION""), 1), """")
"),"")</f>
        <v/>
      </c>
      <c r="N442" s="6" t="b">
        <v>0</v>
      </c>
      <c r="O442" s="6" t="b">
        <v>0</v>
      </c>
      <c r="P442" s="6" t="b">
        <v>0</v>
      </c>
      <c r="Q442" s="6" t="b">
        <v>0</v>
      </c>
      <c r="R442" s="6"/>
      <c r="S442" s="6"/>
      <c r="T442" s="6"/>
      <c r="U442" s="6"/>
    </row>
    <row r="443">
      <c r="A443" s="19"/>
      <c r="B443" s="26" t="s">
        <v>687</v>
      </c>
      <c r="C443" s="26" t="s">
        <v>761</v>
      </c>
      <c r="D443" s="27" t="s">
        <v>762</v>
      </c>
      <c r="E443" s="6" t="b">
        <f t="shared" si="1"/>
        <v>1</v>
      </c>
      <c r="F443" s="6" t="b">
        <f>COUNTIFS('OLT DOWN Tickets'!$AB:$AB, "*" &amp; D443 &amp; "*", 'OLT DOWN Tickets'!$L:$L, "OLT DOWN") &gt; 0</f>
        <v>0</v>
      </c>
      <c r="G443" s="6" t="b">
        <f>COUNTIFS('OLT DOWN Tickets'!$AB:$AB, "*" &amp; D443 &amp; "*", 'OLT DOWN Tickets'!$L:$L, "OLT UPLINK LOW POWER") &gt; 0</f>
        <v>0</v>
      </c>
      <c r="H443" s="6" t="b">
        <f>COUNTIFS('OLT DOWN Tickets'!$AB:$AB, "*" &amp; D443 &amp; "*", 'OLT DOWN Tickets'!$L:$L, "OLT UPLINK DOWN") &gt; 0</f>
        <v>0</v>
      </c>
      <c r="I443" s="6" t="b">
        <f>COUNTIFS('OLT DOWN Tickets'!$AB:$AB, "*" &amp; D443 &amp; "*", 'OLT DOWN Tickets'!$L:$L, "OLT SERVICE DEGRADATION") &gt; 0</f>
        <v>0</v>
      </c>
      <c r="J443" s="32" t="str">
        <f>IFERROR(__xludf.DUMMYFUNCTION("IFERROR(INDEX(FILTER('OLT DOWN Tickets'!$F:$F, REGEXMATCH('OLT DOWN Tickets'!$AB:$AB, ""(?i)""&amp;TRIM(D443)), 'OLT DOWN Tickets'!$L:$L=""OLT DOWN""), 1), """")"),"")</f>
        <v/>
      </c>
      <c r="K443" s="32" t="str">
        <f>IFERROR(__xludf.DUMMYFUNCTION("IFERROR(INDEX(FILTER('OLT DOWN Tickets'!$F:$F, REGEXMATCH('OLT DOWN Tickets'!$AB:$AB, ""(?i)""&amp;TRIM(D443)), 'OLT DOWN Tickets'!$L:$L=""OLT UPLINK LOW POWER""), 1), """")"),"")</f>
        <v/>
      </c>
      <c r="L443" s="32" t="str">
        <f>IFERROR(__xludf.DUMMYFUNCTION("IFERROR(INDEX(FILTER('OLT DOWN Tickets'!$F:$F, REGEXMATCH('OLT DOWN Tickets'!$AB:$AB, ""(?i)""&amp;TRIM(D443)), 'OLT DOWN Tickets'!$L:$L=""OLT UPLINK DOWN""), 1), """")"),"")</f>
        <v/>
      </c>
      <c r="M443" s="32" t="str">
        <f>IFERROR(__xludf.DUMMYFUNCTION("IFERROR(INDEX(FILTER('OLT DOWN Tickets'!$F:$F, REGEXMATCH('OLT DOWN Tickets'!$AB:$AB, ""(?i)""&amp;TRIM(D443)), 'OLT DOWN Tickets'!$L:$L=""OLT SERVICE DEGRADATION""), 1), """")
"),"")</f>
        <v/>
      </c>
      <c r="N443" s="6" t="b">
        <v>0</v>
      </c>
      <c r="O443" s="6" t="b">
        <v>0</v>
      </c>
      <c r="P443" s="6" t="b">
        <v>0</v>
      </c>
      <c r="Q443" s="6" t="b">
        <v>0</v>
      </c>
      <c r="R443" s="6"/>
      <c r="S443" s="6"/>
      <c r="T443" s="6"/>
      <c r="U443" s="6"/>
    </row>
    <row r="444">
      <c r="A444" s="19"/>
      <c r="B444" s="26" t="s">
        <v>687</v>
      </c>
      <c r="C444" s="26" t="s">
        <v>761</v>
      </c>
      <c r="D444" s="27" t="s">
        <v>763</v>
      </c>
      <c r="E444" s="6" t="b">
        <f t="shared" si="1"/>
        <v>1</v>
      </c>
      <c r="F444" s="6" t="b">
        <f>COUNTIFS('OLT DOWN Tickets'!$AB:$AB, "*" &amp; D444 &amp; "*", 'OLT DOWN Tickets'!$L:$L, "OLT DOWN") &gt; 0</f>
        <v>0</v>
      </c>
      <c r="G444" s="6" t="b">
        <f>COUNTIFS('OLT DOWN Tickets'!$AB:$AB, "*" &amp; D444 &amp; "*", 'OLT DOWN Tickets'!$L:$L, "OLT UPLINK LOW POWER") &gt; 0</f>
        <v>0</v>
      </c>
      <c r="H444" s="6" t="b">
        <f>COUNTIFS('OLT DOWN Tickets'!$AB:$AB, "*" &amp; D444 &amp; "*", 'OLT DOWN Tickets'!$L:$L, "OLT UPLINK DOWN") &gt; 0</f>
        <v>0</v>
      </c>
      <c r="I444" s="6" t="b">
        <f>COUNTIFS('OLT DOWN Tickets'!$AB:$AB, "*" &amp; D444 &amp; "*", 'OLT DOWN Tickets'!$L:$L, "OLT SERVICE DEGRADATION") &gt; 0</f>
        <v>0</v>
      </c>
      <c r="J444" s="32" t="str">
        <f>IFERROR(__xludf.DUMMYFUNCTION("IFERROR(INDEX(FILTER('OLT DOWN Tickets'!$F:$F, REGEXMATCH('OLT DOWN Tickets'!$AB:$AB, ""(?i)""&amp;TRIM(D444)), 'OLT DOWN Tickets'!$L:$L=""OLT DOWN""), 1), """")"),"")</f>
        <v/>
      </c>
      <c r="K444" s="32" t="str">
        <f>IFERROR(__xludf.DUMMYFUNCTION("IFERROR(INDEX(FILTER('OLT DOWN Tickets'!$F:$F, REGEXMATCH('OLT DOWN Tickets'!$AB:$AB, ""(?i)""&amp;TRIM(D444)), 'OLT DOWN Tickets'!$L:$L=""OLT UPLINK LOW POWER""), 1), """")"),"")</f>
        <v/>
      </c>
      <c r="L444" s="32" t="str">
        <f>IFERROR(__xludf.DUMMYFUNCTION("IFERROR(INDEX(FILTER('OLT DOWN Tickets'!$F:$F, REGEXMATCH('OLT DOWN Tickets'!$AB:$AB, ""(?i)""&amp;TRIM(D444)), 'OLT DOWN Tickets'!$L:$L=""OLT UPLINK DOWN""), 1), """")"),"")</f>
        <v/>
      </c>
      <c r="M444" s="32" t="str">
        <f>IFERROR(__xludf.DUMMYFUNCTION("IFERROR(INDEX(FILTER('OLT DOWN Tickets'!$F:$F, REGEXMATCH('OLT DOWN Tickets'!$AB:$AB, ""(?i)""&amp;TRIM(D444)), 'OLT DOWN Tickets'!$L:$L=""OLT SERVICE DEGRADATION""), 1), """")
"),"")</f>
        <v/>
      </c>
      <c r="N444" s="6" t="b">
        <v>0</v>
      </c>
      <c r="O444" s="6" t="b">
        <v>0</v>
      </c>
      <c r="P444" s="6" t="b">
        <v>0</v>
      </c>
      <c r="Q444" s="6" t="b">
        <v>0</v>
      </c>
      <c r="R444" s="6"/>
      <c r="S444" s="6"/>
      <c r="T444" s="6"/>
      <c r="U444" s="6"/>
    </row>
    <row r="445">
      <c r="A445" s="19"/>
      <c r="B445" s="26" t="s">
        <v>687</v>
      </c>
      <c r="C445" s="26" t="s">
        <v>401</v>
      </c>
      <c r="D445" s="27" t="s">
        <v>764</v>
      </c>
      <c r="E445" s="6" t="b">
        <f t="shared" si="1"/>
        <v>1</v>
      </c>
      <c r="F445" s="6" t="b">
        <f>COUNTIFS('OLT DOWN Tickets'!$AB:$AB, "*" &amp; D445 &amp; "*", 'OLT DOWN Tickets'!$L:$L, "OLT DOWN") &gt; 0</f>
        <v>0</v>
      </c>
      <c r="G445" s="6" t="b">
        <f>COUNTIFS('OLT DOWN Tickets'!$AB:$AB, "*" &amp; D445 &amp; "*", 'OLT DOWN Tickets'!$L:$L, "OLT UPLINK LOW POWER") &gt; 0</f>
        <v>0</v>
      </c>
      <c r="H445" s="6" t="b">
        <f>COUNTIFS('OLT DOWN Tickets'!$AB:$AB, "*" &amp; D445 &amp; "*", 'OLT DOWN Tickets'!$L:$L, "OLT UPLINK DOWN") &gt; 0</f>
        <v>0</v>
      </c>
      <c r="I445" s="6" t="b">
        <f>COUNTIFS('OLT DOWN Tickets'!$AB:$AB, "*" &amp; D445 &amp; "*", 'OLT DOWN Tickets'!$L:$L, "OLT SERVICE DEGRADATION") &gt; 0</f>
        <v>0</v>
      </c>
      <c r="J445" s="32" t="str">
        <f>IFERROR(__xludf.DUMMYFUNCTION("IFERROR(INDEX(FILTER('OLT DOWN Tickets'!$F:$F, REGEXMATCH('OLT DOWN Tickets'!$AB:$AB, ""(?i)""&amp;TRIM(D445)), 'OLT DOWN Tickets'!$L:$L=""OLT DOWN""), 1), """")"),"")</f>
        <v/>
      </c>
      <c r="K445" s="32" t="str">
        <f>IFERROR(__xludf.DUMMYFUNCTION("IFERROR(INDEX(FILTER('OLT DOWN Tickets'!$F:$F, REGEXMATCH('OLT DOWN Tickets'!$AB:$AB, ""(?i)""&amp;TRIM(D445)), 'OLT DOWN Tickets'!$L:$L=""OLT UPLINK LOW POWER""), 1), """")"),"")</f>
        <v/>
      </c>
      <c r="L445" s="32" t="str">
        <f>IFERROR(__xludf.DUMMYFUNCTION("IFERROR(INDEX(FILTER('OLT DOWN Tickets'!$F:$F, REGEXMATCH('OLT DOWN Tickets'!$AB:$AB, ""(?i)""&amp;TRIM(D445)), 'OLT DOWN Tickets'!$L:$L=""OLT UPLINK DOWN""), 1), """")"),"")</f>
        <v/>
      </c>
      <c r="M445" s="32" t="str">
        <f>IFERROR(__xludf.DUMMYFUNCTION("IFERROR(INDEX(FILTER('OLT DOWN Tickets'!$F:$F, REGEXMATCH('OLT DOWN Tickets'!$AB:$AB, ""(?i)""&amp;TRIM(D445)), 'OLT DOWN Tickets'!$L:$L=""OLT SERVICE DEGRADATION""), 1), """")
"),"")</f>
        <v/>
      </c>
      <c r="N445" s="6" t="b">
        <v>0</v>
      </c>
      <c r="O445" s="6" t="b">
        <v>0</v>
      </c>
      <c r="P445" s="6" t="b">
        <v>0</v>
      </c>
      <c r="Q445" s="6" t="b">
        <v>0</v>
      </c>
      <c r="R445" s="6"/>
      <c r="S445" s="6"/>
      <c r="T445" s="6"/>
      <c r="U445" s="6"/>
    </row>
    <row r="446">
      <c r="A446" s="19"/>
      <c r="B446" s="26" t="s">
        <v>687</v>
      </c>
      <c r="C446" s="26" t="s">
        <v>765</v>
      </c>
      <c r="D446" s="27" t="s">
        <v>766</v>
      </c>
      <c r="E446" s="6" t="b">
        <f t="shared" si="1"/>
        <v>1</v>
      </c>
      <c r="F446" s="6" t="b">
        <f>COUNTIFS('OLT DOWN Tickets'!$AB:$AB, "*" &amp; D446 &amp; "*", 'OLT DOWN Tickets'!$L:$L, "OLT DOWN") &gt; 0</f>
        <v>0</v>
      </c>
      <c r="G446" s="6" t="b">
        <f>COUNTIFS('OLT DOWN Tickets'!$AB:$AB, "*" &amp; D446 &amp; "*", 'OLT DOWN Tickets'!$L:$L, "OLT UPLINK LOW POWER") &gt; 0</f>
        <v>0</v>
      </c>
      <c r="H446" s="6" t="b">
        <f>COUNTIFS('OLT DOWN Tickets'!$AB:$AB, "*" &amp; D446 &amp; "*", 'OLT DOWN Tickets'!$L:$L, "OLT UPLINK DOWN") &gt; 0</f>
        <v>0</v>
      </c>
      <c r="I446" s="6" t="b">
        <f>COUNTIFS('OLT DOWN Tickets'!$AB:$AB, "*" &amp; D446 &amp; "*", 'OLT DOWN Tickets'!$L:$L, "OLT SERVICE DEGRADATION") &gt; 0</f>
        <v>0</v>
      </c>
      <c r="J446" s="32" t="str">
        <f>IFERROR(__xludf.DUMMYFUNCTION("IFERROR(INDEX(FILTER('OLT DOWN Tickets'!$F:$F, REGEXMATCH('OLT DOWN Tickets'!$AB:$AB, ""(?i)""&amp;TRIM(D446)), 'OLT DOWN Tickets'!$L:$L=""OLT DOWN""), 1), """")"),"")</f>
        <v/>
      </c>
      <c r="K446" s="32" t="str">
        <f>IFERROR(__xludf.DUMMYFUNCTION("IFERROR(INDEX(FILTER('OLT DOWN Tickets'!$F:$F, REGEXMATCH('OLT DOWN Tickets'!$AB:$AB, ""(?i)""&amp;TRIM(D446)), 'OLT DOWN Tickets'!$L:$L=""OLT UPLINK LOW POWER""), 1), """")"),"")</f>
        <v/>
      </c>
      <c r="L446" s="32" t="str">
        <f>IFERROR(__xludf.DUMMYFUNCTION("IFERROR(INDEX(FILTER('OLT DOWN Tickets'!$F:$F, REGEXMATCH('OLT DOWN Tickets'!$AB:$AB, ""(?i)""&amp;TRIM(D446)), 'OLT DOWN Tickets'!$L:$L=""OLT UPLINK DOWN""), 1), """")"),"")</f>
        <v/>
      </c>
      <c r="M446" s="32" t="str">
        <f>IFERROR(__xludf.DUMMYFUNCTION("IFERROR(INDEX(FILTER('OLT DOWN Tickets'!$F:$F, REGEXMATCH('OLT DOWN Tickets'!$AB:$AB, ""(?i)""&amp;TRIM(D446)), 'OLT DOWN Tickets'!$L:$L=""OLT SERVICE DEGRADATION""), 1), """")
"),"")</f>
        <v/>
      </c>
      <c r="N446" s="6" t="b">
        <v>0</v>
      </c>
      <c r="O446" s="6" t="b">
        <v>0</v>
      </c>
      <c r="P446" s="6" t="b">
        <v>0</v>
      </c>
      <c r="Q446" s="6" t="b">
        <v>0</v>
      </c>
      <c r="R446" s="6"/>
      <c r="S446" s="6"/>
      <c r="T446" s="6"/>
      <c r="U446" s="6"/>
    </row>
    <row r="447">
      <c r="A447" s="19"/>
      <c r="B447" s="26" t="s">
        <v>687</v>
      </c>
      <c r="C447" s="26" t="s">
        <v>765</v>
      </c>
      <c r="D447" s="27" t="s">
        <v>767</v>
      </c>
      <c r="E447" s="6" t="b">
        <f t="shared" si="1"/>
        <v>1</v>
      </c>
      <c r="F447" s="6" t="b">
        <f>COUNTIFS('OLT DOWN Tickets'!$AB:$AB, "*" &amp; D447 &amp; "*", 'OLT DOWN Tickets'!$L:$L, "OLT DOWN") &gt; 0</f>
        <v>0</v>
      </c>
      <c r="G447" s="6" t="b">
        <f>COUNTIFS('OLT DOWN Tickets'!$AB:$AB, "*" &amp; D447 &amp; "*", 'OLT DOWN Tickets'!$L:$L, "OLT UPLINK LOW POWER") &gt; 0</f>
        <v>0</v>
      </c>
      <c r="H447" s="6" t="b">
        <f>COUNTIFS('OLT DOWN Tickets'!$AB:$AB, "*" &amp; D447 &amp; "*", 'OLT DOWN Tickets'!$L:$L, "OLT UPLINK DOWN") &gt; 0</f>
        <v>0</v>
      </c>
      <c r="I447" s="6" t="b">
        <f>COUNTIFS('OLT DOWN Tickets'!$AB:$AB, "*" &amp; D447 &amp; "*", 'OLT DOWN Tickets'!$L:$L, "OLT SERVICE DEGRADATION") &gt; 0</f>
        <v>0</v>
      </c>
      <c r="J447" s="32" t="str">
        <f>IFERROR(__xludf.DUMMYFUNCTION("IFERROR(INDEX(FILTER('OLT DOWN Tickets'!$F:$F, REGEXMATCH('OLT DOWN Tickets'!$AB:$AB, ""(?i)""&amp;TRIM(D447)), 'OLT DOWN Tickets'!$L:$L=""OLT DOWN""), 1), """")"),"")</f>
        <v/>
      </c>
      <c r="K447" s="32" t="str">
        <f>IFERROR(__xludf.DUMMYFUNCTION("IFERROR(INDEX(FILTER('OLT DOWN Tickets'!$F:$F, REGEXMATCH('OLT DOWN Tickets'!$AB:$AB, ""(?i)""&amp;TRIM(D447)), 'OLT DOWN Tickets'!$L:$L=""OLT UPLINK LOW POWER""), 1), """")"),"")</f>
        <v/>
      </c>
      <c r="L447" s="32" t="str">
        <f>IFERROR(__xludf.DUMMYFUNCTION("IFERROR(INDEX(FILTER('OLT DOWN Tickets'!$F:$F, REGEXMATCH('OLT DOWN Tickets'!$AB:$AB, ""(?i)""&amp;TRIM(D447)), 'OLT DOWN Tickets'!$L:$L=""OLT UPLINK DOWN""), 1), """")"),"")</f>
        <v/>
      </c>
      <c r="M447" s="32" t="str">
        <f>IFERROR(__xludf.DUMMYFUNCTION("IFERROR(INDEX(FILTER('OLT DOWN Tickets'!$F:$F, REGEXMATCH('OLT DOWN Tickets'!$AB:$AB, ""(?i)""&amp;TRIM(D447)), 'OLT DOWN Tickets'!$L:$L=""OLT SERVICE DEGRADATION""), 1), """")
"),"")</f>
        <v/>
      </c>
      <c r="N447" s="6" t="b">
        <v>0</v>
      </c>
      <c r="O447" s="6" t="b">
        <v>0</v>
      </c>
      <c r="P447" s="6" t="b">
        <v>0</v>
      </c>
      <c r="Q447" s="6" t="b">
        <v>0</v>
      </c>
      <c r="R447" s="6"/>
      <c r="S447" s="6"/>
      <c r="T447" s="6"/>
      <c r="U447" s="6"/>
    </row>
    <row r="448">
      <c r="A448" s="19"/>
      <c r="B448" s="26" t="s">
        <v>687</v>
      </c>
      <c r="C448" s="26" t="s">
        <v>768</v>
      </c>
      <c r="D448" s="27" t="s">
        <v>769</v>
      </c>
      <c r="E448" s="6" t="b">
        <f t="shared" si="1"/>
        <v>1</v>
      </c>
      <c r="F448" s="6" t="b">
        <f>COUNTIFS('OLT DOWN Tickets'!$AB:$AB, "*" &amp; D448 &amp; "*", 'OLT DOWN Tickets'!$L:$L, "OLT DOWN") &gt; 0</f>
        <v>0</v>
      </c>
      <c r="G448" s="6" t="b">
        <f>COUNTIFS('OLT DOWN Tickets'!$AB:$AB, "*" &amp; D448 &amp; "*", 'OLT DOWN Tickets'!$L:$L, "OLT UPLINK LOW POWER") &gt; 0</f>
        <v>0</v>
      </c>
      <c r="H448" s="6" t="b">
        <f>COUNTIFS('OLT DOWN Tickets'!$AB:$AB, "*" &amp; D448 &amp; "*", 'OLT DOWN Tickets'!$L:$L, "OLT UPLINK DOWN") &gt; 0</f>
        <v>0</v>
      </c>
      <c r="I448" s="6" t="b">
        <f>COUNTIFS('OLT DOWN Tickets'!$AB:$AB, "*" &amp; D448 &amp; "*", 'OLT DOWN Tickets'!$L:$L, "OLT SERVICE DEGRADATION") &gt; 0</f>
        <v>0</v>
      </c>
      <c r="J448" s="32" t="str">
        <f>IFERROR(__xludf.DUMMYFUNCTION("IFERROR(INDEX(FILTER('OLT DOWN Tickets'!$F:$F, REGEXMATCH('OLT DOWN Tickets'!$AB:$AB, ""(?i)""&amp;TRIM(D448)), 'OLT DOWN Tickets'!$L:$L=""OLT DOWN""), 1), """")"),"")</f>
        <v/>
      </c>
      <c r="K448" s="32" t="str">
        <f>IFERROR(__xludf.DUMMYFUNCTION("IFERROR(INDEX(FILTER('OLT DOWN Tickets'!$F:$F, REGEXMATCH('OLT DOWN Tickets'!$AB:$AB, ""(?i)""&amp;TRIM(D448)), 'OLT DOWN Tickets'!$L:$L=""OLT UPLINK LOW POWER""), 1), """")"),"")</f>
        <v/>
      </c>
      <c r="L448" s="32" t="str">
        <f>IFERROR(__xludf.DUMMYFUNCTION("IFERROR(INDEX(FILTER('OLT DOWN Tickets'!$F:$F, REGEXMATCH('OLT DOWN Tickets'!$AB:$AB, ""(?i)""&amp;TRIM(D448)), 'OLT DOWN Tickets'!$L:$L=""OLT UPLINK DOWN""), 1), """")"),"")</f>
        <v/>
      </c>
      <c r="M448" s="32" t="str">
        <f>IFERROR(__xludf.DUMMYFUNCTION("IFERROR(INDEX(FILTER('OLT DOWN Tickets'!$F:$F, REGEXMATCH('OLT DOWN Tickets'!$AB:$AB, ""(?i)""&amp;TRIM(D448)), 'OLT DOWN Tickets'!$L:$L=""OLT SERVICE DEGRADATION""), 1), """")
"),"")</f>
        <v/>
      </c>
      <c r="N448" s="6" t="b">
        <v>0</v>
      </c>
      <c r="O448" s="6" t="b">
        <v>0</v>
      </c>
      <c r="P448" s="6" t="b">
        <v>0</v>
      </c>
      <c r="Q448" s="6" t="b">
        <v>0</v>
      </c>
      <c r="R448" s="6"/>
      <c r="S448" s="6"/>
      <c r="T448" s="6"/>
      <c r="U448" s="6"/>
    </row>
    <row r="449">
      <c r="A449" s="19"/>
      <c r="B449" s="26" t="s">
        <v>687</v>
      </c>
      <c r="C449" s="26" t="s">
        <v>768</v>
      </c>
      <c r="D449" s="27" t="s">
        <v>770</v>
      </c>
      <c r="E449" s="6" t="b">
        <f t="shared" si="1"/>
        <v>1</v>
      </c>
      <c r="F449" s="6" t="b">
        <f>COUNTIFS('OLT DOWN Tickets'!$AB:$AB, "*" &amp; D449 &amp; "*", 'OLT DOWN Tickets'!$L:$L, "OLT DOWN") &gt; 0</f>
        <v>0</v>
      </c>
      <c r="G449" s="6" t="b">
        <f>COUNTIFS('OLT DOWN Tickets'!$AB:$AB, "*" &amp; D449 &amp; "*", 'OLT DOWN Tickets'!$L:$L, "OLT UPLINK LOW POWER") &gt; 0</f>
        <v>0</v>
      </c>
      <c r="H449" s="6" t="b">
        <f>COUNTIFS('OLT DOWN Tickets'!$AB:$AB, "*" &amp; D449 &amp; "*", 'OLT DOWN Tickets'!$L:$L, "OLT UPLINK DOWN") &gt; 0</f>
        <v>0</v>
      </c>
      <c r="I449" s="6" t="b">
        <f>COUNTIFS('OLT DOWN Tickets'!$AB:$AB, "*" &amp; D449 &amp; "*", 'OLT DOWN Tickets'!$L:$L, "OLT SERVICE DEGRADATION") &gt; 0</f>
        <v>0</v>
      </c>
      <c r="J449" s="32" t="str">
        <f>IFERROR(__xludf.DUMMYFUNCTION("IFERROR(INDEX(FILTER('OLT DOWN Tickets'!$F:$F, REGEXMATCH('OLT DOWN Tickets'!$AB:$AB, ""(?i)""&amp;TRIM(D449)), 'OLT DOWN Tickets'!$L:$L=""OLT DOWN""), 1), """")"),"")</f>
        <v/>
      </c>
      <c r="K449" s="32" t="str">
        <f>IFERROR(__xludf.DUMMYFUNCTION("IFERROR(INDEX(FILTER('OLT DOWN Tickets'!$F:$F, REGEXMATCH('OLT DOWN Tickets'!$AB:$AB, ""(?i)""&amp;TRIM(D449)), 'OLT DOWN Tickets'!$L:$L=""OLT UPLINK LOW POWER""), 1), """")"),"")</f>
        <v/>
      </c>
      <c r="L449" s="32" t="str">
        <f>IFERROR(__xludf.DUMMYFUNCTION("IFERROR(INDEX(FILTER('OLT DOWN Tickets'!$F:$F, REGEXMATCH('OLT DOWN Tickets'!$AB:$AB, ""(?i)""&amp;TRIM(D449)), 'OLT DOWN Tickets'!$L:$L=""OLT UPLINK DOWN""), 1), """")"),"")</f>
        <v/>
      </c>
      <c r="M449" s="32" t="str">
        <f>IFERROR(__xludf.DUMMYFUNCTION("IFERROR(INDEX(FILTER('OLT DOWN Tickets'!$F:$F, REGEXMATCH('OLT DOWN Tickets'!$AB:$AB, ""(?i)""&amp;TRIM(D449)), 'OLT DOWN Tickets'!$L:$L=""OLT SERVICE DEGRADATION""), 1), """")
"),"")</f>
        <v/>
      </c>
      <c r="N449" s="6" t="b">
        <v>0</v>
      </c>
      <c r="O449" s="6" t="b">
        <v>0</v>
      </c>
      <c r="P449" s="6" t="b">
        <v>0</v>
      </c>
      <c r="Q449" s="6" t="b">
        <v>0</v>
      </c>
      <c r="R449" s="6"/>
      <c r="S449" s="6"/>
      <c r="T449" s="6"/>
      <c r="U449" s="6"/>
    </row>
    <row r="450">
      <c r="A450" s="19"/>
      <c r="B450" s="26" t="s">
        <v>687</v>
      </c>
      <c r="C450" s="26" t="s">
        <v>768</v>
      </c>
      <c r="D450" s="27" t="s">
        <v>771</v>
      </c>
      <c r="E450" s="6" t="b">
        <f t="shared" si="1"/>
        <v>1</v>
      </c>
      <c r="F450" s="6" t="b">
        <f>COUNTIFS('OLT DOWN Tickets'!$AB:$AB, "*" &amp; D450 &amp; "*", 'OLT DOWN Tickets'!$L:$L, "OLT DOWN") &gt; 0</f>
        <v>0</v>
      </c>
      <c r="G450" s="6" t="b">
        <f>COUNTIFS('OLT DOWN Tickets'!$AB:$AB, "*" &amp; D450 &amp; "*", 'OLT DOWN Tickets'!$L:$L, "OLT UPLINK LOW POWER") &gt; 0</f>
        <v>0</v>
      </c>
      <c r="H450" s="6" t="b">
        <f>COUNTIFS('OLT DOWN Tickets'!$AB:$AB, "*" &amp; D450 &amp; "*", 'OLT DOWN Tickets'!$L:$L, "OLT UPLINK DOWN") &gt; 0</f>
        <v>0</v>
      </c>
      <c r="I450" s="6" t="b">
        <f>COUNTIFS('OLT DOWN Tickets'!$AB:$AB, "*" &amp; D450 &amp; "*", 'OLT DOWN Tickets'!$L:$L, "OLT SERVICE DEGRADATION") &gt; 0</f>
        <v>0</v>
      </c>
      <c r="J450" s="32" t="str">
        <f>IFERROR(__xludf.DUMMYFUNCTION("IFERROR(INDEX(FILTER('OLT DOWN Tickets'!$F:$F, REGEXMATCH('OLT DOWN Tickets'!$AB:$AB, ""(?i)""&amp;TRIM(D450)), 'OLT DOWN Tickets'!$L:$L=""OLT DOWN""), 1), """")"),"")</f>
        <v/>
      </c>
      <c r="K450" s="32" t="str">
        <f>IFERROR(__xludf.DUMMYFUNCTION("IFERROR(INDEX(FILTER('OLT DOWN Tickets'!$F:$F, REGEXMATCH('OLT DOWN Tickets'!$AB:$AB, ""(?i)""&amp;TRIM(D450)), 'OLT DOWN Tickets'!$L:$L=""OLT UPLINK LOW POWER""), 1), """")"),"")</f>
        <v/>
      </c>
      <c r="L450" s="32" t="str">
        <f>IFERROR(__xludf.DUMMYFUNCTION("IFERROR(INDEX(FILTER('OLT DOWN Tickets'!$F:$F, REGEXMATCH('OLT DOWN Tickets'!$AB:$AB, ""(?i)""&amp;TRIM(D450)), 'OLT DOWN Tickets'!$L:$L=""OLT UPLINK DOWN""), 1), """")"),"")</f>
        <v/>
      </c>
      <c r="M450" s="32" t="str">
        <f>IFERROR(__xludf.DUMMYFUNCTION("IFERROR(INDEX(FILTER('OLT DOWN Tickets'!$F:$F, REGEXMATCH('OLT DOWN Tickets'!$AB:$AB, ""(?i)""&amp;TRIM(D450)), 'OLT DOWN Tickets'!$L:$L=""OLT SERVICE DEGRADATION""), 1), """")
"),"")</f>
        <v/>
      </c>
      <c r="N450" s="6" t="b">
        <v>0</v>
      </c>
      <c r="O450" s="6" t="b">
        <v>0</v>
      </c>
      <c r="P450" s="6" t="b">
        <v>0</v>
      </c>
      <c r="Q450" s="6" t="b">
        <v>0</v>
      </c>
      <c r="R450" s="6"/>
      <c r="S450" s="6"/>
      <c r="T450" s="6"/>
      <c r="U450" s="6"/>
    </row>
    <row r="451">
      <c r="A451" s="19"/>
      <c r="B451" s="26" t="s">
        <v>687</v>
      </c>
      <c r="C451" s="26" t="s">
        <v>772</v>
      </c>
      <c r="D451" s="27" t="s">
        <v>773</v>
      </c>
      <c r="E451" s="6" t="b">
        <f t="shared" si="1"/>
        <v>1</v>
      </c>
      <c r="F451" s="6" t="b">
        <f>COUNTIFS('OLT DOWN Tickets'!$AB:$AB, "*" &amp; D451 &amp; "*", 'OLT DOWN Tickets'!$L:$L, "OLT DOWN") &gt; 0</f>
        <v>0</v>
      </c>
      <c r="G451" s="6" t="b">
        <f>COUNTIFS('OLT DOWN Tickets'!$AB:$AB, "*" &amp; D451 &amp; "*", 'OLT DOWN Tickets'!$L:$L, "OLT UPLINK LOW POWER") &gt; 0</f>
        <v>0</v>
      </c>
      <c r="H451" s="6" t="b">
        <f>COUNTIFS('OLT DOWN Tickets'!$AB:$AB, "*" &amp; D451 &amp; "*", 'OLT DOWN Tickets'!$L:$L, "OLT UPLINK DOWN") &gt; 0</f>
        <v>0</v>
      </c>
      <c r="I451" s="6" t="b">
        <f>COUNTIFS('OLT DOWN Tickets'!$AB:$AB, "*" &amp; D451 &amp; "*", 'OLT DOWN Tickets'!$L:$L, "OLT SERVICE DEGRADATION") &gt; 0</f>
        <v>0</v>
      </c>
      <c r="J451" s="32" t="str">
        <f>IFERROR(__xludf.DUMMYFUNCTION("IFERROR(INDEX(FILTER('OLT DOWN Tickets'!$F:$F, REGEXMATCH('OLT DOWN Tickets'!$AB:$AB, ""(?i)""&amp;TRIM(D451)), 'OLT DOWN Tickets'!$L:$L=""OLT DOWN""), 1), """")"),"")</f>
        <v/>
      </c>
      <c r="K451" s="32" t="str">
        <f>IFERROR(__xludf.DUMMYFUNCTION("IFERROR(INDEX(FILTER('OLT DOWN Tickets'!$F:$F, REGEXMATCH('OLT DOWN Tickets'!$AB:$AB, ""(?i)""&amp;TRIM(D451)), 'OLT DOWN Tickets'!$L:$L=""OLT UPLINK LOW POWER""), 1), """")"),"")</f>
        <v/>
      </c>
      <c r="L451" s="32" t="str">
        <f>IFERROR(__xludf.DUMMYFUNCTION("IFERROR(INDEX(FILTER('OLT DOWN Tickets'!$F:$F, REGEXMATCH('OLT DOWN Tickets'!$AB:$AB, ""(?i)""&amp;TRIM(D451)), 'OLT DOWN Tickets'!$L:$L=""OLT UPLINK DOWN""), 1), """")"),"")</f>
        <v/>
      </c>
      <c r="M451" s="32" t="str">
        <f>IFERROR(__xludf.DUMMYFUNCTION("IFERROR(INDEX(FILTER('OLT DOWN Tickets'!$F:$F, REGEXMATCH('OLT DOWN Tickets'!$AB:$AB, ""(?i)""&amp;TRIM(D451)), 'OLT DOWN Tickets'!$L:$L=""OLT SERVICE DEGRADATION""), 1), """")
"),"")</f>
        <v/>
      </c>
      <c r="N451" s="6" t="b">
        <v>0</v>
      </c>
      <c r="O451" s="6" t="b">
        <v>0</v>
      </c>
      <c r="P451" s="6" t="b">
        <v>0</v>
      </c>
      <c r="Q451" s="6" t="b">
        <v>0</v>
      </c>
      <c r="R451" s="6"/>
      <c r="S451" s="6"/>
      <c r="T451" s="6"/>
      <c r="U451" s="6"/>
    </row>
    <row r="452">
      <c r="A452" s="19"/>
      <c r="B452" s="26" t="s">
        <v>687</v>
      </c>
      <c r="C452" s="26" t="s">
        <v>772</v>
      </c>
      <c r="D452" s="27" t="s">
        <v>774</v>
      </c>
      <c r="E452" s="6" t="b">
        <f t="shared" si="1"/>
        <v>1</v>
      </c>
      <c r="F452" s="6" t="b">
        <f>COUNTIFS('OLT DOWN Tickets'!$AB:$AB, "*" &amp; D452 &amp; "*", 'OLT DOWN Tickets'!$L:$L, "OLT DOWN") &gt; 0</f>
        <v>0</v>
      </c>
      <c r="G452" s="6" t="b">
        <f>COUNTIFS('OLT DOWN Tickets'!$AB:$AB, "*" &amp; D452 &amp; "*", 'OLT DOWN Tickets'!$L:$L, "OLT UPLINK LOW POWER") &gt; 0</f>
        <v>0</v>
      </c>
      <c r="H452" s="6" t="b">
        <f>COUNTIFS('OLT DOWN Tickets'!$AB:$AB, "*" &amp; D452 &amp; "*", 'OLT DOWN Tickets'!$L:$L, "OLT UPLINK DOWN") &gt; 0</f>
        <v>0</v>
      </c>
      <c r="I452" s="6" t="b">
        <f>COUNTIFS('OLT DOWN Tickets'!$AB:$AB, "*" &amp; D452 &amp; "*", 'OLT DOWN Tickets'!$L:$L, "OLT SERVICE DEGRADATION") &gt; 0</f>
        <v>0</v>
      </c>
      <c r="J452" s="32" t="str">
        <f>IFERROR(__xludf.DUMMYFUNCTION("IFERROR(INDEX(FILTER('OLT DOWN Tickets'!$F:$F, REGEXMATCH('OLT DOWN Tickets'!$AB:$AB, ""(?i)""&amp;TRIM(D452)), 'OLT DOWN Tickets'!$L:$L=""OLT DOWN""), 1), """")"),"")</f>
        <v/>
      </c>
      <c r="K452" s="32" t="str">
        <f>IFERROR(__xludf.DUMMYFUNCTION("IFERROR(INDEX(FILTER('OLT DOWN Tickets'!$F:$F, REGEXMATCH('OLT DOWN Tickets'!$AB:$AB, ""(?i)""&amp;TRIM(D452)), 'OLT DOWN Tickets'!$L:$L=""OLT UPLINK LOW POWER""), 1), """")"),"")</f>
        <v/>
      </c>
      <c r="L452" s="32" t="str">
        <f>IFERROR(__xludf.DUMMYFUNCTION("IFERROR(INDEX(FILTER('OLT DOWN Tickets'!$F:$F, REGEXMATCH('OLT DOWN Tickets'!$AB:$AB, ""(?i)""&amp;TRIM(D452)), 'OLT DOWN Tickets'!$L:$L=""OLT UPLINK DOWN""), 1), """")"),"")</f>
        <v/>
      </c>
      <c r="M452" s="32" t="str">
        <f>IFERROR(__xludf.DUMMYFUNCTION("IFERROR(INDEX(FILTER('OLT DOWN Tickets'!$F:$F, REGEXMATCH('OLT DOWN Tickets'!$AB:$AB, ""(?i)""&amp;TRIM(D452)), 'OLT DOWN Tickets'!$L:$L=""OLT SERVICE DEGRADATION""), 1), """")
"),"")</f>
        <v/>
      </c>
      <c r="N452" s="6" t="b">
        <v>0</v>
      </c>
      <c r="O452" s="6" t="b">
        <v>0</v>
      </c>
      <c r="P452" s="6" t="b">
        <v>0</v>
      </c>
      <c r="Q452" s="6" t="b">
        <v>0</v>
      </c>
      <c r="R452" s="6"/>
      <c r="S452" s="6"/>
      <c r="T452" s="6"/>
      <c r="U452" s="6"/>
    </row>
    <row r="453">
      <c r="A453" s="19"/>
      <c r="B453" s="26" t="s">
        <v>687</v>
      </c>
      <c r="C453" s="26" t="s">
        <v>775</v>
      </c>
      <c r="D453" s="27" t="s">
        <v>776</v>
      </c>
      <c r="E453" s="6" t="b">
        <f t="shared" si="1"/>
        <v>1</v>
      </c>
      <c r="F453" s="6" t="b">
        <f>COUNTIFS('OLT DOWN Tickets'!$AB:$AB, "*" &amp; D453 &amp; "*", 'OLT DOWN Tickets'!$L:$L, "OLT DOWN") &gt; 0</f>
        <v>0</v>
      </c>
      <c r="G453" s="6" t="b">
        <f>COUNTIFS('OLT DOWN Tickets'!$AB:$AB, "*" &amp; D453 &amp; "*", 'OLT DOWN Tickets'!$L:$L, "OLT UPLINK LOW POWER") &gt; 0</f>
        <v>0</v>
      </c>
      <c r="H453" s="6" t="b">
        <f>COUNTIFS('OLT DOWN Tickets'!$AB:$AB, "*" &amp; D453 &amp; "*", 'OLT DOWN Tickets'!$L:$L, "OLT UPLINK DOWN") &gt; 0</f>
        <v>0</v>
      </c>
      <c r="I453" s="6" t="b">
        <f>COUNTIFS('OLT DOWN Tickets'!$AB:$AB, "*" &amp; D453 &amp; "*", 'OLT DOWN Tickets'!$L:$L, "OLT SERVICE DEGRADATION") &gt; 0</f>
        <v>0</v>
      </c>
      <c r="J453" s="32" t="str">
        <f>IFERROR(__xludf.DUMMYFUNCTION("IFERROR(INDEX(FILTER('OLT DOWN Tickets'!$F:$F, REGEXMATCH('OLT DOWN Tickets'!$AB:$AB, ""(?i)""&amp;TRIM(D453)), 'OLT DOWN Tickets'!$L:$L=""OLT DOWN""), 1), """")"),"")</f>
        <v/>
      </c>
      <c r="K453" s="32" t="str">
        <f>IFERROR(__xludf.DUMMYFUNCTION("IFERROR(INDEX(FILTER('OLT DOWN Tickets'!$F:$F, REGEXMATCH('OLT DOWN Tickets'!$AB:$AB, ""(?i)""&amp;TRIM(D453)), 'OLT DOWN Tickets'!$L:$L=""OLT UPLINK LOW POWER""), 1), """")"),"")</f>
        <v/>
      </c>
      <c r="L453" s="32" t="str">
        <f>IFERROR(__xludf.DUMMYFUNCTION("IFERROR(INDEX(FILTER('OLT DOWN Tickets'!$F:$F, REGEXMATCH('OLT DOWN Tickets'!$AB:$AB, ""(?i)""&amp;TRIM(D453)), 'OLT DOWN Tickets'!$L:$L=""OLT UPLINK DOWN""), 1), """")"),"")</f>
        <v/>
      </c>
      <c r="M453" s="32" t="str">
        <f>IFERROR(__xludf.DUMMYFUNCTION("IFERROR(INDEX(FILTER('OLT DOWN Tickets'!$F:$F, REGEXMATCH('OLT DOWN Tickets'!$AB:$AB, ""(?i)""&amp;TRIM(D453)), 'OLT DOWN Tickets'!$L:$L=""OLT SERVICE DEGRADATION""), 1), """")
"),"")</f>
        <v/>
      </c>
      <c r="N453" s="6" t="b">
        <v>0</v>
      </c>
      <c r="O453" s="6" t="b">
        <v>0</v>
      </c>
      <c r="P453" s="6" t="b">
        <v>0</v>
      </c>
      <c r="Q453" s="6" t="b">
        <v>0</v>
      </c>
      <c r="R453" s="6"/>
      <c r="S453" s="6"/>
      <c r="T453" s="6"/>
      <c r="U453" s="6"/>
    </row>
    <row r="454">
      <c r="A454" s="19"/>
      <c r="B454" s="26" t="s">
        <v>687</v>
      </c>
      <c r="C454" s="26" t="s">
        <v>775</v>
      </c>
      <c r="D454" s="27" t="s">
        <v>777</v>
      </c>
      <c r="E454" s="6" t="b">
        <f t="shared" si="1"/>
        <v>1</v>
      </c>
      <c r="F454" s="6" t="b">
        <f>COUNTIFS('OLT DOWN Tickets'!$AB:$AB, "*" &amp; D454 &amp; "*", 'OLT DOWN Tickets'!$L:$L, "OLT DOWN") &gt; 0</f>
        <v>0</v>
      </c>
      <c r="G454" s="6" t="b">
        <f>COUNTIFS('OLT DOWN Tickets'!$AB:$AB, "*" &amp; D454 &amp; "*", 'OLT DOWN Tickets'!$L:$L, "OLT UPLINK LOW POWER") &gt; 0</f>
        <v>0</v>
      </c>
      <c r="H454" s="6" t="b">
        <f>COUNTIFS('OLT DOWN Tickets'!$AB:$AB, "*" &amp; D454 &amp; "*", 'OLT DOWN Tickets'!$L:$L, "OLT UPLINK DOWN") &gt; 0</f>
        <v>0</v>
      </c>
      <c r="I454" s="6" t="b">
        <f>COUNTIFS('OLT DOWN Tickets'!$AB:$AB, "*" &amp; D454 &amp; "*", 'OLT DOWN Tickets'!$L:$L, "OLT SERVICE DEGRADATION") &gt; 0</f>
        <v>0</v>
      </c>
      <c r="J454" s="32" t="str">
        <f>IFERROR(__xludf.DUMMYFUNCTION("IFERROR(INDEX(FILTER('OLT DOWN Tickets'!$F:$F, REGEXMATCH('OLT DOWN Tickets'!$AB:$AB, ""(?i)""&amp;TRIM(D454)), 'OLT DOWN Tickets'!$L:$L=""OLT DOWN""), 1), """")"),"")</f>
        <v/>
      </c>
      <c r="K454" s="32" t="str">
        <f>IFERROR(__xludf.DUMMYFUNCTION("IFERROR(INDEX(FILTER('OLT DOWN Tickets'!$F:$F, REGEXMATCH('OLT DOWN Tickets'!$AB:$AB, ""(?i)""&amp;TRIM(D454)), 'OLT DOWN Tickets'!$L:$L=""OLT UPLINK LOW POWER""), 1), """")"),"")</f>
        <v/>
      </c>
      <c r="L454" s="32" t="str">
        <f>IFERROR(__xludf.DUMMYFUNCTION("IFERROR(INDEX(FILTER('OLT DOWN Tickets'!$F:$F, REGEXMATCH('OLT DOWN Tickets'!$AB:$AB, ""(?i)""&amp;TRIM(D454)), 'OLT DOWN Tickets'!$L:$L=""OLT UPLINK DOWN""), 1), """")"),"")</f>
        <v/>
      </c>
      <c r="M454" s="32" t="str">
        <f>IFERROR(__xludf.DUMMYFUNCTION("IFERROR(INDEX(FILTER('OLT DOWN Tickets'!$F:$F, REGEXMATCH('OLT DOWN Tickets'!$AB:$AB, ""(?i)""&amp;TRIM(D454)), 'OLT DOWN Tickets'!$L:$L=""OLT SERVICE DEGRADATION""), 1), """")
"),"")</f>
        <v/>
      </c>
      <c r="N454" s="6" t="b">
        <v>0</v>
      </c>
      <c r="O454" s="6" t="b">
        <v>0</v>
      </c>
      <c r="P454" s="6" t="b">
        <v>0</v>
      </c>
      <c r="Q454" s="6" t="b">
        <v>0</v>
      </c>
      <c r="R454" s="6"/>
      <c r="S454" s="6"/>
      <c r="T454" s="6"/>
      <c r="U454" s="6"/>
    </row>
    <row r="455">
      <c r="A455" s="19"/>
      <c r="B455" s="26" t="s">
        <v>687</v>
      </c>
      <c r="C455" s="26" t="s">
        <v>775</v>
      </c>
      <c r="D455" s="27" t="s">
        <v>778</v>
      </c>
      <c r="E455" s="6" t="b">
        <f t="shared" si="1"/>
        <v>1</v>
      </c>
      <c r="F455" s="6" t="b">
        <f>COUNTIFS('OLT DOWN Tickets'!$AB:$AB, "*" &amp; D455 &amp; "*", 'OLT DOWN Tickets'!$L:$L, "OLT DOWN") &gt; 0</f>
        <v>0</v>
      </c>
      <c r="G455" s="6" t="b">
        <f>COUNTIFS('OLT DOWN Tickets'!$AB:$AB, "*" &amp; D455 &amp; "*", 'OLT DOWN Tickets'!$L:$L, "OLT UPLINK LOW POWER") &gt; 0</f>
        <v>0</v>
      </c>
      <c r="H455" s="6" t="b">
        <f>COUNTIFS('OLT DOWN Tickets'!$AB:$AB, "*" &amp; D455 &amp; "*", 'OLT DOWN Tickets'!$L:$L, "OLT UPLINK DOWN") &gt; 0</f>
        <v>0</v>
      </c>
      <c r="I455" s="6" t="b">
        <f>COUNTIFS('OLT DOWN Tickets'!$AB:$AB, "*" &amp; D455 &amp; "*", 'OLT DOWN Tickets'!$L:$L, "OLT SERVICE DEGRADATION") &gt; 0</f>
        <v>0</v>
      </c>
      <c r="J455" s="32" t="str">
        <f>IFERROR(__xludf.DUMMYFUNCTION("IFERROR(INDEX(FILTER('OLT DOWN Tickets'!$F:$F, REGEXMATCH('OLT DOWN Tickets'!$AB:$AB, ""(?i)""&amp;TRIM(D455)), 'OLT DOWN Tickets'!$L:$L=""OLT DOWN""), 1), """")"),"")</f>
        <v/>
      </c>
      <c r="K455" s="32" t="str">
        <f>IFERROR(__xludf.DUMMYFUNCTION("IFERROR(INDEX(FILTER('OLT DOWN Tickets'!$F:$F, REGEXMATCH('OLT DOWN Tickets'!$AB:$AB, ""(?i)""&amp;TRIM(D455)), 'OLT DOWN Tickets'!$L:$L=""OLT UPLINK LOW POWER""), 1), """")"),"")</f>
        <v/>
      </c>
      <c r="L455" s="32" t="str">
        <f>IFERROR(__xludf.DUMMYFUNCTION("IFERROR(INDEX(FILTER('OLT DOWN Tickets'!$F:$F, REGEXMATCH('OLT DOWN Tickets'!$AB:$AB, ""(?i)""&amp;TRIM(D455)), 'OLT DOWN Tickets'!$L:$L=""OLT UPLINK DOWN""), 1), """")"),"")</f>
        <v/>
      </c>
      <c r="M455" s="32" t="str">
        <f>IFERROR(__xludf.DUMMYFUNCTION("IFERROR(INDEX(FILTER('OLT DOWN Tickets'!$F:$F, REGEXMATCH('OLT DOWN Tickets'!$AB:$AB, ""(?i)""&amp;TRIM(D455)), 'OLT DOWN Tickets'!$L:$L=""OLT SERVICE DEGRADATION""), 1), """")
"),"")</f>
        <v/>
      </c>
      <c r="N455" s="6" t="b">
        <v>0</v>
      </c>
      <c r="O455" s="6" t="b">
        <v>0</v>
      </c>
      <c r="P455" s="6" t="b">
        <v>0</v>
      </c>
      <c r="Q455" s="6" t="b">
        <v>0</v>
      </c>
      <c r="R455" s="6"/>
      <c r="S455" s="6"/>
      <c r="T455" s="6"/>
      <c r="U455" s="6"/>
    </row>
    <row r="456">
      <c r="A456" s="19"/>
      <c r="B456" s="26" t="s">
        <v>687</v>
      </c>
      <c r="C456" s="26" t="s">
        <v>775</v>
      </c>
      <c r="D456" s="27" t="s">
        <v>779</v>
      </c>
      <c r="E456" s="6" t="b">
        <f t="shared" si="1"/>
        <v>1</v>
      </c>
      <c r="F456" s="6" t="b">
        <f>COUNTIFS('OLT DOWN Tickets'!$AB:$AB, "*" &amp; D456 &amp; "*", 'OLT DOWN Tickets'!$L:$L, "OLT DOWN") &gt; 0</f>
        <v>0</v>
      </c>
      <c r="G456" s="6" t="b">
        <f>COUNTIFS('OLT DOWN Tickets'!$AB:$AB, "*" &amp; D456 &amp; "*", 'OLT DOWN Tickets'!$L:$L, "OLT UPLINK LOW POWER") &gt; 0</f>
        <v>0</v>
      </c>
      <c r="H456" s="6" t="b">
        <f>COUNTIFS('OLT DOWN Tickets'!$AB:$AB, "*" &amp; D456 &amp; "*", 'OLT DOWN Tickets'!$L:$L, "OLT UPLINK DOWN") &gt; 0</f>
        <v>0</v>
      </c>
      <c r="I456" s="6" t="b">
        <f>COUNTIFS('OLT DOWN Tickets'!$AB:$AB, "*" &amp; D456 &amp; "*", 'OLT DOWN Tickets'!$L:$L, "OLT SERVICE DEGRADATION") &gt; 0</f>
        <v>0</v>
      </c>
      <c r="J456" s="32" t="str">
        <f>IFERROR(__xludf.DUMMYFUNCTION("IFERROR(INDEX(FILTER('OLT DOWN Tickets'!$F:$F, REGEXMATCH('OLT DOWN Tickets'!$AB:$AB, ""(?i)""&amp;TRIM(D456)), 'OLT DOWN Tickets'!$L:$L=""OLT DOWN""), 1), """")"),"")</f>
        <v/>
      </c>
      <c r="K456" s="32" t="str">
        <f>IFERROR(__xludf.DUMMYFUNCTION("IFERROR(INDEX(FILTER('OLT DOWN Tickets'!$F:$F, REGEXMATCH('OLT DOWN Tickets'!$AB:$AB, ""(?i)""&amp;TRIM(D456)), 'OLT DOWN Tickets'!$L:$L=""OLT UPLINK LOW POWER""), 1), """")"),"")</f>
        <v/>
      </c>
      <c r="L456" s="32" t="str">
        <f>IFERROR(__xludf.DUMMYFUNCTION("IFERROR(INDEX(FILTER('OLT DOWN Tickets'!$F:$F, REGEXMATCH('OLT DOWN Tickets'!$AB:$AB, ""(?i)""&amp;TRIM(D456)), 'OLT DOWN Tickets'!$L:$L=""OLT UPLINK DOWN""), 1), """")"),"")</f>
        <v/>
      </c>
      <c r="M456" s="32" t="str">
        <f>IFERROR(__xludf.DUMMYFUNCTION("IFERROR(INDEX(FILTER('OLT DOWN Tickets'!$F:$F, REGEXMATCH('OLT DOWN Tickets'!$AB:$AB, ""(?i)""&amp;TRIM(D456)), 'OLT DOWN Tickets'!$L:$L=""OLT SERVICE DEGRADATION""), 1), """")
"),"")</f>
        <v/>
      </c>
      <c r="N456" s="6" t="b">
        <v>0</v>
      </c>
      <c r="O456" s="6" t="b">
        <v>0</v>
      </c>
      <c r="P456" s="6" t="b">
        <v>0</v>
      </c>
      <c r="Q456" s="6" t="b">
        <v>0</v>
      </c>
      <c r="R456" s="6"/>
      <c r="S456" s="6"/>
      <c r="T456" s="6"/>
      <c r="U456" s="6"/>
    </row>
    <row r="457">
      <c r="A457" s="19"/>
      <c r="B457" s="26" t="s">
        <v>687</v>
      </c>
      <c r="C457" s="26" t="s">
        <v>775</v>
      </c>
      <c r="D457" s="27" t="s">
        <v>780</v>
      </c>
      <c r="E457" s="6" t="b">
        <f t="shared" si="1"/>
        <v>1</v>
      </c>
      <c r="F457" s="6" t="b">
        <f>COUNTIFS('OLT DOWN Tickets'!$AB:$AB, "*" &amp; D457 &amp; "*", 'OLT DOWN Tickets'!$L:$L, "OLT DOWN") &gt; 0</f>
        <v>0</v>
      </c>
      <c r="G457" s="6" t="b">
        <f>COUNTIFS('OLT DOWN Tickets'!$AB:$AB, "*" &amp; D457 &amp; "*", 'OLT DOWN Tickets'!$L:$L, "OLT UPLINK LOW POWER") &gt; 0</f>
        <v>0</v>
      </c>
      <c r="H457" s="6" t="b">
        <f>COUNTIFS('OLT DOWN Tickets'!$AB:$AB, "*" &amp; D457 &amp; "*", 'OLT DOWN Tickets'!$L:$L, "OLT UPLINK DOWN") &gt; 0</f>
        <v>0</v>
      </c>
      <c r="I457" s="6" t="b">
        <f>COUNTIFS('OLT DOWN Tickets'!$AB:$AB, "*" &amp; D457 &amp; "*", 'OLT DOWN Tickets'!$L:$L, "OLT SERVICE DEGRADATION") &gt; 0</f>
        <v>0</v>
      </c>
      <c r="J457" s="32" t="str">
        <f>IFERROR(__xludf.DUMMYFUNCTION("IFERROR(INDEX(FILTER('OLT DOWN Tickets'!$F:$F, REGEXMATCH('OLT DOWN Tickets'!$AB:$AB, ""(?i)""&amp;TRIM(D457)), 'OLT DOWN Tickets'!$L:$L=""OLT DOWN""), 1), """")"),"")</f>
        <v/>
      </c>
      <c r="K457" s="32" t="str">
        <f>IFERROR(__xludf.DUMMYFUNCTION("IFERROR(INDEX(FILTER('OLT DOWN Tickets'!$F:$F, REGEXMATCH('OLT DOWN Tickets'!$AB:$AB, ""(?i)""&amp;TRIM(D457)), 'OLT DOWN Tickets'!$L:$L=""OLT UPLINK LOW POWER""), 1), """")"),"")</f>
        <v/>
      </c>
      <c r="L457" s="32" t="str">
        <f>IFERROR(__xludf.DUMMYFUNCTION("IFERROR(INDEX(FILTER('OLT DOWN Tickets'!$F:$F, REGEXMATCH('OLT DOWN Tickets'!$AB:$AB, ""(?i)""&amp;TRIM(D457)), 'OLT DOWN Tickets'!$L:$L=""OLT UPLINK DOWN""), 1), """")"),"")</f>
        <v/>
      </c>
      <c r="M457" s="32" t="str">
        <f>IFERROR(__xludf.DUMMYFUNCTION("IFERROR(INDEX(FILTER('OLT DOWN Tickets'!$F:$F, REGEXMATCH('OLT DOWN Tickets'!$AB:$AB, ""(?i)""&amp;TRIM(D457)), 'OLT DOWN Tickets'!$L:$L=""OLT SERVICE DEGRADATION""), 1), """")
"),"")</f>
        <v/>
      </c>
      <c r="N457" s="6" t="b">
        <v>0</v>
      </c>
      <c r="O457" s="6" t="b">
        <v>0</v>
      </c>
      <c r="P457" s="6" t="b">
        <v>0</v>
      </c>
      <c r="Q457" s="6" t="b">
        <v>0</v>
      </c>
      <c r="R457" s="6"/>
      <c r="S457" s="6"/>
      <c r="T457" s="6"/>
      <c r="U457" s="6"/>
    </row>
    <row r="458">
      <c r="A458" s="19"/>
      <c r="B458" s="26" t="s">
        <v>390</v>
      </c>
      <c r="C458" s="26" t="s">
        <v>419</v>
      </c>
      <c r="D458" s="27" t="s">
        <v>781</v>
      </c>
      <c r="E458" s="6" t="b">
        <f t="shared" si="1"/>
        <v>1</v>
      </c>
      <c r="F458" s="6" t="b">
        <f>COUNTIFS('OLT DOWN Tickets'!$AB:$AB, "*" &amp; D458 &amp; "*", 'OLT DOWN Tickets'!$L:$L, "OLT DOWN") &gt; 0</f>
        <v>0</v>
      </c>
      <c r="G458" s="6" t="b">
        <f>COUNTIFS('OLT DOWN Tickets'!$AB:$AB, "*" &amp; D458 &amp; "*", 'OLT DOWN Tickets'!$L:$L, "OLT UPLINK LOW POWER") &gt; 0</f>
        <v>0</v>
      </c>
      <c r="H458" s="6" t="b">
        <f>COUNTIFS('OLT DOWN Tickets'!$AB:$AB, "*" &amp; D458 &amp; "*", 'OLT DOWN Tickets'!$L:$L, "OLT UPLINK DOWN") &gt; 0</f>
        <v>0</v>
      </c>
      <c r="I458" s="6" t="b">
        <f>COUNTIFS('OLT DOWN Tickets'!$AB:$AB, "*" &amp; D458 &amp; "*", 'OLT DOWN Tickets'!$L:$L, "OLT SERVICE DEGRADATION") &gt; 0</f>
        <v>0</v>
      </c>
      <c r="J458" s="32" t="str">
        <f>IFERROR(__xludf.DUMMYFUNCTION("IFERROR(INDEX(FILTER('OLT DOWN Tickets'!$F:$F, REGEXMATCH('OLT DOWN Tickets'!$AB:$AB, ""(?i)""&amp;TRIM(D458)), 'OLT DOWN Tickets'!$L:$L=""OLT DOWN""), 1), """")"),"")</f>
        <v/>
      </c>
      <c r="K458" s="32" t="str">
        <f>IFERROR(__xludf.DUMMYFUNCTION("IFERROR(INDEX(FILTER('OLT DOWN Tickets'!$F:$F, REGEXMATCH('OLT DOWN Tickets'!$AB:$AB, ""(?i)""&amp;TRIM(D458)), 'OLT DOWN Tickets'!$L:$L=""OLT UPLINK LOW POWER""), 1), """")"),"")</f>
        <v/>
      </c>
      <c r="L458" s="32" t="str">
        <f>IFERROR(__xludf.DUMMYFUNCTION("IFERROR(INDEX(FILTER('OLT DOWN Tickets'!$F:$F, REGEXMATCH('OLT DOWN Tickets'!$AB:$AB, ""(?i)""&amp;TRIM(D458)), 'OLT DOWN Tickets'!$L:$L=""OLT UPLINK DOWN""), 1), """")"),"")</f>
        <v/>
      </c>
      <c r="M458" s="32" t="str">
        <f>IFERROR(__xludf.DUMMYFUNCTION("IFERROR(INDEX(FILTER('OLT DOWN Tickets'!$F:$F, REGEXMATCH('OLT DOWN Tickets'!$AB:$AB, ""(?i)""&amp;TRIM(D458)), 'OLT DOWN Tickets'!$L:$L=""OLT SERVICE DEGRADATION""), 1), """")
"),"")</f>
        <v/>
      </c>
      <c r="N458" s="6" t="b">
        <v>0</v>
      </c>
      <c r="O458" s="6" t="b">
        <v>0</v>
      </c>
      <c r="P458" s="6" t="b">
        <v>0</v>
      </c>
      <c r="Q458" s="6" t="b">
        <v>0</v>
      </c>
      <c r="R458" s="6"/>
      <c r="S458" s="6"/>
      <c r="T458" s="6"/>
      <c r="U458" s="6"/>
    </row>
    <row r="459">
      <c r="A459" s="19"/>
      <c r="B459" s="26" t="s">
        <v>390</v>
      </c>
      <c r="C459" s="26" t="s">
        <v>782</v>
      </c>
      <c r="D459" s="27" t="s">
        <v>783</v>
      </c>
      <c r="E459" s="6" t="b">
        <f t="shared" si="1"/>
        <v>1</v>
      </c>
      <c r="F459" s="6" t="b">
        <f>COUNTIFS('OLT DOWN Tickets'!$AB:$AB, "*" &amp; D459 &amp; "*", 'OLT DOWN Tickets'!$L:$L, "OLT DOWN") &gt; 0</f>
        <v>0</v>
      </c>
      <c r="G459" s="6" t="b">
        <f>COUNTIFS('OLT DOWN Tickets'!$AB:$AB, "*" &amp; D459 &amp; "*", 'OLT DOWN Tickets'!$L:$L, "OLT UPLINK LOW POWER") &gt; 0</f>
        <v>0</v>
      </c>
      <c r="H459" s="6" t="b">
        <f>COUNTIFS('OLT DOWN Tickets'!$AB:$AB, "*" &amp; D459 &amp; "*", 'OLT DOWN Tickets'!$L:$L, "OLT UPLINK DOWN") &gt; 0</f>
        <v>0</v>
      </c>
      <c r="I459" s="6" t="b">
        <f>COUNTIFS('OLT DOWN Tickets'!$AB:$AB, "*" &amp; D459 &amp; "*", 'OLT DOWN Tickets'!$L:$L, "OLT SERVICE DEGRADATION") &gt; 0</f>
        <v>0</v>
      </c>
      <c r="J459" s="32" t="str">
        <f>IFERROR(__xludf.DUMMYFUNCTION("IFERROR(INDEX(FILTER('OLT DOWN Tickets'!$F:$F, REGEXMATCH('OLT DOWN Tickets'!$AB:$AB, ""(?i)""&amp;TRIM(D459)), 'OLT DOWN Tickets'!$L:$L=""OLT DOWN""), 1), """")"),"")</f>
        <v/>
      </c>
      <c r="K459" s="32" t="str">
        <f>IFERROR(__xludf.DUMMYFUNCTION("IFERROR(INDEX(FILTER('OLT DOWN Tickets'!$F:$F, REGEXMATCH('OLT DOWN Tickets'!$AB:$AB, ""(?i)""&amp;TRIM(D459)), 'OLT DOWN Tickets'!$L:$L=""OLT UPLINK LOW POWER""), 1), """")"),"")</f>
        <v/>
      </c>
      <c r="L459" s="32" t="str">
        <f>IFERROR(__xludf.DUMMYFUNCTION("IFERROR(INDEX(FILTER('OLT DOWN Tickets'!$F:$F, REGEXMATCH('OLT DOWN Tickets'!$AB:$AB, ""(?i)""&amp;TRIM(D459)), 'OLT DOWN Tickets'!$L:$L=""OLT UPLINK DOWN""), 1), """")"),"")</f>
        <v/>
      </c>
      <c r="M459" s="32" t="str">
        <f>IFERROR(__xludf.DUMMYFUNCTION("IFERROR(INDEX(FILTER('OLT DOWN Tickets'!$F:$F, REGEXMATCH('OLT DOWN Tickets'!$AB:$AB, ""(?i)""&amp;TRIM(D459)), 'OLT DOWN Tickets'!$L:$L=""OLT SERVICE DEGRADATION""), 1), """")
"),"")</f>
        <v/>
      </c>
      <c r="N459" s="6" t="b">
        <v>0</v>
      </c>
      <c r="O459" s="6" t="b">
        <v>0</v>
      </c>
      <c r="P459" s="6" t="b">
        <v>0</v>
      </c>
      <c r="Q459" s="6" t="b">
        <v>0</v>
      </c>
      <c r="R459" s="6"/>
      <c r="S459" s="6"/>
      <c r="T459" s="6"/>
      <c r="U459" s="6"/>
    </row>
    <row r="460">
      <c r="A460" s="19"/>
      <c r="B460" s="26" t="s">
        <v>390</v>
      </c>
      <c r="C460" s="26" t="s">
        <v>782</v>
      </c>
      <c r="D460" s="27" t="s">
        <v>784</v>
      </c>
      <c r="E460" s="6" t="b">
        <f t="shared" si="1"/>
        <v>1</v>
      </c>
      <c r="F460" s="6" t="b">
        <f>COUNTIFS('OLT DOWN Tickets'!$AB:$AB, "*" &amp; D460 &amp; "*", 'OLT DOWN Tickets'!$L:$L, "OLT DOWN") &gt; 0</f>
        <v>0</v>
      </c>
      <c r="G460" s="6" t="b">
        <f>COUNTIFS('OLT DOWN Tickets'!$AB:$AB, "*" &amp; D460 &amp; "*", 'OLT DOWN Tickets'!$L:$L, "OLT UPLINK LOW POWER") &gt; 0</f>
        <v>0</v>
      </c>
      <c r="H460" s="6" t="b">
        <f>COUNTIFS('OLT DOWN Tickets'!$AB:$AB, "*" &amp; D460 &amp; "*", 'OLT DOWN Tickets'!$L:$L, "OLT UPLINK DOWN") &gt; 0</f>
        <v>0</v>
      </c>
      <c r="I460" s="6" t="b">
        <f>COUNTIFS('OLT DOWN Tickets'!$AB:$AB, "*" &amp; D460 &amp; "*", 'OLT DOWN Tickets'!$L:$L, "OLT SERVICE DEGRADATION") &gt; 0</f>
        <v>0</v>
      </c>
      <c r="J460" s="32" t="str">
        <f>IFERROR(__xludf.DUMMYFUNCTION("IFERROR(INDEX(FILTER('OLT DOWN Tickets'!$F:$F, REGEXMATCH('OLT DOWN Tickets'!$AB:$AB, ""(?i)""&amp;TRIM(D460)), 'OLT DOWN Tickets'!$L:$L=""OLT DOWN""), 1), """")"),"")</f>
        <v/>
      </c>
      <c r="K460" s="32" t="str">
        <f>IFERROR(__xludf.DUMMYFUNCTION("IFERROR(INDEX(FILTER('OLT DOWN Tickets'!$F:$F, REGEXMATCH('OLT DOWN Tickets'!$AB:$AB, ""(?i)""&amp;TRIM(D460)), 'OLT DOWN Tickets'!$L:$L=""OLT UPLINK LOW POWER""), 1), """")"),"")</f>
        <v/>
      </c>
      <c r="L460" s="32" t="str">
        <f>IFERROR(__xludf.DUMMYFUNCTION("IFERROR(INDEX(FILTER('OLT DOWN Tickets'!$F:$F, REGEXMATCH('OLT DOWN Tickets'!$AB:$AB, ""(?i)""&amp;TRIM(D460)), 'OLT DOWN Tickets'!$L:$L=""OLT UPLINK DOWN""), 1), """")"),"")</f>
        <v/>
      </c>
      <c r="M460" s="32" t="str">
        <f>IFERROR(__xludf.DUMMYFUNCTION("IFERROR(INDEX(FILTER('OLT DOWN Tickets'!$F:$F, REGEXMATCH('OLT DOWN Tickets'!$AB:$AB, ""(?i)""&amp;TRIM(D460)), 'OLT DOWN Tickets'!$L:$L=""OLT SERVICE DEGRADATION""), 1), """")
"),"")</f>
        <v/>
      </c>
      <c r="N460" s="6" t="b">
        <v>0</v>
      </c>
      <c r="O460" s="6" t="b">
        <v>0</v>
      </c>
      <c r="P460" s="6" t="b">
        <v>0</v>
      </c>
      <c r="Q460" s="6" t="b">
        <v>0</v>
      </c>
      <c r="R460" s="6"/>
      <c r="S460" s="6"/>
      <c r="T460" s="6"/>
      <c r="U460" s="6"/>
    </row>
    <row r="461">
      <c r="A461" s="19"/>
      <c r="B461" s="26" t="s">
        <v>390</v>
      </c>
      <c r="C461" s="26" t="s">
        <v>785</v>
      </c>
      <c r="D461" s="27" t="s">
        <v>786</v>
      </c>
      <c r="E461" s="6" t="b">
        <f t="shared" si="1"/>
        <v>1</v>
      </c>
      <c r="F461" s="6" t="b">
        <f>COUNTIFS('OLT DOWN Tickets'!$AB:$AB, "*" &amp; D461 &amp; "*", 'OLT DOWN Tickets'!$L:$L, "OLT DOWN") &gt; 0</f>
        <v>0</v>
      </c>
      <c r="G461" s="6" t="b">
        <f>COUNTIFS('OLT DOWN Tickets'!$AB:$AB, "*" &amp; D461 &amp; "*", 'OLT DOWN Tickets'!$L:$L, "OLT UPLINK LOW POWER") &gt; 0</f>
        <v>0</v>
      </c>
      <c r="H461" s="6" t="b">
        <f>COUNTIFS('OLT DOWN Tickets'!$AB:$AB, "*" &amp; D461 &amp; "*", 'OLT DOWN Tickets'!$L:$L, "OLT UPLINK DOWN") &gt; 0</f>
        <v>0</v>
      </c>
      <c r="I461" s="6" t="b">
        <f>COUNTIFS('OLT DOWN Tickets'!$AB:$AB, "*" &amp; D461 &amp; "*", 'OLT DOWN Tickets'!$L:$L, "OLT SERVICE DEGRADATION") &gt; 0</f>
        <v>0</v>
      </c>
      <c r="J461" s="32" t="str">
        <f>IFERROR(__xludf.DUMMYFUNCTION("IFERROR(INDEX(FILTER('OLT DOWN Tickets'!$F:$F, REGEXMATCH('OLT DOWN Tickets'!$AB:$AB, ""(?i)""&amp;TRIM(D461)), 'OLT DOWN Tickets'!$L:$L=""OLT DOWN""), 1), """")"),"")</f>
        <v/>
      </c>
      <c r="K461" s="32" t="str">
        <f>IFERROR(__xludf.DUMMYFUNCTION("IFERROR(INDEX(FILTER('OLT DOWN Tickets'!$F:$F, REGEXMATCH('OLT DOWN Tickets'!$AB:$AB, ""(?i)""&amp;TRIM(D461)), 'OLT DOWN Tickets'!$L:$L=""OLT UPLINK LOW POWER""), 1), """")"),"")</f>
        <v/>
      </c>
      <c r="L461" s="32" t="str">
        <f>IFERROR(__xludf.DUMMYFUNCTION("IFERROR(INDEX(FILTER('OLT DOWN Tickets'!$F:$F, REGEXMATCH('OLT DOWN Tickets'!$AB:$AB, ""(?i)""&amp;TRIM(D461)), 'OLT DOWN Tickets'!$L:$L=""OLT UPLINK DOWN""), 1), """")"),"")</f>
        <v/>
      </c>
      <c r="M461" s="32" t="str">
        <f>IFERROR(__xludf.DUMMYFUNCTION("IFERROR(INDEX(FILTER('OLT DOWN Tickets'!$F:$F, REGEXMATCH('OLT DOWN Tickets'!$AB:$AB, ""(?i)""&amp;TRIM(D461)), 'OLT DOWN Tickets'!$L:$L=""OLT SERVICE DEGRADATION""), 1), """")
"),"")</f>
        <v/>
      </c>
      <c r="N461" s="6" t="b">
        <v>0</v>
      </c>
      <c r="O461" s="6" t="b">
        <v>0</v>
      </c>
      <c r="P461" s="6" t="b">
        <v>0</v>
      </c>
      <c r="Q461" s="6" t="b">
        <v>0</v>
      </c>
      <c r="R461" s="6"/>
      <c r="S461" s="6"/>
      <c r="T461" s="6"/>
      <c r="U461" s="6"/>
    </row>
    <row r="462">
      <c r="A462" s="19"/>
      <c r="B462" s="26" t="s">
        <v>390</v>
      </c>
      <c r="C462" s="26" t="s">
        <v>787</v>
      </c>
      <c r="D462" s="27" t="s">
        <v>788</v>
      </c>
      <c r="E462" s="6" t="b">
        <f t="shared" si="1"/>
        <v>1</v>
      </c>
      <c r="F462" s="6" t="b">
        <f>COUNTIFS('OLT DOWN Tickets'!$AB:$AB, "*" &amp; D462 &amp; "*", 'OLT DOWN Tickets'!$L:$L, "OLT DOWN") &gt; 0</f>
        <v>0</v>
      </c>
      <c r="G462" s="6" t="b">
        <f>COUNTIFS('OLT DOWN Tickets'!$AB:$AB, "*" &amp; D462 &amp; "*", 'OLT DOWN Tickets'!$L:$L, "OLT UPLINK LOW POWER") &gt; 0</f>
        <v>0</v>
      </c>
      <c r="H462" s="6" t="b">
        <f>COUNTIFS('OLT DOWN Tickets'!$AB:$AB, "*" &amp; D462 &amp; "*", 'OLT DOWN Tickets'!$L:$L, "OLT UPLINK DOWN") &gt; 0</f>
        <v>0</v>
      </c>
      <c r="I462" s="6" t="b">
        <f>COUNTIFS('OLT DOWN Tickets'!$AB:$AB, "*" &amp; D462 &amp; "*", 'OLT DOWN Tickets'!$L:$L, "OLT SERVICE DEGRADATION") &gt; 0</f>
        <v>0</v>
      </c>
      <c r="J462" s="32" t="str">
        <f>IFERROR(__xludf.DUMMYFUNCTION("IFERROR(INDEX(FILTER('OLT DOWN Tickets'!$F:$F, REGEXMATCH('OLT DOWN Tickets'!$AB:$AB, ""(?i)""&amp;TRIM(D462)), 'OLT DOWN Tickets'!$L:$L=""OLT DOWN""), 1), """")"),"")</f>
        <v/>
      </c>
      <c r="K462" s="32" t="str">
        <f>IFERROR(__xludf.DUMMYFUNCTION("IFERROR(INDEX(FILTER('OLT DOWN Tickets'!$F:$F, REGEXMATCH('OLT DOWN Tickets'!$AB:$AB, ""(?i)""&amp;TRIM(D462)), 'OLT DOWN Tickets'!$L:$L=""OLT UPLINK LOW POWER""), 1), """")"),"")</f>
        <v/>
      </c>
      <c r="L462" s="32" t="str">
        <f>IFERROR(__xludf.DUMMYFUNCTION("IFERROR(INDEX(FILTER('OLT DOWN Tickets'!$F:$F, REGEXMATCH('OLT DOWN Tickets'!$AB:$AB, ""(?i)""&amp;TRIM(D462)), 'OLT DOWN Tickets'!$L:$L=""OLT UPLINK DOWN""), 1), """")"),"")</f>
        <v/>
      </c>
      <c r="M462" s="32" t="str">
        <f>IFERROR(__xludf.DUMMYFUNCTION("IFERROR(INDEX(FILTER('OLT DOWN Tickets'!$F:$F, REGEXMATCH('OLT DOWN Tickets'!$AB:$AB, ""(?i)""&amp;TRIM(D462)), 'OLT DOWN Tickets'!$L:$L=""OLT SERVICE DEGRADATION""), 1), """")
"),"")</f>
        <v/>
      </c>
      <c r="N462" s="6" t="b">
        <v>0</v>
      </c>
      <c r="O462" s="6" t="b">
        <v>0</v>
      </c>
      <c r="P462" s="6" t="b">
        <v>0</v>
      </c>
      <c r="Q462" s="6" t="b">
        <v>0</v>
      </c>
      <c r="R462" s="6"/>
      <c r="S462" s="6"/>
      <c r="T462" s="6"/>
      <c r="U462" s="6"/>
    </row>
    <row r="463">
      <c r="A463" s="19"/>
      <c r="B463" s="26" t="s">
        <v>390</v>
      </c>
      <c r="C463" s="26" t="s">
        <v>483</v>
      </c>
      <c r="D463" s="27" t="s">
        <v>789</v>
      </c>
      <c r="E463" s="6" t="b">
        <f t="shared" si="1"/>
        <v>1</v>
      </c>
      <c r="F463" s="6" t="b">
        <f>COUNTIFS('OLT DOWN Tickets'!$AB:$AB, "*" &amp; D463 &amp; "*", 'OLT DOWN Tickets'!$L:$L, "OLT DOWN") &gt; 0</f>
        <v>0</v>
      </c>
      <c r="G463" s="6" t="b">
        <f>COUNTIFS('OLT DOWN Tickets'!$AB:$AB, "*" &amp; D463 &amp; "*", 'OLT DOWN Tickets'!$L:$L, "OLT UPLINK LOW POWER") &gt; 0</f>
        <v>0</v>
      </c>
      <c r="H463" s="6" t="b">
        <f>COUNTIFS('OLT DOWN Tickets'!$AB:$AB, "*" &amp; D463 &amp; "*", 'OLT DOWN Tickets'!$L:$L, "OLT UPLINK DOWN") &gt; 0</f>
        <v>0</v>
      </c>
      <c r="I463" s="6" t="b">
        <f>COUNTIFS('OLT DOWN Tickets'!$AB:$AB, "*" &amp; D463 &amp; "*", 'OLT DOWN Tickets'!$L:$L, "OLT SERVICE DEGRADATION") &gt; 0</f>
        <v>0</v>
      </c>
      <c r="J463" s="32" t="str">
        <f>IFERROR(__xludf.DUMMYFUNCTION("IFERROR(INDEX(FILTER('OLT DOWN Tickets'!$F:$F, REGEXMATCH('OLT DOWN Tickets'!$AB:$AB, ""(?i)""&amp;TRIM(D463)), 'OLT DOWN Tickets'!$L:$L=""OLT DOWN""), 1), """")"),"")</f>
        <v/>
      </c>
      <c r="K463" s="32" t="str">
        <f>IFERROR(__xludf.DUMMYFUNCTION("IFERROR(INDEX(FILTER('OLT DOWN Tickets'!$F:$F, REGEXMATCH('OLT DOWN Tickets'!$AB:$AB, ""(?i)""&amp;TRIM(D463)), 'OLT DOWN Tickets'!$L:$L=""OLT UPLINK LOW POWER""), 1), """")"),"")</f>
        <v/>
      </c>
      <c r="L463" s="32" t="str">
        <f>IFERROR(__xludf.DUMMYFUNCTION("IFERROR(INDEX(FILTER('OLT DOWN Tickets'!$F:$F, REGEXMATCH('OLT DOWN Tickets'!$AB:$AB, ""(?i)""&amp;TRIM(D463)), 'OLT DOWN Tickets'!$L:$L=""OLT UPLINK DOWN""), 1), """")"),"")</f>
        <v/>
      </c>
      <c r="M463" s="32" t="str">
        <f>IFERROR(__xludf.DUMMYFUNCTION("IFERROR(INDEX(FILTER('OLT DOWN Tickets'!$F:$F, REGEXMATCH('OLT DOWN Tickets'!$AB:$AB, ""(?i)""&amp;TRIM(D463)), 'OLT DOWN Tickets'!$L:$L=""OLT SERVICE DEGRADATION""), 1), """")
"),"")</f>
        <v/>
      </c>
      <c r="N463" s="6" t="b">
        <v>0</v>
      </c>
      <c r="O463" s="6" t="b">
        <v>0</v>
      </c>
      <c r="P463" s="6" t="b">
        <v>0</v>
      </c>
      <c r="Q463" s="6" t="b">
        <v>0</v>
      </c>
      <c r="R463" s="6"/>
      <c r="S463" s="6"/>
      <c r="T463" s="6"/>
      <c r="U463" s="6"/>
    </row>
    <row r="464">
      <c r="A464" s="19"/>
      <c r="B464" s="19"/>
      <c r="C464" s="19"/>
      <c r="D464" s="19" t="s">
        <v>6</v>
      </c>
      <c r="E464" s="6">
        <f t="shared" ref="E464:I464" si="2">COUNTIF(E3:E463, TRUE)</f>
        <v>459</v>
      </c>
      <c r="F464" s="6">
        <f t="shared" si="2"/>
        <v>1</v>
      </c>
      <c r="G464" s="6">
        <f t="shared" si="2"/>
        <v>1</v>
      </c>
      <c r="H464" s="6">
        <f t="shared" si="2"/>
        <v>0</v>
      </c>
      <c r="I464" s="6">
        <f t="shared" si="2"/>
        <v>0</v>
      </c>
      <c r="J464" s="32" t="str">
        <f>IFERROR(__xludf.DUMMYFUNCTION("IFERROR(FILTER('OLT DOWN Tickets'!$F:$F, 'OLT DOWN Tickets'!$AA:$AA=D464, 'OLT DOWN Tickets'!$L:$L=""OLT DOWN""), """")"),"")</f>
        <v/>
      </c>
      <c r="K464" s="32"/>
      <c r="L464" s="32"/>
      <c r="M464" s="32"/>
      <c r="N464" s="6"/>
      <c r="O464" s="6"/>
      <c r="P464" s="6"/>
      <c r="Q464" s="6"/>
      <c r="R464" s="6"/>
      <c r="S464" s="6"/>
      <c r="T464" s="6"/>
      <c r="U464" s="6"/>
    </row>
  </sheetData>
  <mergeCells count="3">
    <mergeCell ref="E1:I1"/>
    <mergeCell ref="J1:M1"/>
    <mergeCell ref="N1:Q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25.5"/>
    <col customWidth="1" min="4" max="4" width="23.38"/>
    <col customWidth="1" min="5" max="5" width="19.75"/>
    <col customWidth="1" min="6" max="6" width="24.63"/>
    <col hidden="1" min="7" max="8" width="12.63"/>
    <col customWidth="1" min="9" max="9" width="45.63"/>
    <col hidden="1" min="13" max="13" width="12.63"/>
    <col customWidth="1" hidden="1" min="14" max="14" width="27.0"/>
    <col customWidth="1" hidden="1" min="15" max="15" width="22.13"/>
    <col hidden="1" min="16" max="27" width="12.63"/>
    <col customWidth="1" min="28" max="29" width="15.5"/>
  </cols>
  <sheetData>
    <row r="1">
      <c r="A1" s="13"/>
      <c r="B1" s="15" t="s">
        <v>11</v>
      </c>
      <c r="C1" s="15" t="s">
        <v>12</v>
      </c>
      <c r="D1" s="15" t="s">
        <v>2</v>
      </c>
      <c r="E1" s="15" t="s">
        <v>1</v>
      </c>
      <c r="F1" s="15" t="s">
        <v>14</v>
      </c>
      <c r="G1" s="13"/>
      <c r="H1" s="13"/>
      <c r="I1" s="15" t="s">
        <v>17</v>
      </c>
      <c r="J1" s="15" t="s">
        <v>19</v>
      </c>
      <c r="K1" s="15" t="s">
        <v>20</v>
      </c>
      <c r="L1" s="15" t="s">
        <v>21</v>
      </c>
      <c r="M1" s="15" t="s">
        <v>22</v>
      </c>
      <c r="N1" s="15" t="s">
        <v>23</v>
      </c>
      <c r="O1" s="15" t="s">
        <v>25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22" t="s">
        <v>37</v>
      </c>
      <c r="AC1" s="23" t="s">
        <v>41</v>
      </c>
    </row>
    <row r="2">
      <c r="A2" s="25" t="str">
        <f>IFERROR(__xludf.DUMMYFUNCTION("{QUERY(IMPORTRANGE(""https://docs.google.com/spreadsheets/d/159m0SlQEB-oUSGHGADISir5i6z0XvjIus0AdRtE24Lg"",""2025 NOC TICKETS!A2:AA""),""Select * where Col1 ='LCP' ORDER BY Col4, Col1"")}"),"LCP")</f>
        <v>LCP</v>
      </c>
      <c r="B2" s="25" t="str">
        <f>IFERROR(__xludf.DUMMYFUNCTION("""COMPUTED_VALUE"""),"August, 2026")</f>
        <v>August, 2026</v>
      </c>
      <c r="C2" s="28">
        <f>IFERROR(__xludf.DUMMYFUNCTION("""COMPUTED_VALUE"""),46241.0)</f>
        <v>46241</v>
      </c>
      <c r="D2" s="25" t="str">
        <f>IFERROR(__xludf.DUMMYFUNCTION("""COMPUTED_VALUE"""),"BENGUET")</f>
        <v>BENGUET</v>
      </c>
      <c r="E2" s="25" t="str">
        <f>IFERROR(__xludf.DUMMYFUNCTION("""COMPUTED_VALUE"""),"ATOK")</f>
        <v>ATOK</v>
      </c>
      <c r="F2" s="25" t="str">
        <f>IFERROR(__xludf.DUMMYFUNCTION("""COMPUTED_VALUE"""),"TT-20260807-00000178")</f>
        <v>TT-20260807-00000178</v>
      </c>
      <c r="G2" s="25"/>
      <c r="H2" s="25" t="str">
        <f>IFERROR(__xludf.DUMMYFUNCTION("""COMPUTED_VALUE"""),"TT-20260807-00000178 | BENGUET | ATOK | SA | LCP DOWN | TT-20260807-00000178
SA - LCP DOWN - BENGUET - ATB002-OLT-01 (0/1/15) LP16
SFDC Ticket ID INC-000126102
Affected Nodes/Links
ATB002-OLT-01 0/1/15
ATB002 LP16
16.637285 120.765578
Affecte"&amp;"d Users (From IM) 3
Start Time 2026-08-07 11:07:15")</f>
        <v>TT-20260807-00000178 | BENGUET | ATOK | SA | LCP DOWN | TT-20260807-00000178
SA - LCP DOWN - BENGUET - ATB002-OLT-01 (0/1/15) LP16
SFDC Ticket ID INC-000126102
Affected Nodes/Links
ATB002-OLT-01 0/1/15
ATB002 LP16
16.637285 120.765578
Affected Users (From IM) 3
Start Time 2026-08-07 11:07:15</v>
      </c>
      <c r="I2" s="25" t="str">
        <f>IFERROR(__xludf.DUMMYFUNCTION("""COMPUTED_VALUE"""),"TT-20260807-00000178
SA - LCP DOWN - BENGUET - ATB002-OLT-01 (0/1/15) LP16
SFDC Ticket ID INC-000126102
Affected Nodes/Links
ATB002-OLT-01 0/1/15
ATB002 LP16
16.637285 120.765578
Affected Users (From IM) 3
Start Time 2026-08-07 11:07:15")</f>
        <v>TT-20260807-00000178
SA - LCP DOWN - BENGUET - ATB002-OLT-01 (0/1/15) LP16
SFDC Ticket ID INC-000126102
Affected Nodes/Links
ATB002-OLT-01 0/1/15
ATB002 LP16
16.637285 120.765578
Affected Users (From IM) 3
Start Time 2026-08-07 11:07:15</v>
      </c>
      <c r="J2" s="29"/>
      <c r="K2" s="25" t="str">
        <f>IFERROR(__xludf.DUMMYFUNCTION("""COMPUTED_VALUE"""),"SA")</f>
        <v>SA</v>
      </c>
      <c r="L2" s="25" t="str">
        <f>IFERROR(__xludf.DUMMYFUNCTION("""COMPUTED_VALUE"""),"LCP DOWN")</f>
        <v>LCP DOWN</v>
      </c>
      <c r="M2" s="25" t="str">
        <f>IFERROR(__xludf.DUMMYFUNCTION("""COMPUTED_VALUE"""),"GNOC")</f>
        <v>GNOC</v>
      </c>
      <c r="N2" s="30">
        <f>IFERROR(__xludf.DUMMYFUNCTION("""COMPUTED_VALUE"""),46241.47682793982)</f>
        <v>46241.47683</v>
      </c>
      <c r="O2" s="30">
        <f>IFERROR(__xludf.DUMMYFUNCTION("""COMPUTED_VALUE"""),46241.47682793982)</f>
        <v>46241.47683</v>
      </c>
      <c r="P2" s="25"/>
      <c r="Q2" s="25"/>
      <c r="R2" s="25"/>
      <c r="S2" s="25"/>
      <c r="T2" s="25"/>
      <c r="U2" s="25"/>
      <c r="V2" s="25"/>
      <c r="W2" s="25"/>
      <c r="X2" s="25" t="str">
        <f>IFERROR(__xludf.DUMMYFUNCTION("""COMPUTED_VALUE"""),"-")</f>
        <v>-</v>
      </c>
      <c r="Y2" s="25"/>
      <c r="Z2" s="30">
        <f>IFERROR(__xludf.DUMMYFUNCTION("""COMPUTED_VALUE"""),46249.06423988426)</f>
        <v>46249.06424</v>
      </c>
      <c r="AA2" s="31">
        <f>IFERROR(__xludf.DUMMYFUNCTION("""COMPUTED_VALUE"""),7.587411944446083)</f>
        <v>7.587411944</v>
      </c>
      <c r="AB2" s="33">
        <f>IFERROR(__xludf.DUMMYFUNCTION("LEN(REGEXREPLACE(REGEXREPLACE(REGEXEXTRACT(I2, ""(?s)Affected Nodes/Links(.*)""), ""https://[^\s]+"", """"), ""[^/]"", """")) / 2"),1.0)</f>
        <v>1</v>
      </c>
      <c r="AC2" s="34">
        <f>IFERROR(__xludf.DUMMYFUNCTION("IFERROR(VALUE(REGEXEXTRACT(I2, ""No\.? of [Ss]ubs:\s*(\d+)"")), 0) + IFERROR(VALUE(REGEXEXTRACT(I2, ""Affected Users(?:\s*\(From IM\))?:?\s*(\d+)"")), 0) + IFERROR(VALUE(REGEXEXTRACT(I2, ""Affected Clients:\s*(\d+)"")), 0)"),3.0)</f>
        <v>3</v>
      </c>
    </row>
    <row r="3">
      <c r="A3" s="25" t="str">
        <f>IFERROR(__xludf.DUMMYFUNCTION("""COMPUTED_VALUE"""),"LCP")</f>
        <v>LCP</v>
      </c>
      <c r="B3" s="25" t="str">
        <f>IFERROR(__xludf.DUMMYFUNCTION("""COMPUTED_VALUE"""),"August, 2026")</f>
        <v>August, 2026</v>
      </c>
      <c r="C3" s="28">
        <f>IFERROR(__xludf.DUMMYFUNCTION("""COMPUTED_VALUE"""),46241.0)</f>
        <v>46241</v>
      </c>
      <c r="D3" s="25" t="str">
        <f>IFERROR(__xludf.DUMMYFUNCTION("""COMPUTED_VALUE"""),"BENGUET")</f>
        <v>BENGUET</v>
      </c>
      <c r="E3" s="25" t="str">
        <f>IFERROR(__xludf.DUMMYFUNCTION("""COMPUTED_VALUE"""),"ATOK")</f>
        <v>ATOK</v>
      </c>
      <c r="F3" s="25" t="str">
        <f>IFERROR(__xludf.DUMMYFUNCTION("""COMPUTED_VALUE"""),"TT-20260807-00000431")</f>
        <v>TT-20260807-00000431</v>
      </c>
      <c r="G3" s="25"/>
      <c r="H3" s="25" t="str">
        <f>IFERROR(__xludf.DUMMYFUNCTION("""COMPUTED_VALUE"""),"TT-20260807-00000431 | BENGUET | ATOK | SA | LCP DOWN | TT-20260807-00000431
SA - MULTIPLE LCP DOWN - BENGUET - ATB002-OLT-01 
Affected Nodes/Links
ATB002-OLT-01 0/1/12
ATB002-OLT-01 0/1/13
ATB002 LP13 NP1 
16.630321	120.76314
Affected Users "&amp;"(From IM) 10
Start Time 2026-08-07 19:42:27")</f>
        <v>TT-20260807-00000431 | BENGUET | ATOK | SA | LCP DOWN | TT-20260807-00000431
SA - MULTIPLE LCP DOWN - BENGUET - ATB002-OLT-01 
Affected Nodes/Links
ATB002-OLT-01 0/1/12
ATB002-OLT-01 0/1/13
ATB002 LP13 NP1 
16.630321	120.76314
Affected Users (From IM) 10
Start Time 2026-08-07 19:42:27</v>
      </c>
      <c r="I3" s="25" t="str">
        <f>IFERROR(__xludf.DUMMYFUNCTION("""COMPUTED_VALUE"""),"TT-20260807-00000431
SA - MULTIPLE LCP DOWN - BENGUET - ATB002-OLT-01 
Affected Nodes/Links
ATB002-OLT-01 0/1/12
ATB002-OLT-01 0/1/13
ATB002 LP13 NP1 
16.630321	120.76314
Affected Users (From IM) 10
Start Time 2026-08-07 19:42:27")</f>
        <v>TT-20260807-00000431
SA - MULTIPLE LCP DOWN - BENGUET - ATB002-OLT-01 
Affected Nodes/Links
ATB002-OLT-01 0/1/12
ATB002-OLT-01 0/1/13
ATB002 LP13 NP1 
16.630321	120.76314
Affected Users (From IM) 10
Start Time 2026-08-07 19:42:27</v>
      </c>
      <c r="J3" s="29">
        <f>IFERROR(__xludf.DUMMYFUNCTION("""COMPUTED_VALUE"""),10.0)</f>
        <v>10</v>
      </c>
      <c r="K3" s="25" t="str">
        <f>IFERROR(__xludf.DUMMYFUNCTION("""COMPUTED_VALUE"""),"SA")</f>
        <v>SA</v>
      </c>
      <c r="L3" s="25" t="str">
        <f>IFERROR(__xludf.DUMMYFUNCTION("""COMPUTED_VALUE"""),"LCP DOWN")</f>
        <v>LCP DOWN</v>
      </c>
      <c r="M3" s="25" t="str">
        <f>IFERROR(__xludf.DUMMYFUNCTION("""COMPUTED_VALUE"""),"GNOC")</f>
        <v>GNOC</v>
      </c>
      <c r="N3" s="30">
        <f>IFERROR(__xludf.DUMMYFUNCTION("""COMPUTED_VALUE"""),46241.82114583333)</f>
        <v>46241.82115</v>
      </c>
      <c r="O3" s="30">
        <f>IFERROR(__xludf.DUMMYFUNCTION("""COMPUTED_VALUE"""),46241.82114583333)</f>
        <v>46241.82115</v>
      </c>
      <c r="P3" s="25"/>
      <c r="Q3" s="25"/>
      <c r="R3" s="25"/>
      <c r="S3" s="25"/>
      <c r="T3" s="25"/>
      <c r="U3" s="25"/>
      <c r="V3" s="25"/>
      <c r="W3" s="25"/>
      <c r="X3" s="25" t="str">
        <f>IFERROR(__xludf.DUMMYFUNCTION("""COMPUTED_VALUE"""),"-")</f>
        <v>-</v>
      </c>
      <c r="Y3" s="25"/>
      <c r="Z3" s="30">
        <f>IFERROR(__xludf.DUMMYFUNCTION("""COMPUTED_VALUE"""),46249.06423988426)</f>
        <v>46249.06424</v>
      </c>
      <c r="AA3" s="31">
        <f>IFERROR(__xludf.DUMMYFUNCTION("""COMPUTED_VALUE"""),7.243094050925959)</f>
        <v>7.243094051</v>
      </c>
      <c r="AB3" s="33">
        <f>IFERROR(__xludf.DUMMYFUNCTION("LEN(REGEXREPLACE(REGEXREPLACE(REGEXEXTRACT(I3, ""(?s)Affected Nodes/Links(.*)""), ""https://[^\s]+"", """"), ""[^/]"", """")) / 2"),2.0)</f>
        <v>2</v>
      </c>
      <c r="AC3" s="34">
        <f>IFERROR(__xludf.DUMMYFUNCTION("IFERROR(VALUE(REGEXEXTRACT(I3, ""No\.? of [Ss]ubs:\s*(\d+)"")), 0) + IFERROR(VALUE(REGEXEXTRACT(I3, ""Affected Users(?:\s*\(From IM\))?:?\s*(\d+)"")), 0) + IFERROR(VALUE(REGEXEXTRACT(I3, ""Affected Clients:\s*(\d+)"")), 0)"),10.0)</f>
        <v>10</v>
      </c>
    </row>
    <row r="4">
      <c r="A4" s="25" t="str">
        <f>IFERROR(__xludf.DUMMYFUNCTION("""COMPUTED_VALUE"""),"LCP")</f>
        <v>LCP</v>
      </c>
      <c r="B4" s="25" t="str">
        <f>IFERROR(__xludf.DUMMYFUNCTION("""COMPUTED_VALUE"""),"August, 2026")</f>
        <v>August, 2026</v>
      </c>
      <c r="C4" s="28">
        <f>IFERROR(__xludf.DUMMYFUNCTION("""COMPUTED_VALUE"""),46247.0)</f>
        <v>46247</v>
      </c>
      <c r="D4" s="25" t="str">
        <f>IFERROR(__xludf.DUMMYFUNCTION("""COMPUTED_VALUE"""),"BENGUET")</f>
        <v>BENGUET</v>
      </c>
      <c r="E4" s="25" t="str">
        <f>IFERROR(__xludf.DUMMYFUNCTION("""COMPUTED_VALUE"""),"MANKAYAN")</f>
        <v>MANKAYAN</v>
      </c>
      <c r="F4" s="25" t="str">
        <f>IFERROR(__xludf.DUMMYFUNCTION("""COMPUTED_VALUE"""),"TT-20260813-00000374")</f>
        <v>TT-20260813-00000374</v>
      </c>
      <c r="G4" s="25"/>
      <c r="H4" s="25" t="str">
        <f>IFERROR(__xludf.DUMMYFUNCTION("""COMPUTED_VALUE"""),"TT-20260813-00000374 | BENGUET | MANKAYAN | SA | LCP DOWN | TT-20260813-00000374
SA - LCP DOWN - BENGUET - MYB001-OLT-01 (0/3/9) LP42
SFDC Ticket ID INC-000127992
Affected Nodes/Links
MYB001-OLT-01 0/3/9
Affected Users (From IM) 6
Start Time 202"&amp;"6-08-13 16:38:15
---------------""")</f>
        <v>TT-20260813-00000374 | BENGUET | MANKAYAN | SA | LCP DOWN | TT-20260813-00000374
SA - LCP DOWN - BENGUET - MYB001-OLT-01 (0/3/9) LP42
SFDC Ticket ID INC-000127992
Affected Nodes/Links
MYB001-OLT-01 0/3/9
Affected Users (From IM) 6
Start Time 2026-08-13 16:38:15
---------------"</v>
      </c>
      <c r="I4" s="35" t="str">
        <f>IFERROR(__xludf.DUMMYFUNCTION("""COMPUTED_VALUE"""),"TT-20260813-00000374
SA - LCP DOWN - BENGUET - MYB001-OLT-01 (0/3/9) LP42
SFDC Ticket ID INC-000127992
Affected Nodes/Links
MYB001-OLT-01 0/3/9
Affected Users (From IM) 6
Start Time 2026-08-13 16:38:15
---------------""")</f>
        <v>TT-20260813-00000374
SA - LCP DOWN - BENGUET - MYB001-OLT-01 (0/3/9) LP42
SFDC Ticket ID INC-000127992
Affected Nodes/Links
MYB001-OLT-01 0/3/9
Affected Users (From IM) 6
Start Time 2026-08-13 16:38:15
---------------"</v>
      </c>
      <c r="J4" s="29"/>
      <c r="K4" s="25" t="str">
        <f>IFERROR(__xludf.DUMMYFUNCTION("""COMPUTED_VALUE"""),"SA")</f>
        <v>SA</v>
      </c>
      <c r="L4" s="25" t="str">
        <f>IFERROR(__xludf.DUMMYFUNCTION("""COMPUTED_VALUE"""),"LCP DOWN")</f>
        <v>LCP DOWN</v>
      </c>
      <c r="M4" s="25" t="str">
        <f>IFERROR(__xludf.DUMMYFUNCTION("""COMPUTED_VALUE"""),"GNOC")</f>
        <v>GNOC</v>
      </c>
      <c r="N4" s="30">
        <f>IFERROR(__xludf.DUMMYFUNCTION("""COMPUTED_VALUE"""),46247.624131944445)</f>
        <v>46247.62413</v>
      </c>
      <c r="O4" s="30">
        <f>IFERROR(__xludf.DUMMYFUNCTION("""COMPUTED_VALUE"""),46247.624131944445)</f>
        <v>46247.62413</v>
      </c>
      <c r="P4" s="25"/>
      <c r="Q4" s="25"/>
      <c r="R4" s="25"/>
      <c r="S4" s="25"/>
      <c r="T4" s="25"/>
      <c r="U4" s="25"/>
      <c r="V4" s="25"/>
      <c r="W4" s="25"/>
      <c r="X4" s="25" t="str">
        <f>IFERROR(__xludf.DUMMYFUNCTION("""COMPUTED_VALUE"""),"-")</f>
        <v>-</v>
      </c>
      <c r="Y4" s="25"/>
      <c r="Z4" s="30">
        <f>IFERROR(__xludf.DUMMYFUNCTION("""COMPUTED_VALUE"""),46249.06423988426)</f>
        <v>46249.06424</v>
      </c>
      <c r="AA4" s="31">
        <f>IFERROR(__xludf.DUMMYFUNCTION("""COMPUTED_VALUE"""),1.4401079398160275)</f>
        <v>1.44010794</v>
      </c>
      <c r="AB4" s="33">
        <f>IFERROR(__xludf.DUMMYFUNCTION("LEN(REGEXREPLACE(REGEXREPLACE(REGEXEXTRACT(I4, ""(?s)Affected Nodes/Links(.*)""), ""https://[^\s]+"", """"), ""[^/]"", """")) / 2"),1.0)</f>
        <v>1</v>
      </c>
      <c r="AC4" s="34">
        <f>IFERROR(__xludf.DUMMYFUNCTION("IFERROR(VALUE(REGEXEXTRACT(I4, ""No\.? of [Ss]ubs:\s*(\d+)"")), 0) + IFERROR(VALUE(REGEXEXTRACT(I4, ""Affected Users(?:\s*\(From IM\))?:?\s*(\d+)"")), 0) + IFERROR(VALUE(REGEXEXTRACT(I4, ""Affected Clients:\s*(\d+)"")), 0)"),6.0)</f>
        <v>6</v>
      </c>
    </row>
    <row r="5">
      <c r="A5" s="25" t="str">
        <f>IFERROR(__xludf.DUMMYFUNCTION("""COMPUTED_VALUE"""),"LCP")</f>
        <v>LCP</v>
      </c>
      <c r="B5" s="25" t="str">
        <f>IFERROR(__xludf.DUMMYFUNCTION("""COMPUTED_VALUE"""),"August, 2026")</f>
        <v>August, 2026</v>
      </c>
      <c r="C5" s="28">
        <f>IFERROR(__xludf.DUMMYFUNCTION("""COMPUTED_VALUE"""),46248.0)</f>
        <v>46248</v>
      </c>
      <c r="D5" s="25" t="str">
        <f>IFERROR(__xludf.DUMMYFUNCTION("""COMPUTED_VALUE"""),"BENGUET")</f>
        <v>BENGUET</v>
      </c>
      <c r="E5" s="25" t="str">
        <f>IFERROR(__xludf.DUMMYFUNCTION("""COMPUTED_VALUE"""),"BAKUN")</f>
        <v>BAKUN</v>
      </c>
      <c r="F5" s="25" t="str">
        <f>IFERROR(__xludf.DUMMYFUNCTION("""COMPUTED_VALUE"""),"TT-20260814-00000401")</f>
        <v>TT-20260814-00000401</v>
      </c>
      <c r="G5" s="25"/>
      <c r="H5" s="25" t="str">
        <f>IFERROR(__xludf.DUMMYFUNCTION("""COMPUTED_VALUE"""),"TT-20260814-00000401 | BENGUET | BAKUN | SA | LCP DOWN | TT-20260814-00000401
SA - LCP DOWN - BENGUET - BNB001-OLT-01 (0/1/14) LP15
SFDC Ticket ID INC-000128319
Affected Nodes/Links
BNB001-OLT-01 0/1/14
Affected Users (From IM) 2
Start Time 2026-08-14 1"&amp;"8:21:28")</f>
        <v>TT-20260814-00000401 | BENGUET | BAKUN | SA | LCP DOWN | TT-20260814-00000401
SA - LCP DOWN - BENGUET - BNB001-OLT-01 (0/1/14) LP15
SFDC Ticket ID INC-000128319
Affected Nodes/Links
BNB001-OLT-01 0/1/14
Affected Users (From IM) 2
Start Time 2026-08-14 18:21:28</v>
      </c>
      <c r="I5" s="25" t="str">
        <f>IFERROR(__xludf.DUMMYFUNCTION("""COMPUTED_VALUE"""),"TT-20260814-00000401
SA - LCP DOWN - BENGUET - BNB001-OLT-01 (0/1/14) LP15
SFDC Ticket ID INC-000128319
Affected Nodes/Links
BNB001-OLT-01 0/1/14
Affected Users (From IM) 2
Start Time 2026-08-14 18:21:28")</f>
        <v>TT-20260814-00000401
SA - LCP DOWN - BENGUET - BNB001-OLT-01 (0/1/14) LP15
SFDC Ticket ID INC-000128319
Affected Nodes/Links
BNB001-OLT-01 0/1/14
Affected Users (From IM) 2
Start Time 2026-08-14 18:21:28</v>
      </c>
      <c r="J5" s="29">
        <f>IFERROR(__xludf.DUMMYFUNCTION("""COMPUTED_VALUE"""),2.0)</f>
        <v>2</v>
      </c>
      <c r="K5" s="25" t="str">
        <f>IFERROR(__xludf.DUMMYFUNCTION("""COMPUTED_VALUE"""),"SA")</f>
        <v>SA</v>
      </c>
      <c r="L5" s="25" t="str">
        <f>IFERROR(__xludf.DUMMYFUNCTION("""COMPUTED_VALUE"""),"LCP DOWN")</f>
        <v>LCP DOWN</v>
      </c>
      <c r="M5" s="25" t="str">
        <f>IFERROR(__xludf.DUMMYFUNCTION("""COMPUTED_VALUE"""),"GNOC")</f>
        <v>GNOC</v>
      </c>
      <c r="N5" s="30">
        <f>IFERROR(__xludf.DUMMYFUNCTION("""COMPUTED_VALUE"""),46248.76490740741)</f>
        <v>46248.76491</v>
      </c>
      <c r="O5" s="30">
        <f>IFERROR(__xludf.DUMMYFUNCTION("""COMPUTED_VALUE"""),46248.76490740741)</f>
        <v>46248.76491</v>
      </c>
      <c r="P5" s="25"/>
      <c r="Q5" s="25"/>
      <c r="R5" s="25"/>
      <c r="S5" s="25"/>
      <c r="T5" s="25"/>
      <c r="U5" s="25"/>
      <c r="V5" s="25"/>
      <c r="W5" s="25"/>
      <c r="X5" s="25" t="str">
        <f>IFERROR(__xludf.DUMMYFUNCTION("""COMPUTED_VALUE"""),"-")</f>
        <v>-</v>
      </c>
      <c r="Y5" s="25"/>
      <c r="Z5" s="30">
        <f>IFERROR(__xludf.DUMMYFUNCTION("""COMPUTED_VALUE"""),46249.06423988426)</f>
        <v>46249.06424</v>
      </c>
      <c r="AA5" s="31">
        <f>IFERROR(__xludf.DUMMYFUNCTION("""COMPUTED_VALUE"""),0.2993324768506338)</f>
        <v>0.2993324769</v>
      </c>
      <c r="AB5" s="33">
        <f>IFERROR(__xludf.DUMMYFUNCTION("LEN(REGEXREPLACE(REGEXREPLACE(REGEXEXTRACT(I5, ""(?s)Affected Nodes/Links(.*)""), ""https://[^\s]+"", """"), ""[^/]"", """")) / 2"),1.0)</f>
        <v>1</v>
      </c>
      <c r="AC5" s="34">
        <f>IFERROR(__xludf.DUMMYFUNCTION("IFERROR(VALUE(REGEXEXTRACT(I5, ""No\.? of [Ss]ubs:\s*(\d+)"")), 0) + IFERROR(VALUE(REGEXEXTRACT(I5, ""Affected Users(?:\s*\(From IM\))?:?\s*(\d+)"")), 0) + IFERROR(VALUE(REGEXEXTRACT(I5, ""Affected Clients:\s*(\d+)"")), 0)"),2.0)</f>
        <v>2</v>
      </c>
    </row>
    <row r="6">
      <c r="A6" s="25" t="str">
        <f>IFERROR(__xludf.DUMMYFUNCTION("""COMPUTED_VALUE"""),"LCP")</f>
        <v>LCP</v>
      </c>
      <c r="B6" s="25" t="str">
        <f>IFERROR(__xludf.DUMMYFUNCTION("""COMPUTED_VALUE"""),"August, 2026")</f>
        <v>August, 2026</v>
      </c>
      <c r="C6" s="28">
        <f>IFERROR(__xludf.DUMMYFUNCTION("""COMPUTED_VALUE"""),46247.0)</f>
        <v>46247</v>
      </c>
      <c r="D6" s="25" t="str">
        <f>IFERROR(__xludf.DUMMYFUNCTION("""COMPUTED_VALUE"""),"IFUGAO")</f>
        <v>IFUGAO</v>
      </c>
      <c r="E6" s="25" t="str">
        <f>IFERROR(__xludf.DUMMYFUNCTION("""COMPUTED_VALUE"""),"LAGAWE")</f>
        <v>LAGAWE</v>
      </c>
      <c r="F6" s="25" t="str">
        <f>IFERROR(__xludf.DUMMYFUNCTION("""COMPUTED_VALUE"""),"TT-20260813-00000424")</f>
        <v>TT-20260813-00000424</v>
      </c>
      <c r="G6" s="25"/>
      <c r="H6" s="25" t="str">
        <f>IFERROR(__xludf.DUMMYFUNCTION("""COMPUTED_VALUE"""),"TT-20260813-00000424 | IFUGAO | LAGAWE | SA | LCP DOWN | TT-20260813-00000424
SA - LCP DOWN - IFUGAO - LEF001-OLT-01 (0/1/1) LP2
SFDC Ticket ID INC-000128027
Affected Nodes/Links
LEF001-OLT-01 0/1/1
Affected Users (From IM) 7
Start Time 2026-08-"&amp;"13 18:24:16")</f>
        <v>TT-20260813-00000424 | IFUGAO | LAGAWE | SA | LCP DOWN | TT-20260813-00000424
SA - LCP DOWN - IFUGAO - LEF001-OLT-01 (0/1/1) LP2
SFDC Ticket ID INC-000128027
Affected Nodes/Links
LEF001-OLT-01 0/1/1
Affected Users (From IM) 7
Start Time 2026-08-13 18:24:16</v>
      </c>
      <c r="I6" s="25" t="str">
        <f>IFERROR(__xludf.DUMMYFUNCTION("""COMPUTED_VALUE"""),"TT-20260813-00000424
SA - LCP DOWN - IFUGAO - LEF001-OLT-01 (0/1/1) LP2
SFDC Ticket ID INC-000128027
Affected Nodes/Links
LEF001-OLT-01 0/1/1
Affected Users (From IM) 7
Start Time 2026-08-13 18:24:16")</f>
        <v>TT-20260813-00000424
SA - LCP DOWN - IFUGAO - LEF001-OLT-01 (0/1/1) LP2
SFDC Ticket ID INC-000128027
Affected Nodes/Links
LEF001-OLT-01 0/1/1
Affected Users (From IM) 7
Start Time 2026-08-13 18:24:16</v>
      </c>
      <c r="J6" s="29">
        <f>IFERROR(__xludf.DUMMYFUNCTION("""COMPUTED_VALUE"""),7.0)</f>
        <v>7</v>
      </c>
      <c r="K6" s="25" t="str">
        <f>IFERROR(__xludf.DUMMYFUNCTION("""COMPUTED_VALUE"""),"SA")</f>
        <v>SA</v>
      </c>
      <c r="L6" s="25" t="str">
        <f>IFERROR(__xludf.DUMMYFUNCTION("""COMPUTED_VALUE"""),"LCP DOWN")</f>
        <v>LCP DOWN</v>
      </c>
      <c r="M6" s="25" t="str">
        <f>IFERROR(__xludf.DUMMYFUNCTION("""COMPUTED_VALUE"""),"GNOC")</f>
        <v>GNOC</v>
      </c>
      <c r="N6" s="30">
        <f>IFERROR(__xludf.DUMMYFUNCTION("""COMPUTED_VALUE"""),46247.7671875)</f>
        <v>46247.76719</v>
      </c>
      <c r="O6" s="30">
        <f>IFERROR(__xludf.DUMMYFUNCTION("""COMPUTED_VALUE"""),46247.7671875)</f>
        <v>46247.76719</v>
      </c>
      <c r="P6" s="25"/>
      <c r="Q6" s="25"/>
      <c r="R6" s="25"/>
      <c r="S6" s="25"/>
      <c r="T6" s="25"/>
      <c r="U6" s="25"/>
      <c r="V6" s="25"/>
      <c r="W6" s="25"/>
      <c r="X6" s="25" t="str">
        <f>IFERROR(__xludf.DUMMYFUNCTION("""COMPUTED_VALUE"""),"-")</f>
        <v>-</v>
      </c>
      <c r="Y6" s="25"/>
      <c r="Z6" s="30">
        <f>IFERROR(__xludf.DUMMYFUNCTION("""COMPUTED_VALUE"""),46249.06423988426)</f>
        <v>46249.06424</v>
      </c>
      <c r="AA6" s="31">
        <f>IFERROR(__xludf.DUMMYFUNCTION("""COMPUTED_VALUE"""),1.2970523842598252)</f>
        <v>1.297052384</v>
      </c>
      <c r="AB6" s="33">
        <f>IFERROR(__xludf.DUMMYFUNCTION("LEN(REGEXREPLACE(REGEXREPLACE(REGEXEXTRACT(I6, ""(?s)Affected Nodes/Links(.*)""), ""https://[^\s]+"", """"), ""[^/]"", """")) / 2"),1.0)</f>
        <v>1</v>
      </c>
      <c r="AC6" s="34">
        <f>IFERROR(__xludf.DUMMYFUNCTION("IFERROR(VALUE(REGEXEXTRACT(I6, ""No\.? of [Ss]ubs:\s*(\d+)"")), 0) + IFERROR(VALUE(REGEXEXTRACT(I6, ""Affected Users(?:\s*\(From IM\))?:?\s*(\d+)"")), 0) + IFERROR(VALUE(REGEXEXTRACT(I6, ""Affected Clients:\s*(\d+)"")), 0)"),7.0)</f>
        <v>7</v>
      </c>
    </row>
    <row r="7">
      <c r="A7" s="25" t="str">
        <f>IFERROR(__xludf.DUMMYFUNCTION("""COMPUTED_VALUE"""),"LCP")</f>
        <v>LCP</v>
      </c>
      <c r="B7" s="25" t="str">
        <f>IFERROR(__xludf.DUMMYFUNCTION("""COMPUTED_VALUE"""),"August, 2026")</f>
        <v>August, 2026</v>
      </c>
      <c r="C7" s="28">
        <f>IFERROR(__xludf.DUMMYFUNCTION("""COMPUTED_VALUE"""),46248.0)</f>
        <v>46248</v>
      </c>
      <c r="D7" s="25" t="str">
        <f>IFERROR(__xludf.DUMMYFUNCTION("""COMPUTED_VALUE"""),"ILOCOS_NORTE")</f>
        <v>ILOCOS_NORTE</v>
      </c>
      <c r="E7" s="25" t="str">
        <f>IFERROR(__xludf.DUMMYFUNCTION("""COMPUTED_VALUE"""),"SINAIT")</f>
        <v>SINAIT</v>
      </c>
      <c r="F7" s="25" t="str">
        <f>IFERROR(__xludf.DUMMYFUNCTION("""COMPUTED_VALUE"""),"TT-20260814-00000456")</f>
        <v>TT-20260814-00000456</v>
      </c>
      <c r="G7" s="25"/>
      <c r="H7" s="25" t="str">
        <f>IFERROR(__xludf.DUMMYFUNCTION("""COMPUTED_VALUE"""),"TT-20260814-00000456 | ILOCOS_NORTE | SINAIT | SA | LCP DOWN | TT-20260814-00000456
SA - LCP DOWN - ILOCOS NORTE - SSI001-OLT-01 (0/3/14) LP47
SFDC Ticket ID INC-000128346
Affected Nodes/Links
SSI001-OLT-01 0/3/14
Affected Users (From IM) 28
Start Time "&amp;"2026-08-14 21:31:15")</f>
        <v>TT-20260814-00000456 | ILOCOS_NORTE | SINAIT | SA | LCP DOWN | TT-20260814-00000456
SA - LCP DOWN - ILOCOS NORTE - SSI001-OLT-01 (0/3/14) LP47
SFDC Ticket ID INC-000128346
Affected Nodes/Links
SSI001-OLT-01 0/3/14
Affected Users (From IM) 28
Start Time 2026-08-14 21:31:15</v>
      </c>
      <c r="I7" s="25" t="str">
        <f>IFERROR(__xludf.DUMMYFUNCTION("""COMPUTED_VALUE"""),"TT-20260814-00000456
SA - LCP DOWN - ILOCOS NORTE - SSI001-OLT-01 (0/3/14) LP47
SFDC Ticket ID INC-000128346
Affected Nodes/Links
SSI001-OLT-01 0/3/14
Affected Users (From IM) 28
Start Time 2026-08-14 21:31:15")</f>
        <v>TT-20260814-00000456
SA - LCP DOWN - ILOCOS NORTE - SSI001-OLT-01 (0/3/14) LP47
SFDC Ticket ID INC-000128346
Affected Nodes/Links
SSI001-OLT-01 0/3/14
Affected Users (From IM) 28
Start Time 2026-08-14 21:31:15</v>
      </c>
      <c r="J7" s="29"/>
      <c r="K7" s="25" t="str">
        <f>IFERROR(__xludf.DUMMYFUNCTION("""COMPUTED_VALUE"""),"SA")</f>
        <v>SA</v>
      </c>
      <c r="L7" s="25" t="str">
        <f>IFERROR(__xludf.DUMMYFUNCTION("""COMPUTED_VALUE"""),"LCP DOWN")</f>
        <v>LCP DOWN</v>
      </c>
      <c r="M7" s="25" t="str">
        <f>IFERROR(__xludf.DUMMYFUNCTION("""COMPUTED_VALUE"""),"GNOC")</f>
        <v>GNOC</v>
      </c>
      <c r="N7" s="30">
        <f>IFERROR(__xludf.DUMMYFUNCTION("""COMPUTED_VALUE"""),46248.89670138889)</f>
        <v>46248.8967</v>
      </c>
      <c r="O7" s="30">
        <f>IFERROR(__xludf.DUMMYFUNCTION("""COMPUTED_VALUE"""),46248.89670138889)</f>
        <v>46248.8967</v>
      </c>
      <c r="P7" s="25"/>
      <c r="Q7" s="25"/>
      <c r="R7" s="25"/>
      <c r="S7" s="25"/>
      <c r="T7" s="25"/>
      <c r="U7" s="25"/>
      <c r="V7" s="25"/>
      <c r="W7" s="25"/>
      <c r="X7" s="25" t="str">
        <f>IFERROR(__xludf.DUMMYFUNCTION("""COMPUTED_VALUE"""),"-")</f>
        <v>-</v>
      </c>
      <c r="Y7" s="25"/>
      <c r="Z7" s="30">
        <f>IFERROR(__xludf.DUMMYFUNCTION("""COMPUTED_VALUE"""),46249.06423988426)</f>
        <v>46249.06424</v>
      </c>
      <c r="AA7" s="31">
        <f>IFERROR(__xludf.DUMMYFUNCTION("""COMPUTED_VALUE"""),0.1675384953707746)</f>
        <v>0.1675384954</v>
      </c>
      <c r="AB7" s="33">
        <f>IFERROR(__xludf.DUMMYFUNCTION("LEN(REGEXREPLACE(REGEXREPLACE(REGEXEXTRACT(I7, ""(?s)Affected Nodes/Links(.*)""), ""https://[^\s]+"", """"), ""[^/]"", """")) / 2"),1.0)</f>
        <v>1</v>
      </c>
      <c r="AC7" s="34">
        <f>IFERROR(__xludf.DUMMYFUNCTION("IFERROR(VALUE(REGEXEXTRACT(I7, ""No\.? of [Ss]ubs:\s*(\d+)"")), 0) + IFERROR(VALUE(REGEXEXTRACT(I7, ""Affected Users(?:\s*\(From IM\))?:?\s*(\d+)"")), 0) + IFERROR(VALUE(REGEXEXTRACT(I7, ""Affected Clients:\s*(\d+)"")), 0)"),28.0)</f>
        <v>28</v>
      </c>
    </row>
    <row r="8">
      <c r="A8" s="25" t="str">
        <f>IFERROR(__xludf.DUMMYFUNCTION("""COMPUTED_VALUE"""),"LCP")</f>
        <v>LCP</v>
      </c>
      <c r="B8" s="25" t="str">
        <f>IFERROR(__xludf.DUMMYFUNCTION("""COMPUTED_VALUE"""),"August, 2026")</f>
        <v>August, 2026</v>
      </c>
      <c r="C8" s="28">
        <f>IFERROR(__xludf.DUMMYFUNCTION("""COMPUTED_VALUE"""),46249.0)</f>
        <v>46249</v>
      </c>
      <c r="D8" s="25" t="str">
        <f>IFERROR(__xludf.DUMMYFUNCTION("""COMPUTED_VALUE"""),"ILOCOS_NORTE")</f>
        <v>ILOCOS_NORTE</v>
      </c>
      <c r="E8" s="25" t="str">
        <f>IFERROR(__xludf.DUMMYFUNCTION("""COMPUTED_VALUE"""),"NUEVA ERA")</f>
        <v>NUEVA ERA</v>
      </c>
      <c r="F8" s="25" t="str">
        <f>IFERROR(__xludf.DUMMYFUNCTION("""COMPUTED_VALUE"""),"TT-20260815-00000003")</f>
        <v>TT-20260815-00000003</v>
      </c>
      <c r="G8" s="25"/>
      <c r="H8" s="25" t="str">
        <f>IFERROR(__xludf.DUMMYFUNCTION("""COMPUTED_VALUE"""),"TT-20260815-00000003 | ILOCOS_NORTE | NUEVA ERA | SA | LCP DOWN | TT-20260815-00000003
SA - MULTIPLE LCP DOWN - ILOCOS NORTE - NEI001-OLT-01
SFDC Ticket ID INC-000128372
Affected Nodes/Links
NEI001-OLT-01 0/2/2        NEI001 LP26
NEI001-OLT-01 0/2/1     "&amp;"   NEI001 LP25
Affected Users (From IM) 52
Start Time 2026-08-14 23:58:38")</f>
        <v>TT-20260815-00000003 | ILOCOS_NORTE | NUEVA ERA | SA | LCP DOWN | TT-20260815-00000003
SA - MULTIPLE LCP DOWN - ILOCOS NORTE - NEI001-OLT-01
SFDC Ticket ID INC-000128372
Affected Nodes/Links
NEI001-OLT-01 0/2/2        NEI001 LP26
NEI001-OLT-01 0/2/1        NEI001 LP25
Affected Users (From IM) 52
Start Time 2026-08-14 23:58:38</v>
      </c>
      <c r="I8" s="25" t="str">
        <f>IFERROR(__xludf.DUMMYFUNCTION("""COMPUTED_VALUE"""),"TT-20260815-00000003
SA - MULTIPLE LCP DOWN - ILOCOS NORTE - NEI001-OLT-01
SFDC Ticket ID INC-000128372
Affected Nodes/Links
NEI001-OLT-01 0/2/2        NEI001 LP26
NEI001-OLT-01 0/2/1        NEI001 LP25
Affected Users (From IM) 52
Start Time 2026-08-14 "&amp;"23:58:38")</f>
        <v>TT-20260815-00000003
SA - MULTIPLE LCP DOWN - ILOCOS NORTE - NEI001-OLT-01
SFDC Ticket ID INC-000128372
Affected Nodes/Links
NEI001-OLT-01 0/2/2        NEI001 LP26
NEI001-OLT-01 0/2/1        NEI001 LP25
Affected Users (From IM) 52
Start Time 2026-08-14 23:58:38</v>
      </c>
      <c r="J8" s="29">
        <f>IFERROR(__xludf.DUMMYFUNCTION("""COMPUTED_VALUE"""),52.0)</f>
        <v>52</v>
      </c>
      <c r="K8" s="25" t="str">
        <f>IFERROR(__xludf.DUMMYFUNCTION("""COMPUTED_VALUE"""),"SA")</f>
        <v>SA</v>
      </c>
      <c r="L8" s="25" t="str">
        <f>IFERROR(__xludf.DUMMYFUNCTION("""COMPUTED_VALUE"""),"LCP DOWN")</f>
        <v>LCP DOWN</v>
      </c>
      <c r="M8" s="25" t="str">
        <f>IFERROR(__xludf.DUMMYFUNCTION("""COMPUTED_VALUE"""),"GNOC")</f>
        <v>GNOC</v>
      </c>
      <c r="N8" s="30">
        <f>IFERROR(__xludf.DUMMYFUNCTION("""COMPUTED_VALUE"""),46248.99905092592)</f>
        <v>46248.99905</v>
      </c>
      <c r="O8" s="30">
        <f>IFERROR(__xludf.DUMMYFUNCTION("""COMPUTED_VALUE"""),46249.00920138889)</f>
        <v>46249.0092</v>
      </c>
      <c r="P8" s="25"/>
      <c r="Q8" s="25"/>
      <c r="R8" s="25"/>
      <c r="S8" s="25"/>
      <c r="T8" s="25"/>
      <c r="U8" s="25"/>
      <c r="V8" s="25"/>
      <c r="W8" s="25"/>
      <c r="X8" s="25" t="str">
        <f>IFERROR(__xludf.DUMMYFUNCTION("""COMPUTED_VALUE"""),"-")</f>
        <v>-</v>
      </c>
      <c r="Y8" s="25"/>
      <c r="Z8" s="30">
        <f>IFERROR(__xludf.DUMMYFUNCTION("""COMPUTED_VALUE"""),46249.06423988426)</f>
        <v>46249.06424</v>
      </c>
      <c r="AA8" s="31">
        <f>IFERROR(__xludf.DUMMYFUNCTION("""COMPUTED_VALUE"""),0.05503849537150218)</f>
        <v>0.05503849537</v>
      </c>
      <c r="AB8" s="33">
        <f>IFERROR(__xludf.DUMMYFUNCTION("LEN(REGEXREPLACE(REGEXREPLACE(REGEXEXTRACT(I8, ""(?s)Affected Nodes/Links(.*)""), ""https://[^\s]+"", """"), ""[^/]"", """")) / 2"),2.0)</f>
        <v>2</v>
      </c>
      <c r="AC8" s="34">
        <f>IFERROR(__xludf.DUMMYFUNCTION("IFERROR(VALUE(REGEXEXTRACT(I8, ""No\.? of [Ss]ubs:\s*(\d+)"")), 0) + IFERROR(VALUE(REGEXEXTRACT(I8, ""Affected Users(?:\s*\(From IM\))?:?\s*(\d+)"")), 0) + IFERROR(VALUE(REGEXEXTRACT(I8, ""Affected Clients:\s*(\d+)"")), 0)"),52.0)</f>
        <v>52</v>
      </c>
    </row>
    <row r="9">
      <c r="A9" s="25" t="str">
        <f>IFERROR(__xludf.DUMMYFUNCTION("""COMPUTED_VALUE"""),"LCP")</f>
        <v>LCP</v>
      </c>
      <c r="B9" s="25" t="str">
        <f>IFERROR(__xludf.DUMMYFUNCTION("""COMPUTED_VALUE"""),"August, 2026")</f>
        <v>August, 2026</v>
      </c>
      <c r="C9" s="28">
        <f>IFERROR(__xludf.DUMMYFUNCTION("""COMPUTED_VALUE"""),46249.0)</f>
        <v>46249</v>
      </c>
      <c r="D9" s="25" t="str">
        <f>IFERROR(__xludf.DUMMYFUNCTION("""COMPUTED_VALUE"""),"ILOCOS_NORTE")</f>
        <v>ILOCOS_NORTE</v>
      </c>
      <c r="E9" s="25" t="str">
        <f>IFERROR(__xludf.DUMMYFUNCTION("""COMPUTED_VALUE"""),"NUEVA ERA")</f>
        <v>NUEVA ERA</v>
      </c>
      <c r="F9" s="25" t="str">
        <f>IFERROR(__xludf.DUMMYFUNCTION("""COMPUTED_VALUE"""),"TT-20260815-00000022")</f>
        <v>TT-20260815-00000022</v>
      </c>
      <c r="G9" s="25"/>
      <c r="H9" s="25" t="str">
        <f>IFERROR(__xludf.DUMMYFUNCTION("""COMPUTED_VALUE"""),"TT-20260815-00000022 | ILOCOS_NORTE | NUEVA ERA | SA | LCP DOWN | 
TT-20260815-00000022
SA - MULTIPLE LCP DOWN - ILOCOS NORTE - NEI001-OLT-01
SFDC Ticket ID undefined
Affected Nodes/Links
NEI001-OLT-01 0/2/6
NEI001-OLT-01 0/2/3
Affected Users (From IM) "&amp;"8
Start Time 2026-08-15 00:35:23")</f>
        <v>TT-20260815-00000022 | ILOCOS_NORTE | NUEVA ERA | SA | LCP DOWN | 
TT-20260815-00000022
SA - MULTIPLE LCP DOWN - ILOCOS NORTE - NEI001-OLT-01
SFDC Ticket ID undefined
Affected Nodes/Links
NEI001-OLT-01 0/2/6
NEI001-OLT-01 0/2/3
Affected Users (From IM) 8
Start Time 2026-08-15 00:35:23</v>
      </c>
      <c r="I9" s="25" t="str">
        <f>IFERROR(__xludf.DUMMYFUNCTION("""COMPUTED_VALUE"""),"
TT-20260815-00000022
SA - MULTIPLE LCP DOWN - ILOCOS NORTE - NEI001-OLT-01
SFDC Ticket ID undefined
Affected Nodes/Links
NEI001-OLT-01 0/2/6
NEI001-OLT-01 0/2/3
Affected Users (From IM) 8
Start Time 2026-08-15 00:35:23")</f>
        <v>
TT-20260815-00000022
SA - MULTIPLE LCP DOWN - ILOCOS NORTE - NEI001-OLT-01
SFDC Ticket ID undefined
Affected Nodes/Links
NEI001-OLT-01 0/2/6
NEI001-OLT-01 0/2/3
Affected Users (From IM) 8
Start Time 2026-08-15 00:35:23</v>
      </c>
      <c r="J9" s="29">
        <f>IFERROR(__xludf.DUMMYFUNCTION("""COMPUTED_VALUE"""),8.0)</f>
        <v>8</v>
      </c>
      <c r="K9" s="25" t="str">
        <f>IFERROR(__xludf.DUMMYFUNCTION("""COMPUTED_VALUE"""),"SA")</f>
        <v>SA</v>
      </c>
      <c r="L9" s="25" t="str">
        <f>IFERROR(__xludf.DUMMYFUNCTION("""COMPUTED_VALUE"""),"LCP DOWN")</f>
        <v>LCP DOWN</v>
      </c>
      <c r="M9" s="25" t="str">
        <f>IFERROR(__xludf.DUMMYFUNCTION("""COMPUTED_VALUE"""),"GNOC")</f>
        <v>GNOC</v>
      </c>
      <c r="N9" s="30">
        <f>IFERROR(__xludf.DUMMYFUNCTION("""COMPUTED_VALUE"""),46249.02457175926)</f>
        <v>46249.02457</v>
      </c>
      <c r="O9" s="30">
        <f>IFERROR(__xludf.DUMMYFUNCTION("""COMPUTED_VALUE"""),46249.03836805555)</f>
        <v>46249.03837</v>
      </c>
      <c r="P9" s="25"/>
      <c r="Q9" s="25"/>
      <c r="R9" s="25"/>
      <c r="S9" s="25"/>
      <c r="T9" s="25"/>
      <c r="U9" s="25"/>
      <c r="V9" s="25"/>
      <c r="W9" s="25"/>
      <c r="X9" s="25" t="str">
        <f>IFERROR(__xludf.DUMMYFUNCTION("""COMPUTED_VALUE"""),"-")</f>
        <v>-</v>
      </c>
      <c r="Y9" s="25"/>
      <c r="Z9" s="30">
        <f>IFERROR(__xludf.DUMMYFUNCTION("""COMPUTED_VALUE"""),46249.06423988426)</f>
        <v>46249.06424</v>
      </c>
      <c r="AA9" s="31">
        <f>IFERROR(__xludf.DUMMYFUNCTION("""COMPUTED_VALUE"""),0.025871828704350456)</f>
        <v>0.0258718287</v>
      </c>
      <c r="AB9" s="33">
        <f>IFERROR(__xludf.DUMMYFUNCTION("LEN(REGEXREPLACE(REGEXREPLACE(REGEXEXTRACT(I9, ""(?s)Affected Nodes/Links(.*)""), ""https://[^\s]+"", """"), ""[^/]"", """")) / 2"),2.0)</f>
        <v>2</v>
      </c>
      <c r="AC9" s="34">
        <f>IFERROR(__xludf.DUMMYFUNCTION("IFERROR(VALUE(REGEXEXTRACT(I9, ""No\.? of [Ss]ubs:\s*(\d+)"")), 0) + IFERROR(VALUE(REGEXEXTRACT(I9, ""Affected Users(?:\s*\(From IM\))?:?\s*(\d+)"")), 0) + IFERROR(VALUE(REGEXEXTRACT(I9, ""Affected Clients:\s*(\d+)"")), 0)"),8.0)</f>
        <v>8</v>
      </c>
    </row>
    <row r="10">
      <c r="A10" s="25" t="str">
        <f>IFERROR(__xludf.DUMMYFUNCTION("""COMPUTED_VALUE"""),"LCP")</f>
        <v>LCP</v>
      </c>
      <c r="B10" s="25" t="str">
        <f>IFERROR(__xludf.DUMMYFUNCTION("""COMPUTED_VALUE"""),"August, 2026")</f>
        <v>August, 2026</v>
      </c>
      <c r="C10" s="28">
        <f>IFERROR(__xludf.DUMMYFUNCTION("""COMPUTED_VALUE"""),46248.0)</f>
        <v>46248</v>
      </c>
      <c r="D10" s="25" t="str">
        <f>IFERROR(__xludf.DUMMYFUNCTION("""COMPUTED_VALUE"""),"NUEVA_VIZCAYA")</f>
        <v>NUEVA_VIZCAYA</v>
      </c>
      <c r="E10" s="25" t="str">
        <f>IFERROR(__xludf.DUMMYFUNCTION("""COMPUTED_VALUE"""),"KASIBU")</f>
        <v>KASIBU</v>
      </c>
      <c r="F10" s="25" t="str">
        <f>IFERROR(__xludf.DUMMYFUNCTION("""COMPUTED_VALUE"""),"TT-20260814-00000392")</f>
        <v>TT-20260814-00000392</v>
      </c>
      <c r="G10" s="25"/>
      <c r="H10" s="25" t="str">
        <f>IFERROR(__xludf.DUMMYFUNCTION("""COMPUTED_VALUE"""),"TT-20260814-00000392 | NUEVA_VIZCAYA | KASIBU | SA | LCP DOWN | TT-20260814-00000392
SA - MULTIPLE LCP DOWN - NUEVA VIZCAYA - KSV001-OLT-01
SFDC Ticket ID INC-000128314
Affected Nodes/Links
KSV001-OLT-01 0/1/12        KSV001 LP13
KSV001-OLT-01 0/1/15    "&amp;"    KSV001 LP16
KSV001-OLT-01 0/2/0        KSV001 LP17
KSV001-OLT-01 0/1/13        KSV001 LP14
KSV001-OLT-01 0/1/5        KSV001 LP6
KSV001-OLT-01 0/1/14        KSV001 LP15
KSV001-OLT-01 0/1/2        KSV001 LP3
KSV001-OLT-01 0/1/7        KSV001 LP8
KSV001"&amp;"-OLT-01 0/1/3        KSV001 LP4
KSV001-OLT-01 0/1/4        KSV001 LP5
KSV001-OLT-01 0/1/6        KSV001 LP7
KSV001-OLT-01 0/1/9        KSV001 LP10
Affected Users (From IM) 245
Start Time 2026-08-14 17:28:40")</f>
        <v>TT-20260814-00000392 | NUEVA_VIZCAYA | KASIBU | SA | LCP DOWN | TT-20260814-00000392
SA - MULTIPLE LCP DOWN - NUEVA VIZCAYA - KSV001-OLT-01
SFDC Ticket ID INC-000128314
Affected Nodes/Links
KSV001-OLT-01 0/1/12        KSV001 LP13
KSV001-OLT-01 0/1/15        KSV001 LP16
KSV001-OLT-01 0/2/0        KSV001 LP17
KSV001-OLT-01 0/1/13        KSV001 LP14
KSV001-OLT-01 0/1/5        KSV001 LP6
KSV001-OLT-01 0/1/14        KSV001 LP15
KSV001-OLT-01 0/1/2        KSV001 LP3
KSV001-OLT-01 0/1/7        KSV001 LP8
KSV001-OLT-01 0/1/3        KSV001 LP4
KSV001-OLT-01 0/1/4        KSV001 LP5
KSV001-OLT-01 0/1/6        KSV001 LP7
KSV001-OLT-01 0/1/9        KSV001 LP10
Affected Users (From IM) 245
Start Time 2026-08-14 17:28:40</v>
      </c>
      <c r="I10" s="25" t="str">
        <f>IFERROR(__xludf.DUMMYFUNCTION("""COMPUTED_VALUE"""),"TT-20260814-00000392
SA - MULTIPLE LCP DOWN - NUEVA VIZCAYA - KSV001-OLT-01
SFDC Ticket ID INC-000128314
Affected Nodes/Links
KSV001-OLT-01 0/1/12        KSV001 LP13
KSV001-OLT-01 0/1/15        KSV001 LP16
KSV001-OLT-01 0/2/0        KSV001 LP17
KSV001-OL"&amp;"T-01 0/1/13        KSV001 LP14
KSV001-OLT-01 0/1/5        KSV001 LP6
KSV001-OLT-01 0/1/14        KSV001 LP15
KSV001-OLT-01 0/1/2        KSV001 LP3
KSV001-OLT-01 0/1/7        KSV001 LP8
KSV001-OLT-01 0/1/3        KSV001 LP4
KSV001-OLT-01 0/1/4        KSV00"&amp;"1 LP5
KSV001-OLT-01 0/1/6        KSV001 LP7
KSV001-OLT-01 0/1/9        KSV001 LP10
Affected Users (From IM) 245
Start Time 2026-08-14 17:28:40")</f>
        <v>TT-20260814-00000392
SA - MULTIPLE LCP DOWN - NUEVA VIZCAYA - KSV001-OLT-01
SFDC Ticket ID INC-000128314
Affected Nodes/Links
KSV001-OLT-01 0/1/12        KSV001 LP13
KSV001-OLT-01 0/1/15        KSV001 LP16
KSV001-OLT-01 0/2/0        KSV001 LP17
KSV001-OLT-01 0/1/13        KSV001 LP14
KSV001-OLT-01 0/1/5        KSV001 LP6
KSV001-OLT-01 0/1/14        KSV001 LP15
KSV001-OLT-01 0/1/2        KSV001 LP3
KSV001-OLT-01 0/1/7        KSV001 LP8
KSV001-OLT-01 0/1/3        KSV001 LP4
KSV001-OLT-01 0/1/4        KSV001 LP5
KSV001-OLT-01 0/1/6        KSV001 LP7
KSV001-OLT-01 0/1/9        KSV001 LP10
Affected Users (From IM) 245
Start Time 2026-08-14 17:28:40</v>
      </c>
      <c r="J10" s="29"/>
      <c r="K10" s="25" t="str">
        <f>IFERROR(__xludf.DUMMYFUNCTION("""COMPUTED_VALUE"""),"SA")</f>
        <v>SA</v>
      </c>
      <c r="L10" s="25" t="str">
        <f>IFERROR(__xludf.DUMMYFUNCTION("""COMPUTED_VALUE"""),"LCP DOWN")</f>
        <v>LCP DOWN</v>
      </c>
      <c r="M10" s="25" t="str">
        <f>IFERROR(__xludf.DUMMYFUNCTION("""COMPUTED_VALUE"""),"NLZ FIBER TEAM")</f>
        <v>NLZ FIBER TEAM</v>
      </c>
      <c r="N10" s="30">
        <f>IFERROR(__xludf.DUMMYFUNCTION("""COMPUTED_VALUE"""),46248.72824074074)</f>
        <v>46248.72824</v>
      </c>
      <c r="O10" s="30">
        <f>IFERROR(__xludf.DUMMYFUNCTION("""COMPUTED_VALUE"""),46248.72824074074)</f>
        <v>46248.72824</v>
      </c>
      <c r="P10" s="25"/>
      <c r="Q10" s="25"/>
      <c r="R10" s="25"/>
      <c r="S10" s="25"/>
      <c r="T10" s="25"/>
      <c r="U10" s="25"/>
      <c r="V10" s="25"/>
      <c r="W10" s="25"/>
      <c r="X10" s="25" t="str">
        <f>IFERROR(__xludf.DUMMYFUNCTION("""COMPUTED_VALUE"""),"-")</f>
        <v>-</v>
      </c>
      <c r="Y10" s="25"/>
      <c r="Z10" s="30">
        <f>IFERROR(__xludf.DUMMYFUNCTION("""COMPUTED_VALUE"""),46249.06423988426)</f>
        <v>46249.06424</v>
      </c>
      <c r="AA10" s="31">
        <f>IFERROR(__xludf.DUMMYFUNCTION("""COMPUTED_VALUE"""),0.3359991435174945)</f>
        <v>0.3359991435</v>
      </c>
      <c r="AB10" s="33">
        <f>IFERROR(__xludf.DUMMYFUNCTION("LEN(REGEXREPLACE(REGEXREPLACE(REGEXEXTRACT(I10, ""(?s)Affected Nodes/Links(.*)""), ""https://[^\s]+"", """"), ""[^/]"", """")) / 2"),12.0)</f>
        <v>12</v>
      </c>
      <c r="AC10" s="34">
        <f>IFERROR(__xludf.DUMMYFUNCTION("IFERROR(VALUE(REGEXEXTRACT(I10, ""No\.? of [Ss]ubs:\s*(\d+)"")), 0) + IFERROR(VALUE(REGEXEXTRACT(I10, ""Affected Users(?:\s*\(From IM\))?:?\s*(\d+)"")), 0) + IFERROR(VALUE(REGEXEXTRACT(I10, ""Affected Clients:\s*(\d+)"")), 0)"),245.0)</f>
        <v>245</v>
      </c>
    </row>
    <row r="11">
      <c r="A11" s="25" t="str">
        <f>IFERROR(__xludf.DUMMYFUNCTION("""COMPUTED_VALUE"""),"LCP")</f>
        <v>LCP</v>
      </c>
      <c r="B11" s="25" t="str">
        <f>IFERROR(__xludf.DUMMYFUNCTION("""COMPUTED_VALUE"""),"August, 2026")</f>
        <v>August, 2026</v>
      </c>
      <c r="C11" s="28">
        <f>IFERROR(__xludf.DUMMYFUNCTION("""COMPUTED_VALUE"""),46248.0)</f>
        <v>46248</v>
      </c>
      <c r="D11" s="25" t="str">
        <f>IFERROR(__xludf.DUMMYFUNCTION("""COMPUTED_VALUE"""),"PANGASINAN")</f>
        <v>PANGASINAN</v>
      </c>
      <c r="E11" s="25" t="str">
        <f>IFERROR(__xludf.DUMMYFUNCTION("""COMPUTED_VALUE"""),"MANGALDAN")</f>
        <v>MANGALDAN</v>
      </c>
      <c r="F11" s="25" t="str">
        <f>IFERROR(__xludf.DUMMYFUNCTION("""COMPUTED_VALUE"""),"TT-20260814-00000354")</f>
        <v>TT-20260814-00000354</v>
      </c>
      <c r="G11" s="25"/>
      <c r="H11" s="25" t="str">
        <f>IFERROR(__xludf.DUMMYFUNCTION("""COMPUTED_VALUE"""),"TT-20260814-00000354 | PANGASINAN | MANGALDAN | SA | LCP DOWN | TT-20260814-00000354
SA - MULTIPLE LCP DOWN - PANGASINAN - MDP001-OLT-02
SFDC Ticket ID INC-000128283
Affected Nodes/Links
MDP001-OLT-02 0/1/8        MDP001 LP71
MDP001-OLT-02 0/1/9        M"&amp;"DP001 LP72
MDP001-OLT-02 0/1/10        MDP001 LP73
MDP001-OLT-02 0/1/11        MDP001 LP74
MDP001-OLT-02 0/1/12        MDP001 LP75
MDP001-OLT-02 0/3/12        MDP001 LP108
Affected Users (From IM) 225
Start Time 2026-08-14 15:42:36")</f>
        <v>TT-20260814-00000354 | PANGASINAN | MANGALDAN | SA | LCP DOWN | TT-20260814-00000354
SA - MULTIPLE LCP DOWN - PANGASINAN - MDP001-OLT-02
SFDC Ticket ID INC-000128283
Affected Nodes/Links
MDP001-OLT-02 0/1/8        MDP001 LP71
MDP001-OLT-02 0/1/9        MDP001 LP72
MDP001-OLT-02 0/1/10        MDP001 LP73
MDP001-OLT-02 0/1/11        MDP001 LP74
MDP001-OLT-02 0/1/12        MDP001 LP75
MDP001-OLT-02 0/3/12        MDP001 LP108
Affected Users (From IM) 225
Start Time 2026-08-14 15:42:36</v>
      </c>
      <c r="I11" s="25" t="str">
        <f>IFERROR(__xludf.DUMMYFUNCTION("""COMPUTED_VALUE"""),"TT-20260814-00000354
SA - MULTIPLE LCP DOWN - PANGASINAN - MDP001-OLT-02
SFDC Ticket ID INC-000128283
Affected Nodes/Links
MDP001-OLT-02 0/1/8        MDP001 LP71
MDP001-OLT-02 0/1/9        MDP001 LP72
MDP001-OLT-02 0/1/10        MDP001 LP73
MDP001-OLT-02"&amp;" 0/1/11        MDP001 LP74
MDP001-OLT-02 0/1/12        MDP001 LP75
MDP001-OLT-02 0/3/12        MDP001 LP108
Affected Users (From IM) 225
Start Time 2026-08-14 15:42:36")</f>
        <v>TT-20260814-00000354
SA - MULTIPLE LCP DOWN - PANGASINAN - MDP001-OLT-02
SFDC Ticket ID INC-000128283
Affected Nodes/Links
MDP001-OLT-02 0/1/8        MDP001 LP71
MDP001-OLT-02 0/1/9        MDP001 LP72
MDP001-OLT-02 0/1/10        MDP001 LP73
MDP001-OLT-02 0/1/11        MDP001 LP74
MDP001-OLT-02 0/1/12        MDP001 LP75
MDP001-OLT-02 0/3/12        MDP001 LP108
Affected Users (From IM) 225
Start Time 2026-08-14 15:42:36</v>
      </c>
      <c r="J11" s="29">
        <f>IFERROR(__xludf.DUMMYFUNCTION("""COMPUTED_VALUE"""),225.0)</f>
        <v>225</v>
      </c>
      <c r="K11" s="25" t="str">
        <f>IFERROR(__xludf.DUMMYFUNCTION("""COMPUTED_VALUE"""),"SA")</f>
        <v>SA</v>
      </c>
      <c r="L11" s="25" t="str">
        <f>IFERROR(__xludf.DUMMYFUNCTION("""COMPUTED_VALUE"""),"LCP DOWN")</f>
        <v>LCP DOWN</v>
      </c>
      <c r="M11" s="25" t="str">
        <f>IFERROR(__xludf.DUMMYFUNCTION("""COMPUTED_VALUE"""),"GNOC")</f>
        <v>GNOC</v>
      </c>
      <c r="N11" s="30">
        <f>IFERROR(__xludf.DUMMYFUNCTION("""COMPUTED_VALUE"""),46248.65685732639)</f>
        <v>46248.65686</v>
      </c>
      <c r="O11" s="30">
        <f>IFERROR(__xludf.DUMMYFUNCTION("""COMPUTED_VALUE"""),46248.656861331016)</f>
        <v>46248.65686</v>
      </c>
      <c r="P11" s="25"/>
      <c r="Q11" s="25"/>
      <c r="R11" s="25"/>
      <c r="S11" s="25"/>
      <c r="T11" s="25"/>
      <c r="U11" s="25"/>
      <c r="V11" s="25"/>
      <c r="W11" s="25"/>
      <c r="X11" s="25" t="str">
        <f>IFERROR(__xludf.DUMMYFUNCTION("""COMPUTED_VALUE"""),"-")</f>
        <v>-</v>
      </c>
      <c r="Y11" s="25"/>
      <c r="Z11" s="30">
        <f>IFERROR(__xludf.DUMMYFUNCTION("""COMPUTED_VALUE"""),46249.06423988426)</f>
        <v>46249.06424</v>
      </c>
      <c r="AA11" s="31">
        <f>IFERROR(__xludf.DUMMYFUNCTION("""COMPUTED_VALUE"""),0.4073785532412474)</f>
        <v>0.4073785532</v>
      </c>
      <c r="AB11" s="33">
        <f>IFERROR(__xludf.DUMMYFUNCTION("LEN(REGEXREPLACE(REGEXREPLACE(REGEXEXTRACT(I11, ""(?s)Affected Nodes/Links(.*)""), ""https://[^\s]+"", """"), ""[^/]"", """")) / 2"),6.0)</f>
        <v>6</v>
      </c>
      <c r="AC11" s="34">
        <f>IFERROR(__xludf.DUMMYFUNCTION("IFERROR(VALUE(REGEXEXTRACT(I11, ""No\.? of [Ss]ubs:\s*(\d+)"")), 0) + IFERROR(VALUE(REGEXEXTRACT(I11, ""Affected Users(?:\s*\(From IM\))?:?\s*(\d+)"")), 0) + IFERROR(VALUE(REGEXEXTRACT(I11, ""Affected Clients:\s*(\d+)"")), 0)"),225.0)</f>
        <v>225</v>
      </c>
    </row>
    <row r="12">
      <c r="A12" s="25" t="str">
        <f>IFERROR(__xludf.DUMMYFUNCTION("""COMPUTED_VALUE"""),"LCP")</f>
        <v>LCP</v>
      </c>
      <c r="B12" s="25" t="str">
        <f>IFERROR(__xludf.DUMMYFUNCTION("""COMPUTED_VALUE"""),"August, 2026")</f>
        <v>August, 2026</v>
      </c>
      <c r="C12" s="28">
        <f>IFERROR(__xludf.DUMMYFUNCTION("""COMPUTED_VALUE"""),46248.0)</f>
        <v>46248</v>
      </c>
      <c r="D12" s="25" t="str">
        <f>IFERROR(__xludf.DUMMYFUNCTION("""COMPUTED_VALUE"""),"PANGASINAN")</f>
        <v>PANGASINAN</v>
      </c>
      <c r="E12" s="25" t="str">
        <f>IFERROR(__xludf.DUMMYFUNCTION("""COMPUTED_VALUE"""),"MANGALDAN")</f>
        <v>MANGALDAN</v>
      </c>
      <c r="F12" s="25" t="str">
        <f>IFERROR(__xludf.DUMMYFUNCTION("""COMPUTED_VALUE"""),"TT-20260814-00000353")</f>
        <v>TT-20260814-00000353</v>
      </c>
      <c r="G12" s="25"/>
      <c r="H12" s="25" t="str">
        <f>IFERROR(__xludf.DUMMYFUNCTION("""COMPUTED_VALUE"""),"TT-20260814-00000353 | PANGASINAN | MANGALDAN | SA | LCP DOWN | TT-20260814-00000353
SA - MULTIPLE LCP DOWN - PANGASINAN - MDP001-OLT-01 MDP001 LP36
SFDC Ticket ID INC-000128287
Affected Nodes/Links
MDP001-OLT-01 0/2/3        MDP001 LP36
MDP001-OLT-01 0/"&amp;"1/8        MDP001 LP67
MDP001-OLT-01 0/2/7        MDP001 LP77
MDP001-OLT-01 0/2/1        MDP001 LP34
MDP001-OLT-01 0/2/2        MDP001 LP35
MDP001-OLT-01 0/1/4        MDP001 LP69
Affected Users (From IM) 273
Start Time 2026-08-14 16:03:52")</f>
        <v>TT-20260814-00000353 | PANGASINAN | MANGALDAN | SA | LCP DOWN | TT-20260814-00000353
SA - MULTIPLE LCP DOWN - PANGASINAN - MDP001-OLT-01 MDP001 LP36
SFDC Ticket ID INC-000128287
Affected Nodes/Links
MDP001-OLT-01 0/2/3        MDP001 LP36
MDP001-OLT-01 0/1/8        MDP001 LP67
MDP001-OLT-01 0/2/7        MDP001 LP77
MDP001-OLT-01 0/2/1        MDP001 LP34
MDP001-OLT-01 0/2/2        MDP001 LP35
MDP001-OLT-01 0/1/4        MDP001 LP69
Affected Users (From IM) 273
Start Time 2026-08-14 16:03:52</v>
      </c>
      <c r="I12" s="35" t="str">
        <f>IFERROR(__xludf.DUMMYFUNCTION("""COMPUTED_VALUE"""),"TT-20260814-00000353
SA - MULTIPLE LCP DOWN - PANGASINAN - MDP001-OLT-01 MDP001 LP36
SFDC Ticket ID INC-000128287
Affected Nodes/Links
MDP001-OLT-01 0/2/3        MDP001 LP36
MDP001-OLT-01 0/1/8        MDP001 LP67
MDP001-OLT-01 0/2/7        MDP001 LP77
MD"&amp;"P001-OLT-01 0/2/1        MDP001 LP34
MDP001-OLT-01 0/2/2        MDP001 LP35
MDP001-OLT-01 0/1/4        MDP001 LP69
Affected Users (From IM) 273
Start Time 2026-08-14 16:03:52")</f>
        <v>TT-20260814-00000353
SA - MULTIPLE LCP DOWN - PANGASINAN - MDP001-OLT-01 MDP001 LP36
SFDC Ticket ID INC-000128287
Affected Nodes/Links
MDP001-OLT-01 0/2/3        MDP001 LP36
MDP001-OLT-01 0/1/8        MDP001 LP67
MDP001-OLT-01 0/2/7        MDP001 LP77
MDP001-OLT-01 0/2/1        MDP001 LP34
MDP001-OLT-01 0/2/2        MDP001 LP35
MDP001-OLT-01 0/1/4        MDP001 LP69
Affected Users (From IM) 273
Start Time 2026-08-14 16:03:52</v>
      </c>
      <c r="J12" s="29">
        <f>IFERROR(__xludf.DUMMYFUNCTION("""COMPUTED_VALUE"""),273.0)</f>
        <v>273</v>
      </c>
      <c r="K12" s="25" t="str">
        <f>IFERROR(__xludf.DUMMYFUNCTION("""COMPUTED_VALUE"""),"SA")</f>
        <v>SA</v>
      </c>
      <c r="L12" s="25" t="str">
        <f>IFERROR(__xludf.DUMMYFUNCTION("""COMPUTED_VALUE"""),"LCP DOWN")</f>
        <v>LCP DOWN</v>
      </c>
      <c r="M12" s="25" t="str">
        <f>IFERROR(__xludf.DUMMYFUNCTION("""COMPUTED_VALUE"""),"GNOC")</f>
        <v>GNOC</v>
      </c>
      <c r="N12" s="30">
        <f>IFERROR(__xludf.DUMMYFUNCTION("""COMPUTED_VALUE"""),46248.66935185185)</f>
        <v>46248.66935</v>
      </c>
      <c r="O12" s="30">
        <f>IFERROR(__xludf.DUMMYFUNCTION("""COMPUTED_VALUE"""),46248.66935185185)</f>
        <v>46248.66935</v>
      </c>
      <c r="P12" s="25"/>
      <c r="Q12" s="25"/>
      <c r="R12" s="25"/>
      <c r="S12" s="25"/>
      <c r="T12" s="25"/>
      <c r="U12" s="25"/>
      <c r="V12" s="25"/>
      <c r="W12" s="25"/>
      <c r="X12" s="25" t="str">
        <f>IFERROR(__xludf.DUMMYFUNCTION("""COMPUTED_VALUE"""),"-")</f>
        <v>-</v>
      </c>
      <c r="Y12" s="25"/>
      <c r="Z12" s="30">
        <f>IFERROR(__xludf.DUMMYFUNCTION("""COMPUTED_VALUE"""),46249.06423988426)</f>
        <v>46249.06424</v>
      </c>
      <c r="AA12" s="31">
        <f>IFERROR(__xludf.DUMMYFUNCTION("""COMPUTED_VALUE"""),0.39488803240625403)</f>
        <v>0.3948880324</v>
      </c>
      <c r="AB12" s="33">
        <f>IFERROR(__xludf.DUMMYFUNCTION("LEN(REGEXREPLACE(REGEXREPLACE(REGEXEXTRACT(I12, ""(?s)Affected Nodes/Links(.*)""), ""https://[^\s]+"", """"), ""[^/]"", """")) / 2"),6.0)</f>
        <v>6</v>
      </c>
      <c r="AC12" s="34">
        <f>IFERROR(__xludf.DUMMYFUNCTION("IFERROR(VALUE(REGEXEXTRACT(I12, ""No\.? of [Ss]ubs:\s*(\d+)"")), 0) + IFERROR(VALUE(REGEXEXTRACT(I12, ""Affected Users(?:\s*\(From IM\))?:?\s*(\d+)"")), 0) + IFERROR(VALUE(REGEXEXTRACT(I12, ""Affected Clients:\s*(\d+)"")), 0)"),273.0)</f>
        <v>273</v>
      </c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33" t="str">
        <f>IFERROR(__xludf.DUMMYFUNCTION("LEN(REGEXREPLACE(REGEXREPLACE(REGEXEXTRACT(I13, ""(?s)Affected Nodes/Links(.*)""), ""https://[^\s]+"", """"), ""[^/]"", """")) / 2"),"#N/A")</f>
        <v>#N/A</v>
      </c>
      <c r="AC13" s="34">
        <f>IFERROR(__xludf.DUMMYFUNCTION("IFERROR(VALUE(REGEXEXTRACT(I13, ""No\.? of [Ss]ubs:\s*(\d+)"")), 0) + IFERROR(VALUE(REGEXEXTRACT(I13, ""Affected Users(?:\s*\(From IM\))?:?\s*(\d+)"")), 0) + IFERROR(VALUE(REGEXEXTRACT(I13, ""Affected Clients:\s*(\d+)"")), 0)"),0.0)</f>
        <v>0</v>
      </c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33" t="str">
        <f>IFERROR(__xludf.DUMMYFUNCTION("LEN(REGEXREPLACE(REGEXREPLACE(REGEXEXTRACT(I14, ""(?s)Affected Nodes/Links(.*)""), ""https://[^\s]+"", """"), ""[^/]"", """")) / 2"),"#N/A")</f>
        <v>#N/A</v>
      </c>
      <c r="AC14" s="34">
        <f>IFERROR(__xludf.DUMMYFUNCTION("IFERROR(VALUE(REGEXEXTRACT(I14, ""No\.? of [Ss]ubs:\s*(\d+)"")), 0) + IFERROR(VALUE(REGEXEXTRACT(I14, ""Affected Users(?:\s*\(From IM\))?:?\s*(\d+)"")), 0) + IFERROR(VALUE(REGEXEXTRACT(I14, ""Affected Clients:\s*(\d+)"")), 0)"),0.0)</f>
        <v>0</v>
      </c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33" t="str">
        <f>IFERROR(__xludf.DUMMYFUNCTION("LEN(REGEXREPLACE(REGEXREPLACE(REGEXEXTRACT(I15, ""(?s)Affected Nodes/Links(.*)""), ""https://[^\s]+"", """"), ""[^/]"", """")) / 2"),"#N/A")</f>
        <v>#N/A</v>
      </c>
      <c r="AC15" s="34">
        <f>IFERROR(__xludf.DUMMYFUNCTION("IFERROR(VALUE(REGEXEXTRACT(I15, ""No\.? of [Ss]ubs:\s*(\d+)"")), 0) + IFERROR(VALUE(REGEXEXTRACT(I15, ""Affected Users(?:\s*\(From IM\))?:?\s*(\d+)"")), 0) + IFERROR(VALUE(REGEXEXTRACT(I15, ""Affected Clients:\s*(\d+)"")), 0)"),0.0)</f>
        <v>0</v>
      </c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33" t="str">
        <f>IFERROR(__xludf.DUMMYFUNCTION("LEN(REGEXREPLACE(REGEXREPLACE(REGEXEXTRACT(I16, ""(?s)Affected Nodes/Links(.*)""), ""https://[^\s]+"", """"), ""[^/]"", """")) / 2"),"#N/A")</f>
        <v>#N/A</v>
      </c>
      <c r="AC16" s="34">
        <f>IFERROR(__xludf.DUMMYFUNCTION("IFERROR(VALUE(REGEXEXTRACT(I16, ""No\.? of [Ss]ubs:\s*(\d+)"")), 0) + IFERROR(VALUE(REGEXEXTRACT(I16, ""Affected Users(?:\s*\(From IM\))?:?\s*(\d+)"")), 0) + IFERROR(VALUE(REGEXEXTRACT(I16, ""Affected Clients:\s*(\d+)"")), 0)"),0.0)</f>
        <v>0</v>
      </c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33" t="str">
        <f>IFERROR(__xludf.DUMMYFUNCTION("LEN(REGEXREPLACE(REGEXREPLACE(REGEXEXTRACT(I17, ""(?s)Affected Nodes/Links(.*)""), ""https://[^\s]+"", """"), ""[^/]"", """")) / 2"),"#N/A")</f>
        <v>#N/A</v>
      </c>
      <c r="AC17" s="34">
        <f>IFERROR(__xludf.DUMMYFUNCTION("IFERROR(VALUE(REGEXEXTRACT(I17, ""No\.? of [Ss]ubs:\s*(\d+)"")), 0) + IFERROR(VALUE(REGEXEXTRACT(I17, ""Affected Users(?:\s*\(From IM\))?:?\s*(\d+)"")), 0) + IFERROR(VALUE(REGEXEXTRACT(I17, ""Affected Clients:\s*(\d+)"")), 0)"),0.0)</f>
        <v>0</v>
      </c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33" t="str">
        <f>IFERROR(__xludf.DUMMYFUNCTION("LEN(REGEXREPLACE(REGEXREPLACE(REGEXEXTRACT(I18, ""(?s)Affected Nodes/Links(.*)""), ""https://[^\s]+"", """"), ""[^/]"", """")) / 2"),"#N/A")</f>
        <v>#N/A</v>
      </c>
      <c r="AC18" s="34">
        <f>IFERROR(__xludf.DUMMYFUNCTION("IFERROR(VALUE(REGEXEXTRACT(I18, ""No\.? of [Ss]ubs:\s*(\d+)"")), 0) + IFERROR(VALUE(REGEXEXTRACT(I18, ""Affected Users(?:\s*\(From IM\))?:?\s*(\d+)"")), 0) + IFERROR(VALUE(REGEXEXTRACT(I18, ""Affected Clients:\s*(\d+)"")), 0)"),0.0)</f>
        <v>0</v>
      </c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33" t="str">
        <f>IFERROR(__xludf.DUMMYFUNCTION("LEN(REGEXREPLACE(REGEXREPLACE(REGEXEXTRACT(I19, ""(?s)Affected Nodes/Links(.*)""), ""https://[^\s]+"", """"), ""[^/]"", """")) / 2"),"#N/A")</f>
        <v>#N/A</v>
      </c>
      <c r="AC19" s="34">
        <f>IFERROR(__xludf.DUMMYFUNCTION("IFERROR(VALUE(REGEXEXTRACT(I19, ""No\.? of [Ss]ubs:\s*(\d+)"")), 0) + IFERROR(VALUE(REGEXEXTRACT(I19, ""Affected Users(?:\s*\(From IM\))?:?\s*(\d+)"")), 0) + IFERROR(VALUE(REGEXEXTRACT(I19, ""Affected Clients:\s*(\d+)"")), 0)"),0.0)</f>
        <v>0</v>
      </c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33" t="str">
        <f>IFERROR(__xludf.DUMMYFUNCTION("LEN(REGEXREPLACE(REGEXREPLACE(REGEXEXTRACT(I20, ""(?s)Affected Nodes/Links(.*)""), ""https://[^\s]+"", """"), ""[^/]"", """")) / 2"),"#N/A")</f>
        <v>#N/A</v>
      </c>
      <c r="AC20" s="34">
        <f>IFERROR(__xludf.DUMMYFUNCTION("IFERROR(VALUE(REGEXEXTRACT(I20, ""No\.? of [Ss]ubs:\s*(\d+)"")), 0) + IFERROR(VALUE(REGEXEXTRACT(I20, ""Affected Users(?:\s*\(From IM\))?:?\s*(\d+)"")), 0) + IFERROR(VALUE(REGEXEXTRACT(I20, ""Affected Clients:\s*(\d+)"")), 0)"),0.0)</f>
        <v>0</v>
      </c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33" t="str">
        <f>IFERROR(__xludf.DUMMYFUNCTION("LEN(REGEXREPLACE(REGEXREPLACE(REGEXEXTRACT(I21, ""(?s)Affected Nodes/Links(.*)""), ""https://[^\s]+"", """"), ""[^/]"", """")) / 2"),"#N/A")</f>
        <v>#N/A</v>
      </c>
      <c r="AC21" s="34">
        <f>IFERROR(__xludf.DUMMYFUNCTION("IFERROR(VALUE(REGEXEXTRACT(I21, ""No\.? of [Ss]ubs:\s*(\d+)"")), 0) + IFERROR(VALUE(REGEXEXTRACT(I21, ""Affected Users(?:\s*\(From IM\))?:?\s*(\d+)"")), 0) + IFERROR(VALUE(REGEXEXTRACT(I21, ""Affected Clients:\s*(\d+)"")), 0)"),0.0)</f>
        <v>0</v>
      </c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33" t="str">
        <f>IFERROR(__xludf.DUMMYFUNCTION("LEN(REGEXREPLACE(REGEXREPLACE(REGEXEXTRACT(I22, ""(?s)Affected Nodes/Links(.*)""), ""https://[^\s]+"", """"), ""[^/]"", """")) / 2"),"#N/A")</f>
        <v>#N/A</v>
      </c>
      <c r="AC22" s="34">
        <f>IFERROR(__xludf.DUMMYFUNCTION("IFERROR(VALUE(REGEXEXTRACT(I22, ""No\.? of [Ss]ubs:\s*(\d+)"")), 0) + IFERROR(VALUE(REGEXEXTRACT(I22, ""Affected Users(?:\s*\(From IM\))?:?\s*(\d+)"")), 0) + IFERROR(VALUE(REGEXEXTRACT(I22, ""Affected Clients:\s*(\d+)"")), 0)"),0.0)</f>
        <v>0</v>
      </c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33" t="str">
        <f>IFERROR(__xludf.DUMMYFUNCTION("LEN(REGEXREPLACE(REGEXREPLACE(REGEXEXTRACT(I23, ""(?s)Affected Nodes/Links(.*)""), ""https://[^\s]+"", """"), ""[^/]"", """")) / 2"),"#N/A")</f>
        <v>#N/A</v>
      </c>
      <c r="AC23" s="34">
        <f>IFERROR(__xludf.DUMMYFUNCTION("IFERROR(VALUE(REGEXEXTRACT(I23, ""No\.? of [Ss]ubs:\s*(\d+)"")), 0) + IFERROR(VALUE(REGEXEXTRACT(I23, ""Affected Users(?:\s*\(From IM\))?:?\s*(\d+)"")), 0) + IFERROR(VALUE(REGEXEXTRACT(I23, ""Affected Clients:\s*(\d+)"")), 0)"),0.0)</f>
        <v>0</v>
      </c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33" t="str">
        <f>IFERROR(__xludf.DUMMYFUNCTION("LEN(REGEXREPLACE(REGEXREPLACE(REGEXEXTRACT(I24, ""(?s)Affected Nodes/Links(.*)""), ""https://[^\s]+"", """"), ""[^/]"", """")) / 2"),"#N/A")</f>
        <v>#N/A</v>
      </c>
      <c r="AC24" s="34">
        <f>IFERROR(__xludf.DUMMYFUNCTION("IFERROR(VALUE(REGEXEXTRACT(I24, ""No\.? of [Ss]ubs:\s*(\d+)"")), 0) + IFERROR(VALUE(REGEXEXTRACT(I24, ""Affected Users(?:\s*\(From IM\))?:?\s*(\d+)"")), 0) + IFERROR(VALUE(REGEXEXTRACT(I24, ""Affected Clients:\s*(\d+)"")), 0)"),0.0)</f>
        <v>0</v>
      </c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33" t="str">
        <f>IFERROR(__xludf.DUMMYFUNCTION("LEN(REGEXREPLACE(REGEXREPLACE(REGEXEXTRACT(I25, ""(?s)Affected Nodes/Links(.*)""), ""https://[^\s]+"", """"), ""[^/]"", """")) / 2"),"#N/A")</f>
        <v>#N/A</v>
      </c>
      <c r="AC25" s="34">
        <f>IFERROR(__xludf.DUMMYFUNCTION("IFERROR(VALUE(REGEXEXTRACT(I25, ""No\.? of [Ss]ubs:\s*(\d+)"")), 0) + IFERROR(VALUE(REGEXEXTRACT(I25, ""Affected Users(?:\s*\(From IM\))?:?\s*(\d+)"")), 0) + IFERROR(VALUE(REGEXEXTRACT(I25, ""Affected Clients:\s*(\d+)"")), 0)"),0.0)</f>
        <v>0</v>
      </c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33" t="str">
        <f>IFERROR(__xludf.DUMMYFUNCTION("LEN(REGEXREPLACE(REGEXREPLACE(REGEXEXTRACT(I26, ""(?s)Affected Nodes/Links(.*)""), ""https://[^\s]+"", """"), ""[^/]"", """")) / 2"),"#N/A")</f>
        <v>#N/A</v>
      </c>
      <c r="AC26" s="34">
        <f>IFERROR(__xludf.DUMMYFUNCTION("IFERROR(VALUE(REGEXEXTRACT(I26, ""No\.? of [Ss]ubs:\s*(\d+)"")), 0) + IFERROR(VALUE(REGEXEXTRACT(I26, ""Affected Users(?:\s*\(From IM\))?:?\s*(\d+)"")), 0) + IFERROR(VALUE(REGEXEXTRACT(I26, ""Affected Clients:\s*(\d+)"")), 0)"),0.0)</f>
        <v>0</v>
      </c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33" t="str">
        <f>IFERROR(__xludf.DUMMYFUNCTION("LEN(REGEXREPLACE(REGEXREPLACE(REGEXEXTRACT(I27, ""(?s)Affected Nodes/Links(.*)""), ""https://[^\s]+"", """"), ""[^/]"", """")) / 2"),"#N/A")</f>
        <v>#N/A</v>
      </c>
      <c r="AC27" s="34">
        <f>IFERROR(__xludf.DUMMYFUNCTION("IFERROR(VALUE(REGEXEXTRACT(I27, ""No\.? of [Ss]ubs:\s*(\d+)"")), 0) + IFERROR(VALUE(REGEXEXTRACT(I27, ""Affected Users(?:\s*\(From IM\))?:?\s*(\d+)"")), 0) + IFERROR(VALUE(REGEXEXTRACT(I27, ""Affected Clients:\s*(\d+)"")), 0)"),0.0)</f>
        <v>0</v>
      </c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33" t="str">
        <f>IFERROR(__xludf.DUMMYFUNCTION("LEN(REGEXREPLACE(REGEXREPLACE(REGEXEXTRACT(I28, ""(?s)Affected Nodes/Links(.*)""), ""https://[^\s]+"", """"), ""[^/]"", """")) / 2"),"#N/A")</f>
        <v>#N/A</v>
      </c>
      <c r="AC28" s="34">
        <f>IFERROR(__xludf.DUMMYFUNCTION("IFERROR(VALUE(REGEXEXTRACT(I28, ""No\.? of [Ss]ubs:\s*(\d+)"")), 0) + IFERROR(VALUE(REGEXEXTRACT(I28, ""Affected Users(?:\s*\(From IM\))?:?\s*(\d+)"")), 0) + IFERROR(VALUE(REGEXEXTRACT(I28, ""Affected Clients:\s*(\d+)"")), 0)"),0.0)</f>
        <v>0</v>
      </c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33" t="str">
        <f>IFERROR(__xludf.DUMMYFUNCTION("LEN(REGEXREPLACE(REGEXREPLACE(REGEXEXTRACT(I29, ""(?s)Affected Nodes/Links(.*)""), ""https://[^\s]+"", """"), ""[^/]"", """")) / 2"),"#N/A")</f>
        <v>#N/A</v>
      </c>
      <c r="AC29" s="34">
        <f>IFERROR(__xludf.DUMMYFUNCTION("IFERROR(VALUE(REGEXEXTRACT(I29, ""No\.? of [Ss]ubs:\s*(\d+)"")), 0) + IFERROR(VALUE(REGEXEXTRACT(I29, ""Affected Users(?:\s*\(From IM\))?:?\s*(\d+)"")), 0) + IFERROR(VALUE(REGEXEXTRACT(I29, ""Affected Clients:\s*(\d+)"")), 0)"),0.0)</f>
        <v>0</v>
      </c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33" t="str">
        <f>IFERROR(__xludf.DUMMYFUNCTION("LEN(REGEXREPLACE(REGEXREPLACE(REGEXEXTRACT(I30, ""(?s)Affected Nodes/Links(.*)""), ""https://[^\s]+"", """"), ""[^/]"", """")) / 2"),"#N/A")</f>
        <v>#N/A</v>
      </c>
      <c r="AC30" s="34">
        <f>IFERROR(__xludf.DUMMYFUNCTION("IFERROR(VALUE(REGEXEXTRACT(I30, ""No\.? of [Ss]ubs:\s*(\d+)"")), 0) + IFERROR(VALUE(REGEXEXTRACT(I30, ""Affected Users(?:\s*\(From IM\))?:?\s*(\d+)"")), 0) + IFERROR(VALUE(REGEXEXTRACT(I30, ""Affected Clients:\s*(\d+)"")), 0)"),0.0)</f>
        <v>0</v>
      </c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33" t="str">
        <f>IFERROR(__xludf.DUMMYFUNCTION("LEN(REGEXREPLACE(REGEXREPLACE(REGEXEXTRACT(I31, ""(?s)Affected Nodes/Links(.*)""), ""https://[^\s]+"", """"), ""[^/]"", """")) / 2"),"#N/A")</f>
        <v>#N/A</v>
      </c>
      <c r="AC31" s="34">
        <f>IFERROR(__xludf.DUMMYFUNCTION("IFERROR(VALUE(REGEXEXTRACT(I31, ""No\.? of [Ss]ubs:\s*(\d+)"")), 0) + IFERROR(VALUE(REGEXEXTRACT(I31, ""Affected Users(?:\s*\(From IM\))?:?\s*(\d+)"")), 0) + IFERROR(VALUE(REGEXEXTRACT(I31, ""Affected Clients:\s*(\d+)"")), 0)"),0.0)</f>
        <v>0</v>
      </c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33" t="str">
        <f>IFERROR(__xludf.DUMMYFUNCTION("LEN(REGEXREPLACE(REGEXREPLACE(REGEXEXTRACT(I32, ""(?s)Affected Nodes/Links(.*)""), ""https://[^\s]+"", """"), ""[^/]"", """")) / 2"),"#N/A")</f>
        <v>#N/A</v>
      </c>
      <c r="AC32" s="34">
        <f>IFERROR(__xludf.DUMMYFUNCTION("IFERROR(VALUE(REGEXEXTRACT(I32, ""No\.? of [Ss]ubs:\s*(\d+)"")), 0) + IFERROR(VALUE(REGEXEXTRACT(I32, ""Affected Users(?:\s*\(From IM\))?:?\s*(\d+)"")), 0) + IFERROR(VALUE(REGEXEXTRACT(I32, ""Affected Clients:\s*(\d+)"")), 0)"),0.0)</f>
        <v>0</v>
      </c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33" t="str">
        <f>IFERROR(__xludf.DUMMYFUNCTION("LEN(REGEXREPLACE(REGEXREPLACE(REGEXEXTRACT(I33, ""(?s)Affected Nodes/Links(.*)""), ""https://[^\s]+"", """"), ""[^/]"", """")) / 2"),"#N/A")</f>
        <v>#N/A</v>
      </c>
      <c r="AC33" s="34">
        <f>IFERROR(__xludf.DUMMYFUNCTION("IFERROR(VALUE(REGEXEXTRACT(I33, ""No\.? of [Ss]ubs:\s*(\d+)"")), 0) + IFERROR(VALUE(REGEXEXTRACT(I33, ""Affected Users(?:\s*\(From IM\))?:?\s*(\d+)"")), 0) + IFERROR(VALUE(REGEXEXTRACT(I33, ""Affected Clients:\s*(\d+)"")), 0)"),0.0)</f>
        <v>0</v>
      </c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33" t="str">
        <f>IFERROR(__xludf.DUMMYFUNCTION("LEN(REGEXREPLACE(REGEXREPLACE(REGEXEXTRACT(I34, ""(?s)Affected Nodes/Links(.*)""), ""https://[^\s]+"", """"), ""[^/]"", """")) / 2"),"#N/A")</f>
        <v>#N/A</v>
      </c>
      <c r="AC34" s="34">
        <f>IFERROR(__xludf.DUMMYFUNCTION("IFERROR(VALUE(REGEXEXTRACT(I34, ""No\.? of [Ss]ubs:\s*(\d+)"")), 0) + IFERROR(VALUE(REGEXEXTRACT(I34, ""Affected Users(?:\s*\(From IM\))?:?\s*(\d+)"")), 0) + IFERROR(VALUE(REGEXEXTRACT(I34, ""Affected Clients:\s*(\d+)"")), 0)"),0.0)</f>
        <v>0</v>
      </c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33" t="str">
        <f>IFERROR(__xludf.DUMMYFUNCTION("LEN(REGEXREPLACE(REGEXREPLACE(REGEXEXTRACT(I35, ""(?s)Affected Nodes/Links(.*)""), ""https://[^\s]+"", """"), ""[^/]"", """")) / 2"),"#N/A")</f>
        <v>#N/A</v>
      </c>
      <c r="AC35" s="34">
        <f>IFERROR(__xludf.DUMMYFUNCTION("IFERROR(VALUE(REGEXEXTRACT(I35, ""No\.? of [Ss]ubs:\s*(\d+)"")), 0) + IFERROR(VALUE(REGEXEXTRACT(I35, ""Affected Users(?:\s*\(From IM\))?:?\s*(\d+)"")), 0) + IFERROR(VALUE(REGEXEXTRACT(I35, ""Affected Clients:\s*(\d+)"")), 0)"),0.0)</f>
        <v>0</v>
      </c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33" t="str">
        <f>IFERROR(__xludf.DUMMYFUNCTION("LEN(REGEXREPLACE(REGEXREPLACE(REGEXEXTRACT(I36, ""(?s)Affected Nodes/Links(.*)""), ""https://[^\s]+"", """"), ""[^/]"", """")) / 2"),"#N/A")</f>
        <v>#N/A</v>
      </c>
      <c r="AC36" s="34">
        <f>IFERROR(__xludf.DUMMYFUNCTION("IFERROR(VALUE(REGEXEXTRACT(I36, ""No\.? of [Ss]ubs:\s*(\d+)"")), 0) + IFERROR(VALUE(REGEXEXTRACT(I36, ""Affected Users(?:\s*\(From IM\))?:?\s*(\d+)"")), 0) + IFERROR(VALUE(REGEXEXTRACT(I36, ""Affected Clients:\s*(\d+)"")), 0)"),0.0)</f>
        <v>0</v>
      </c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33" t="str">
        <f>IFERROR(__xludf.DUMMYFUNCTION("LEN(REGEXREPLACE(REGEXREPLACE(REGEXEXTRACT(I37, ""(?s)Affected Nodes/Links(.*)""), ""https://[^\s]+"", """"), ""[^/]"", """")) / 2"),"#N/A")</f>
        <v>#N/A</v>
      </c>
      <c r="AC37" s="34">
        <f>IFERROR(__xludf.DUMMYFUNCTION("IFERROR(VALUE(REGEXEXTRACT(I37, ""No\.? of [Ss]ubs:\s*(\d+)"")), 0) + IFERROR(VALUE(REGEXEXTRACT(I37, ""Affected Users(?:\s*\(From IM\))?:?\s*(\d+)"")), 0) + IFERROR(VALUE(REGEXEXTRACT(I37, ""Affected Clients:\s*(\d+)"")), 0)"),0.0)</f>
        <v>0</v>
      </c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33" t="str">
        <f>IFERROR(__xludf.DUMMYFUNCTION("LEN(REGEXREPLACE(REGEXREPLACE(REGEXEXTRACT(I38, ""(?s)Affected Nodes/Links(.*)""), ""https://[^\s]+"", """"), ""[^/]"", """")) / 2"),"#N/A")</f>
        <v>#N/A</v>
      </c>
      <c r="AC38" s="34">
        <f>IFERROR(__xludf.DUMMYFUNCTION("IFERROR(VALUE(REGEXEXTRACT(I38, ""No\.? of [Ss]ubs:\s*(\d+)"")), 0) + IFERROR(VALUE(REGEXEXTRACT(I38, ""Affected Users(?:\s*\(From IM\))?:?\s*(\d+)"")), 0) + IFERROR(VALUE(REGEXEXTRACT(I38, ""Affected Clients:\s*(\d+)"")), 0)"),0.0)</f>
        <v>0</v>
      </c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33" t="str">
        <f>IFERROR(__xludf.DUMMYFUNCTION("LEN(REGEXREPLACE(REGEXREPLACE(REGEXEXTRACT(I39, ""(?s)Affected Nodes/Links(.*)""), ""https://[^\s]+"", """"), ""[^/]"", """")) / 2"),"#N/A")</f>
        <v>#N/A</v>
      </c>
      <c r="AC39" s="34">
        <f>IFERROR(__xludf.DUMMYFUNCTION("IFERROR(VALUE(REGEXEXTRACT(I39, ""No\.? of [Ss]ubs:\s*(\d+)"")), 0) + IFERROR(VALUE(REGEXEXTRACT(I39, ""Affected Users(?:\s*\(From IM\))?:?\s*(\d+)"")), 0) + IFERROR(VALUE(REGEXEXTRACT(I39, ""Affected Clients:\s*(\d+)"")), 0)"),0.0)</f>
        <v>0</v>
      </c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33" t="str">
        <f>IFERROR(__xludf.DUMMYFUNCTION("LEN(REGEXREPLACE(REGEXREPLACE(REGEXEXTRACT(I40, ""(?s)Affected Nodes/Links(.*)""), ""https://[^\s]+"", """"), ""[^/]"", """")) / 2"),"#N/A")</f>
        <v>#N/A</v>
      </c>
      <c r="AC40" s="34">
        <f>IFERROR(__xludf.DUMMYFUNCTION("IFERROR(VALUE(REGEXEXTRACT(I40, ""No\.? of [Ss]ubs:\s*(\d+)"")), 0) + IFERROR(VALUE(REGEXEXTRACT(I40, ""Affected Users(?:\s*\(From IM\))?:?\s*(\d+)"")), 0) + IFERROR(VALUE(REGEXEXTRACT(I40, ""Affected Clients:\s*(\d+)"")), 0)"),0.0)</f>
        <v>0</v>
      </c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33" t="str">
        <f>IFERROR(__xludf.DUMMYFUNCTION("LEN(REGEXREPLACE(REGEXREPLACE(REGEXEXTRACT(I41, ""(?s)Affected Nodes/Links(.*)""), ""https://[^\s]+"", """"), ""[^/]"", """")) / 2"),"#N/A")</f>
        <v>#N/A</v>
      </c>
      <c r="AC41" s="34">
        <f>IFERROR(__xludf.DUMMYFUNCTION("IFERROR(VALUE(REGEXEXTRACT(I41, ""No\.? of [Ss]ubs:\s*(\d+)"")), 0) + IFERROR(VALUE(REGEXEXTRACT(I41, ""Affected Users(?:\s*\(From IM\))?:?\s*(\d+)"")), 0) + IFERROR(VALUE(REGEXEXTRACT(I41, ""Affected Clients:\s*(\d+)"")), 0)"),0.0)</f>
        <v>0</v>
      </c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33" t="str">
        <f>IFERROR(__xludf.DUMMYFUNCTION("LEN(REGEXREPLACE(REGEXREPLACE(REGEXEXTRACT(I42, ""(?s)Affected Nodes/Links(.*)""), ""https://[^\s]+"", """"), ""[^/]"", """")) / 2"),"#N/A")</f>
        <v>#N/A</v>
      </c>
      <c r="AC42" s="34">
        <f>IFERROR(__xludf.DUMMYFUNCTION("IFERROR(VALUE(REGEXEXTRACT(I42, ""No\.? of [Ss]ubs:\s*(\d+)"")), 0) + IFERROR(VALUE(REGEXEXTRACT(I42, ""Affected Users(?:\s*\(From IM\))?:?\s*(\d+)"")), 0) + IFERROR(VALUE(REGEXEXTRACT(I42, ""Affected Clients:\s*(\d+)"")), 0)"),0.0)</f>
        <v>0</v>
      </c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33" t="str">
        <f>IFERROR(__xludf.DUMMYFUNCTION("LEN(REGEXREPLACE(REGEXREPLACE(REGEXEXTRACT(I43, ""(?s)Affected Nodes/Links(.*)""), ""https://[^\s]+"", """"), ""[^/]"", """")) / 2"),"#N/A")</f>
        <v>#N/A</v>
      </c>
      <c r="AC43" s="34">
        <f>IFERROR(__xludf.DUMMYFUNCTION("IFERROR(VALUE(REGEXEXTRACT(I43, ""No\.? of [Ss]ubs:\s*(\d+)"")), 0) + IFERROR(VALUE(REGEXEXTRACT(I43, ""Affected Users(?:\s*\(From IM\))?:?\s*(\d+)"")), 0) + IFERROR(VALUE(REGEXEXTRACT(I43, ""Affected Clients:\s*(\d+)"")), 0)"),0.0)</f>
        <v>0</v>
      </c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33" t="str">
        <f>IFERROR(__xludf.DUMMYFUNCTION("LEN(REGEXREPLACE(REGEXREPLACE(REGEXEXTRACT(I44, ""(?s)Affected Nodes/Links(.*)""), ""https://[^\s]+"", """"), ""[^/]"", """")) / 2"),"#N/A")</f>
        <v>#N/A</v>
      </c>
      <c r="AC44" s="34">
        <f>IFERROR(__xludf.DUMMYFUNCTION("IFERROR(VALUE(REGEXEXTRACT(I44, ""No\.? of [Ss]ubs:\s*(\d+)"")), 0) + IFERROR(VALUE(REGEXEXTRACT(I44, ""Affected Users(?:\s*\(From IM\))?:?\s*(\d+)"")), 0) + IFERROR(VALUE(REGEXEXTRACT(I44, ""Affected Clients:\s*(\d+)"")), 0)"),0.0)</f>
        <v>0</v>
      </c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33" t="str">
        <f>IFERROR(__xludf.DUMMYFUNCTION("LEN(REGEXREPLACE(REGEXREPLACE(REGEXEXTRACT(I45, ""(?s)Affected Nodes/Links(.*)""), ""https://[^\s]+"", """"), ""[^/]"", """")) / 2"),"#N/A")</f>
        <v>#N/A</v>
      </c>
      <c r="AC45" s="34">
        <f>IFERROR(__xludf.DUMMYFUNCTION("IFERROR(VALUE(REGEXEXTRACT(I45, ""No\.? of [Ss]ubs:\s*(\d+)"")), 0) + IFERROR(VALUE(REGEXEXTRACT(I45, ""Affected Users(?:\s*\(From IM\))?:?\s*(\d+)"")), 0) + IFERROR(VALUE(REGEXEXTRACT(I45, ""Affected Clients:\s*(\d+)"")), 0)"),0.0)</f>
        <v>0</v>
      </c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33" t="str">
        <f>IFERROR(__xludf.DUMMYFUNCTION("LEN(REGEXREPLACE(REGEXREPLACE(REGEXEXTRACT(I46, ""(?s)Affected Nodes/Links(.*)""), ""https://[^\s]+"", """"), ""[^/]"", """")) / 2"),"#N/A")</f>
        <v>#N/A</v>
      </c>
      <c r="AC46" s="34">
        <f>IFERROR(__xludf.DUMMYFUNCTION("IFERROR(VALUE(REGEXEXTRACT(I46, ""No\.? of [Ss]ubs:\s*(\d+)"")), 0) + IFERROR(VALUE(REGEXEXTRACT(I46, ""Affected Users(?:\s*\(From IM\))?:?\s*(\d+)"")), 0) + IFERROR(VALUE(REGEXEXTRACT(I46, ""Affected Clients:\s*(\d+)"")), 0)"),0.0)</f>
        <v>0</v>
      </c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33" t="str">
        <f>IFERROR(__xludf.DUMMYFUNCTION("LEN(REGEXREPLACE(REGEXREPLACE(REGEXEXTRACT(I47, ""(?s)Affected Nodes/Links(.*)""), ""https://[^\s]+"", """"), ""[^/]"", """")) / 2"),"#N/A")</f>
        <v>#N/A</v>
      </c>
      <c r="AC47" s="34">
        <f>IFERROR(__xludf.DUMMYFUNCTION("IFERROR(VALUE(REGEXEXTRACT(I47, ""No\.? of [Ss]ubs:\s*(\d+)"")), 0) + IFERROR(VALUE(REGEXEXTRACT(I47, ""Affected Users(?:\s*\(From IM\))?:?\s*(\d+)"")), 0) + IFERROR(VALUE(REGEXEXTRACT(I47, ""Affected Clients:\s*(\d+)"")), 0)"),0.0)</f>
        <v>0</v>
      </c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33" t="str">
        <f>IFERROR(__xludf.DUMMYFUNCTION("LEN(REGEXREPLACE(REGEXREPLACE(REGEXEXTRACT(I48, ""(?s)Affected Nodes/Links(.*)""), ""https://[^\s]+"", """"), ""[^/]"", """")) / 2"),"#N/A")</f>
        <v>#N/A</v>
      </c>
      <c r="AC48" s="34">
        <f>IFERROR(__xludf.DUMMYFUNCTION("IFERROR(VALUE(REGEXEXTRACT(I48, ""No\.? of [Ss]ubs:\s*(\d+)"")), 0) + IFERROR(VALUE(REGEXEXTRACT(I48, ""Affected Users(?:\s*\(From IM\))?:?\s*(\d+)"")), 0) + IFERROR(VALUE(REGEXEXTRACT(I48, ""Affected Clients:\s*(\d+)"")), 0)"),0.0)</f>
        <v>0</v>
      </c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33" t="str">
        <f>IFERROR(__xludf.DUMMYFUNCTION("LEN(REGEXREPLACE(REGEXREPLACE(REGEXEXTRACT(I49, ""(?s)Affected Nodes/Links(.*)""), ""https://[^\s]+"", """"), ""[^/]"", """")) / 2"),"#N/A")</f>
        <v>#N/A</v>
      </c>
      <c r="AC49" s="34">
        <f>IFERROR(__xludf.DUMMYFUNCTION("IFERROR(VALUE(REGEXEXTRACT(I49, ""No\.? of [Ss]ubs:\s*(\d+)"")), 0) + IFERROR(VALUE(REGEXEXTRACT(I49, ""Affected Users(?:\s*\(From IM\))?:?\s*(\d+)"")), 0) + IFERROR(VALUE(REGEXEXTRACT(I49, ""Affected Clients:\s*(\d+)"")), 0)"),0.0)</f>
        <v>0</v>
      </c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33" t="str">
        <f>IFERROR(__xludf.DUMMYFUNCTION("LEN(REGEXREPLACE(REGEXREPLACE(REGEXEXTRACT(I50, ""(?s)Affected Nodes/Links(.*)""), ""https://[^\s]+"", """"), ""[^/]"", """")) / 2"),"#N/A")</f>
        <v>#N/A</v>
      </c>
      <c r="AC50" s="34">
        <f>IFERROR(__xludf.DUMMYFUNCTION("IFERROR(VALUE(REGEXEXTRACT(I50, ""No\.? of [Ss]ubs:\s*(\d+)"")), 0) + IFERROR(VALUE(REGEXEXTRACT(I50, ""Affected Users(?:\s*\(From IM\))?:?\s*(\d+)"")), 0) + IFERROR(VALUE(REGEXEXTRACT(I50, ""Affected Clients:\s*(\d+)"")), 0)"),0.0)</f>
        <v>0</v>
      </c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33" t="str">
        <f>IFERROR(__xludf.DUMMYFUNCTION("LEN(REGEXREPLACE(REGEXREPLACE(REGEXEXTRACT(I51, ""(?s)Affected Nodes/Links(.*)""), ""https://[^\s]+"", """"), ""[^/]"", """")) / 2"),"#N/A")</f>
        <v>#N/A</v>
      </c>
      <c r="AC51" s="34">
        <f>IFERROR(__xludf.DUMMYFUNCTION("IFERROR(VALUE(REGEXEXTRACT(I51, ""No\.? of [Ss]ubs:\s*(\d+)"")), 0) + IFERROR(VALUE(REGEXEXTRACT(I51, ""Affected Users(?:\s*\(From IM\))?:?\s*(\d+)"")), 0) + IFERROR(VALUE(REGEXEXTRACT(I51, ""Affected Clients:\s*(\d+)"")), 0)"),0.0)</f>
        <v>0</v>
      </c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33" t="str">
        <f>IFERROR(__xludf.DUMMYFUNCTION("LEN(REGEXREPLACE(REGEXREPLACE(REGEXEXTRACT(I52, ""(?s)Affected Nodes/Links(.*)""), ""https://[^\s]+"", """"), ""[^/]"", """")) / 2"),"#N/A")</f>
        <v>#N/A</v>
      </c>
      <c r="AC52" s="34">
        <f>IFERROR(__xludf.DUMMYFUNCTION("IFERROR(VALUE(REGEXEXTRACT(I52, ""No\.? of [Ss]ubs:\s*(\d+)"")), 0) + IFERROR(VALUE(REGEXEXTRACT(I52, ""Affected Users(?:\s*\(From IM\))?:?\s*(\d+)"")), 0) + IFERROR(VALUE(REGEXEXTRACT(I52, ""Affected Clients:\s*(\d+)"")), 0)"),0.0)</f>
        <v>0</v>
      </c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33" t="str">
        <f>IFERROR(__xludf.DUMMYFUNCTION("LEN(REGEXREPLACE(REGEXREPLACE(REGEXEXTRACT(I53, ""(?s)Affected Nodes/Links(.*)""), ""https://[^\s]+"", """"), ""[^/]"", """")) / 2"),"#N/A")</f>
        <v>#N/A</v>
      </c>
      <c r="AC53" s="34">
        <f>IFERROR(__xludf.DUMMYFUNCTION("IFERROR(VALUE(REGEXEXTRACT(I53, ""No\.? of [Ss]ubs:\s*(\d+)"")), 0) + IFERROR(VALUE(REGEXEXTRACT(I53, ""Affected Users(?:\s*\(From IM\))?:?\s*(\d+)"")), 0) + IFERROR(VALUE(REGEXEXTRACT(I53, ""Affected Clients:\s*(\d+)"")), 0)"),0.0)</f>
        <v>0</v>
      </c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33" t="str">
        <f>IFERROR(__xludf.DUMMYFUNCTION("LEN(REGEXREPLACE(REGEXREPLACE(REGEXEXTRACT(I54, ""(?s)Affected Nodes/Links(.*)""), ""https://[^\s]+"", """"), ""[^/]"", """")) / 2"),"#N/A")</f>
        <v>#N/A</v>
      </c>
      <c r="AC54" s="34">
        <f>IFERROR(__xludf.DUMMYFUNCTION("IFERROR(VALUE(REGEXEXTRACT(I54, ""No\.? of [Ss]ubs:\s*(\d+)"")), 0) + IFERROR(VALUE(REGEXEXTRACT(I54, ""Affected Users(?:\s*\(From IM\))?:?\s*(\d+)"")), 0) + IFERROR(VALUE(REGEXEXTRACT(I54, ""Affected Clients:\s*(\d+)"")), 0)"),0.0)</f>
        <v>0</v>
      </c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33" t="str">
        <f>IFERROR(__xludf.DUMMYFUNCTION("LEN(REGEXREPLACE(REGEXREPLACE(REGEXEXTRACT(I55, ""(?s)Affected Nodes/Links(.*)""), ""https://[^\s]+"", """"), ""[^/]"", """")) / 2"),"#N/A")</f>
        <v>#N/A</v>
      </c>
      <c r="AC55" s="34">
        <f>IFERROR(__xludf.DUMMYFUNCTION("IFERROR(VALUE(REGEXEXTRACT(I55, ""No\.? of [Ss]ubs:\s*(\d+)"")), 0) + IFERROR(VALUE(REGEXEXTRACT(I55, ""Affected Users(?:\s*\(From IM\))?:?\s*(\d+)"")), 0) + IFERROR(VALUE(REGEXEXTRACT(I55, ""Affected Clients:\s*(\d+)"")), 0)"),0.0)</f>
        <v>0</v>
      </c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33" t="str">
        <f>IFERROR(__xludf.DUMMYFUNCTION("LEN(REGEXREPLACE(REGEXREPLACE(REGEXEXTRACT(I56, ""(?s)Affected Nodes/Links(.*)""), ""https://[^\s]+"", """"), ""[^/]"", """")) / 2"),"#N/A")</f>
        <v>#N/A</v>
      </c>
      <c r="AC56" s="34">
        <f>IFERROR(__xludf.DUMMYFUNCTION("IFERROR(VALUE(REGEXEXTRACT(I56, ""No\.? of [Ss]ubs:\s*(\d+)"")), 0) + IFERROR(VALUE(REGEXEXTRACT(I56, ""Affected Users(?:\s*\(From IM\))?:?\s*(\d+)"")), 0) + IFERROR(VALUE(REGEXEXTRACT(I56, ""Affected Clients:\s*(\d+)"")), 0)"),0.0)</f>
        <v>0</v>
      </c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33" t="str">
        <f>IFERROR(__xludf.DUMMYFUNCTION("LEN(REGEXREPLACE(REGEXREPLACE(REGEXEXTRACT(I57, ""(?s)Affected Nodes/Links(.*)""), ""https://[^\s]+"", """"), ""[^/]"", """")) / 2"),"#N/A")</f>
        <v>#N/A</v>
      </c>
      <c r="AC57" s="34">
        <f>IFERROR(__xludf.DUMMYFUNCTION("IFERROR(VALUE(REGEXEXTRACT(I57, ""No\.? of [Ss]ubs:\s*(\d+)"")), 0) + IFERROR(VALUE(REGEXEXTRACT(I57, ""Affected Users(?:\s*\(From IM\))?:?\s*(\d+)"")), 0) + IFERROR(VALUE(REGEXEXTRACT(I57, ""Affected Clients:\s*(\d+)"")), 0)"),0.0)</f>
        <v>0</v>
      </c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33" t="str">
        <f>IFERROR(__xludf.DUMMYFUNCTION("LEN(REGEXREPLACE(REGEXREPLACE(REGEXEXTRACT(I58, ""(?s)Affected Nodes/Links(.*)""), ""https://[^\s]+"", """"), ""[^/]"", """")) / 2"),"#N/A")</f>
        <v>#N/A</v>
      </c>
      <c r="AC58" s="34">
        <f>IFERROR(__xludf.DUMMYFUNCTION("IFERROR(VALUE(REGEXEXTRACT(I58, ""No\.? of [Ss]ubs:\s*(\d+)"")), 0) + IFERROR(VALUE(REGEXEXTRACT(I58, ""Affected Users(?:\s*\(From IM\))?:?\s*(\d+)"")), 0) + IFERROR(VALUE(REGEXEXTRACT(I58, ""Affected Clients:\s*(\d+)"")), 0)"),0.0)</f>
        <v>0</v>
      </c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33" t="str">
        <f>IFERROR(__xludf.DUMMYFUNCTION("LEN(REGEXREPLACE(REGEXREPLACE(REGEXEXTRACT(I59, ""(?s)Affected Nodes/Links(.*)""), ""https://[^\s]+"", """"), ""[^/]"", """")) / 2"),"#N/A")</f>
        <v>#N/A</v>
      </c>
      <c r="AC59" s="34">
        <f>IFERROR(__xludf.DUMMYFUNCTION("IFERROR(VALUE(REGEXEXTRACT(I59, ""No\.? of [Ss]ubs:\s*(\d+)"")), 0) + IFERROR(VALUE(REGEXEXTRACT(I59, ""Affected Users(?:\s*\(From IM\))?:?\s*(\d+)"")), 0) + IFERROR(VALUE(REGEXEXTRACT(I59, ""Affected Clients:\s*(\d+)"")), 0)"),0.0)</f>
        <v>0</v>
      </c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33" t="str">
        <f>IFERROR(__xludf.DUMMYFUNCTION("LEN(REGEXREPLACE(REGEXREPLACE(REGEXEXTRACT(I60, ""(?s)Affected Nodes/Links(.*)""), ""https://[^\s]+"", """"), ""[^/]"", """")) / 2"),"#N/A")</f>
        <v>#N/A</v>
      </c>
      <c r="AC60" s="34">
        <f>IFERROR(__xludf.DUMMYFUNCTION("IFERROR(VALUE(REGEXEXTRACT(I60, ""No\.? of [Ss]ubs:\s*(\d+)"")), 0) + IFERROR(VALUE(REGEXEXTRACT(I60, ""Affected Users(?:\s*\(From IM\))?:?\s*(\d+)"")), 0) + IFERROR(VALUE(REGEXEXTRACT(I60, ""Affected Clients:\s*(\d+)"")), 0)"),0.0)</f>
        <v>0</v>
      </c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33" t="str">
        <f>IFERROR(__xludf.DUMMYFUNCTION("LEN(REGEXREPLACE(REGEXREPLACE(REGEXEXTRACT(I61, ""(?s)Affected Nodes/Links(.*)""), ""https://[^\s]+"", """"), ""[^/]"", """")) / 2"),"#N/A")</f>
        <v>#N/A</v>
      </c>
      <c r="AC61" s="34">
        <f>IFERROR(__xludf.DUMMYFUNCTION("IFERROR(VALUE(REGEXEXTRACT(I61, ""No\.? of [Ss]ubs:\s*(\d+)"")), 0) + IFERROR(VALUE(REGEXEXTRACT(I61, ""Affected Users(?:\s*\(From IM\))?:?\s*(\d+)"")), 0) + IFERROR(VALUE(REGEXEXTRACT(I61, ""Affected Clients:\s*(\d+)"")), 0)"),0.0)</f>
        <v>0</v>
      </c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33" t="str">
        <f>IFERROR(__xludf.DUMMYFUNCTION("LEN(REGEXREPLACE(REGEXREPLACE(REGEXEXTRACT(I62, ""(?s)Affected Nodes/Links(.*)""), ""https://[^\s]+"", """"), ""[^/]"", """")) / 2"),"#N/A")</f>
        <v>#N/A</v>
      </c>
      <c r="AC62" s="34">
        <f>IFERROR(__xludf.DUMMYFUNCTION("IFERROR(VALUE(REGEXEXTRACT(I62, ""No\.? of [Ss]ubs:\s*(\d+)"")), 0) + IFERROR(VALUE(REGEXEXTRACT(I62, ""Affected Users(?:\s*\(From IM\))?:?\s*(\d+)"")), 0) + IFERROR(VALUE(REGEXEXTRACT(I62, ""Affected Clients:\s*(\d+)"")), 0)"),0.0)</f>
        <v>0</v>
      </c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33" t="str">
        <f>IFERROR(__xludf.DUMMYFUNCTION("LEN(REGEXREPLACE(REGEXREPLACE(REGEXEXTRACT(I63, ""(?s)Affected Nodes/Links(.*)""), ""https://[^\s]+"", """"), ""[^/]"", """")) / 2"),"#N/A")</f>
        <v>#N/A</v>
      </c>
      <c r="AC63" s="34">
        <f>IFERROR(__xludf.DUMMYFUNCTION("IFERROR(VALUE(REGEXEXTRACT(I63, ""No\.? of [Ss]ubs:\s*(\d+)"")), 0) + IFERROR(VALUE(REGEXEXTRACT(I63, ""Affected Users(?:\s*\(From IM\))?:?\s*(\d+)"")), 0) + IFERROR(VALUE(REGEXEXTRACT(I63, ""Affected Clients:\s*(\d+)"")), 0)"),0.0)</f>
        <v>0</v>
      </c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33" t="str">
        <f>IFERROR(__xludf.DUMMYFUNCTION("LEN(REGEXREPLACE(REGEXREPLACE(REGEXEXTRACT(I64, ""(?s)Affected Nodes/Links(.*)""), ""https://[^\s]+"", """"), ""[^/]"", """")) / 2"),"#N/A")</f>
        <v>#N/A</v>
      </c>
      <c r="AC64" s="34">
        <f>IFERROR(__xludf.DUMMYFUNCTION("IFERROR(VALUE(REGEXEXTRACT(I64, ""No\.? of [Ss]ubs:\s*(\d+)"")), 0) + IFERROR(VALUE(REGEXEXTRACT(I64, ""Affected Users(?:\s*\(From IM\))?:?\s*(\d+)"")), 0) + IFERROR(VALUE(REGEXEXTRACT(I64, ""Affected Clients:\s*(\d+)"")), 0)"),0.0)</f>
        <v>0</v>
      </c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33" t="str">
        <f>IFERROR(__xludf.DUMMYFUNCTION("LEN(REGEXREPLACE(REGEXREPLACE(REGEXEXTRACT(I65, ""(?s)Affected Nodes/Links(.*)""), ""https://[^\s]+"", """"), ""[^/]"", """")) / 2"),"#N/A")</f>
        <v>#N/A</v>
      </c>
      <c r="AC65" s="34">
        <f>IFERROR(__xludf.DUMMYFUNCTION("IFERROR(VALUE(REGEXEXTRACT(I65, ""No\.? of [Ss]ubs:\s*(\d+)"")), 0) + IFERROR(VALUE(REGEXEXTRACT(I65, ""Affected Users(?:\s*\(From IM\))?:?\s*(\d+)"")), 0) + IFERROR(VALUE(REGEXEXTRACT(I65, ""Affected Clients:\s*(\d+)"")), 0)"),0.0)</f>
        <v>0</v>
      </c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33" t="str">
        <f>IFERROR(__xludf.DUMMYFUNCTION("LEN(REGEXREPLACE(REGEXREPLACE(REGEXEXTRACT(I66, ""(?s)Affected Nodes/Links(.*)""), ""https://[^\s]+"", """"), ""[^/]"", """")) / 2"),"#N/A")</f>
        <v>#N/A</v>
      </c>
      <c r="AC66" s="34">
        <f>IFERROR(__xludf.DUMMYFUNCTION("IFERROR(VALUE(REGEXEXTRACT(I66, ""No\.? of [Ss]ubs:\s*(\d+)"")), 0) + IFERROR(VALUE(REGEXEXTRACT(I66, ""Affected Users(?:\s*\(From IM\))?:?\s*(\d+)"")), 0) + IFERROR(VALUE(REGEXEXTRACT(I66, ""Affected Clients:\s*(\d+)"")), 0)"),0.0)</f>
        <v>0</v>
      </c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33" t="str">
        <f>IFERROR(__xludf.DUMMYFUNCTION("LEN(REGEXREPLACE(REGEXREPLACE(REGEXEXTRACT(I67, ""(?s)Affected Nodes/Links(.*)""), ""https://[^\s]+"", """"), ""[^/]"", """")) / 2"),"#N/A")</f>
        <v>#N/A</v>
      </c>
      <c r="AC67" s="34">
        <f>IFERROR(__xludf.DUMMYFUNCTION("IFERROR(VALUE(REGEXEXTRACT(I67, ""No\.? of [Ss]ubs:\s*(\d+)"")), 0) + IFERROR(VALUE(REGEXEXTRACT(I67, ""Affected Users(?:\s*\(From IM\))?:?\s*(\d+)"")), 0) + IFERROR(VALUE(REGEXEXTRACT(I67, ""Affected Clients:\s*(\d+)"")), 0)"),0.0)</f>
        <v>0</v>
      </c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33" t="str">
        <f>IFERROR(__xludf.DUMMYFUNCTION("LEN(REGEXREPLACE(REGEXREPLACE(REGEXEXTRACT(I68, ""(?s)Affected Nodes/Links(.*)""), ""https://[^\s]+"", """"), ""[^/]"", """")) / 2"),"#N/A")</f>
        <v>#N/A</v>
      </c>
      <c r="AC68" s="34">
        <f>IFERROR(__xludf.DUMMYFUNCTION("IFERROR(VALUE(REGEXEXTRACT(I68, ""No\.? of [Ss]ubs:\s*(\d+)"")), 0) + IFERROR(VALUE(REGEXEXTRACT(I68, ""Affected Users(?:\s*\(From IM\))?:?\s*(\d+)"")), 0) + IFERROR(VALUE(REGEXEXTRACT(I68, ""Affected Clients:\s*(\d+)"")), 0)"),0.0)</f>
        <v>0</v>
      </c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33" t="str">
        <f>IFERROR(__xludf.DUMMYFUNCTION("LEN(REGEXREPLACE(REGEXREPLACE(REGEXEXTRACT(I69, ""(?s)Affected Nodes/Links(.*)""), ""https://[^\s]+"", """"), ""[^/]"", """")) / 2"),"#N/A")</f>
        <v>#N/A</v>
      </c>
      <c r="AC69" s="34">
        <f>IFERROR(__xludf.DUMMYFUNCTION("IFERROR(VALUE(REGEXEXTRACT(I69, ""No\.? of [Ss]ubs:\s*(\d+)"")), 0) + IFERROR(VALUE(REGEXEXTRACT(I69, ""Affected Users(?:\s*\(From IM\))?:?\s*(\d+)"")), 0) + IFERROR(VALUE(REGEXEXTRACT(I69, ""Affected Clients:\s*(\d+)"")), 0)"),0.0)</f>
        <v>0</v>
      </c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33" t="str">
        <f>IFERROR(__xludf.DUMMYFUNCTION("LEN(REGEXREPLACE(REGEXREPLACE(REGEXEXTRACT(I70, ""(?s)Affected Nodes/Links(.*)""), ""https://[^\s]+"", """"), ""[^/]"", """")) / 2"),"#N/A")</f>
        <v>#N/A</v>
      </c>
      <c r="AC70" s="34">
        <f>IFERROR(__xludf.DUMMYFUNCTION("IFERROR(VALUE(REGEXEXTRACT(I70, ""No\.? of [Ss]ubs:\s*(\d+)"")), 0) + IFERROR(VALUE(REGEXEXTRACT(I70, ""Affected Users(?:\s*\(From IM\))?:?\s*(\d+)"")), 0) + IFERROR(VALUE(REGEXEXTRACT(I70, ""Affected Clients:\s*(\d+)"")), 0)"),0.0)</f>
        <v>0</v>
      </c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33" t="str">
        <f>IFERROR(__xludf.DUMMYFUNCTION("LEN(REGEXREPLACE(REGEXREPLACE(REGEXEXTRACT(I71, ""(?s)Affected Nodes/Links(.*)""), ""https://[^\s]+"", """"), ""[^/]"", """")) / 2"),"#N/A")</f>
        <v>#N/A</v>
      </c>
      <c r="AC71" s="34">
        <f>IFERROR(__xludf.DUMMYFUNCTION("IFERROR(VALUE(REGEXEXTRACT(I71, ""No\.? of [Ss]ubs:\s*(\d+)"")), 0) + IFERROR(VALUE(REGEXEXTRACT(I71, ""Affected Users(?:\s*\(From IM\))?:?\s*(\d+)"")), 0) + IFERROR(VALUE(REGEXEXTRACT(I71, ""Affected Clients:\s*(\d+)"")), 0)"),0.0)</f>
        <v>0</v>
      </c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33" t="str">
        <f>IFERROR(__xludf.DUMMYFUNCTION("LEN(REGEXREPLACE(REGEXREPLACE(REGEXEXTRACT(I72, ""(?s)Affected Nodes/Links(.*)""), ""https://[^\s]+"", """"), ""[^/]"", """")) / 2"),"#N/A")</f>
        <v>#N/A</v>
      </c>
      <c r="AC72" s="34">
        <f>IFERROR(__xludf.DUMMYFUNCTION("IFERROR(VALUE(REGEXEXTRACT(I72, ""No\.? of [Ss]ubs:\s*(\d+)"")), 0) + IFERROR(VALUE(REGEXEXTRACT(I72, ""Affected Users(?:\s*\(From IM\))?:?\s*(\d+)"")), 0) + IFERROR(VALUE(REGEXEXTRACT(I72, ""Affected Clients:\s*(\d+)"")), 0)"),0.0)</f>
        <v>0</v>
      </c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33" t="str">
        <f>IFERROR(__xludf.DUMMYFUNCTION("LEN(REGEXREPLACE(REGEXREPLACE(REGEXEXTRACT(I73, ""(?s)Affected Nodes/Links(.*)""), ""https://[^\s]+"", """"), ""[^/]"", """")) / 2"),"#N/A")</f>
        <v>#N/A</v>
      </c>
      <c r="AC73" s="34">
        <f>IFERROR(__xludf.DUMMYFUNCTION("IFERROR(VALUE(REGEXEXTRACT(I73, ""No\.? of [Ss]ubs:\s*(\d+)"")), 0) + IFERROR(VALUE(REGEXEXTRACT(I73, ""Affected Users(?:\s*\(From IM\))?:?\s*(\d+)"")), 0) + IFERROR(VALUE(REGEXEXTRACT(I73, ""Affected Clients:\s*(\d+)"")), 0)"),0.0)</f>
        <v>0</v>
      </c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33" t="str">
        <f>IFERROR(__xludf.DUMMYFUNCTION("LEN(REGEXREPLACE(REGEXREPLACE(REGEXEXTRACT(I74, ""(?s)Affected Nodes/Links(.*)""), ""https://[^\s]+"", """"), ""[^/]"", """")) / 2"),"#N/A")</f>
        <v>#N/A</v>
      </c>
      <c r="AC74" s="34">
        <f>IFERROR(__xludf.DUMMYFUNCTION("IFERROR(VALUE(REGEXEXTRACT(I74, ""No\.? of [Ss]ubs:\s*(\d+)"")), 0) + IFERROR(VALUE(REGEXEXTRACT(I74, ""Affected Users(?:\s*\(From IM\))?:?\s*(\d+)"")), 0) + IFERROR(VALUE(REGEXEXTRACT(I74, ""Affected Clients:\s*(\d+)"")), 0)"),0.0)</f>
        <v>0</v>
      </c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33" t="str">
        <f>IFERROR(__xludf.DUMMYFUNCTION("LEN(REGEXREPLACE(REGEXREPLACE(REGEXEXTRACT(I75, ""(?s)Affected Nodes/Links(.*)""), ""https://[^\s]+"", """"), ""[^/]"", """")) / 2"),"#N/A")</f>
        <v>#N/A</v>
      </c>
      <c r="AC75" s="34">
        <f>IFERROR(__xludf.DUMMYFUNCTION("IFERROR(VALUE(REGEXEXTRACT(I75, ""No\.? of [Ss]ubs:\s*(\d+)"")), 0) + IFERROR(VALUE(REGEXEXTRACT(I75, ""Affected Users(?:\s*\(From IM\))?:?\s*(\d+)"")), 0) + IFERROR(VALUE(REGEXEXTRACT(I75, ""Affected Clients:\s*(\d+)"")), 0)"),0.0)</f>
        <v>0</v>
      </c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33" t="str">
        <f>IFERROR(__xludf.DUMMYFUNCTION("LEN(REGEXREPLACE(REGEXREPLACE(REGEXEXTRACT(I76, ""(?s)Affected Nodes/Links(.*)""), ""https://[^\s]+"", """"), ""[^/]"", """")) / 2"),"#N/A")</f>
        <v>#N/A</v>
      </c>
      <c r="AC76" s="34">
        <f>IFERROR(__xludf.DUMMYFUNCTION("IFERROR(VALUE(REGEXEXTRACT(I76, ""No\.? of [Ss]ubs:\s*(\d+)"")), 0) + IFERROR(VALUE(REGEXEXTRACT(I76, ""Affected Users(?:\s*\(From IM\))?:?\s*(\d+)"")), 0) + IFERROR(VALUE(REGEXEXTRACT(I76, ""Affected Clients:\s*(\d+)"")), 0)"),0.0)</f>
        <v>0</v>
      </c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33" t="str">
        <f>IFERROR(__xludf.DUMMYFUNCTION("LEN(REGEXREPLACE(REGEXREPLACE(REGEXEXTRACT(I77, ""(?s)Affected Nodes/Links(.*)""), ""https://[^\s]+"", """"), ""[^/]"", """")) / 2"),"#N/A")</f>
        <v>#N/A</v>
      </c>
      <c r="AC77" s="34">
        <f>IFERROR(__xludf.DUMMYFUNCTION("IFERROR(VALUE(REGEXEXTRACT(I77, ""No\.? of [Ss]ubs:\s*(\d+)"")), 0) + IFERROR(VALUE(REGEXEXTRACT(I77, ""Affected Users(?:\s*\(From IM\))?:?\s*(\d+)"")), 0) + IFERROR(VALUE(REGEXEXTRACT(I77, ""Affected Clients:\s*(\d+)"")), 0)"),0.0)</f>
        <v>0</v>
      </c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33" t="str">
        <f>IFERROR(__xludf.DUMMYFUNCTION("LEN(REGEXREPLACE(REGEXREPLACE(REGEXEXTRACT(I78, ""(?s)Affected Nodes/Links(.*)""), ""https://[^\s]+"", """"), ""[^/]"", """")) / 2"),"#N/A")</f>
        <v>#N/A</v>
      </c>
      <c r="AC78" s="34">
        <f>IFERROR(__xludf.DUMMYFUNCTION("IFERROR(VALUE(REGEXEXTRACT(I78, ""No\.? of [Ss]ubs:\s*(\d+)"")), 0) + IFERROR(VALUE(REGEXEXTRACT(I78, ""Affected Users(?:\s*\(From IM\))?:?\s*(\d+)"")), 0) + IFERROR(VALUE(REGEXEXTRACT(I78, ""Affected Clients:\s*(\d+)"")), 0)"),0.0)</f>
        <v>0</v>
      </c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33" t="str">
        <f>IFERROR(__xludf.DUMMYFUNCTION("LEN(REGEXREPLACE(REGEXREPLACE(REGEXEXTRACT(I79, ""(?s)Affected Nodes/Links(.*)""), ""https://[^\s]+"", """"), ""[^/]"", """")) / 2"),"#N/A")</f>
        <v>#N/A</v>
      </c>
      <c r="AC79" s="34">
        <f>IFERROR(__xludf.DUMMYFUNCTION("IFERROR(VALUE(REGEXEXTRACT(I79, ""No\.? of [Ss]ubs:\s*(\d+)"")), 0) + IFERROR(VALUE(REGEXEXTRACT(I79, ""Affected Users(?:\s*\(From IM\))?:?\s*(\d+)"")), 0) + IFERROR(VALUE(REGEXEXTRACT(I79, ""Affected Clients:\s*(\d+)"")), 0)"),0.0)</f>
        <v>0</v>
      </c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33" t="str">
        <f>IFERROR(__xludf.DUMMYFUNCTION("LEN(REGEXREPLACE(REGEXREPLACE(REGEXEXTRACT(I80, ""(?s)Affected Nodes/Links(.*)""), ""https://[^\s]+"", """"), ""[^/]"", """")) / 2"),"#N/A")</f>
        <v>#N/A</v>
      </c>
      <c r="AC80" s="34">
        <f>IFERROR(__xludf.DUMMYFUNCTION("IFERROR(VALUE(REGEXEXTRACT(I80, ""No\.? of [Ss]ubs:\s*(\d+)"")), 0) + IFERROR(VALUE(REGEXEXTRACT(I80, ""Affected Users(?:\s*\(From IM\))?:?\s*(\d+)"")), 0) + IFERROR(VALUE(REGEXEXTRACT(I80, ""Affected Clients:\s*(\d+)"")), 0)"),0.0)</f>
        <v>0</v>
      </c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33" t="str">
        <f>IFERROR(__xludf.DUMMYFUNCTION("LEN(REGEXREPLACE(REGEXREPLACE(REGEXEXTRACT(I81, ""(?s)Affected Nodes/Links(.*)""), ""https://[^\s]+"", """"), ""[^/]"", """")) / 2"),"#N/A")</f>
        <v>#N/A</v>
      </c>
      <c r="AC81" s="34">
        <f>IFERROR(__xludf.DUMMYFUNCTION("IFERROR(VALUE(REGEXEXTRACT(I81, ""No\.? of [Ss]ubs:\s*(\d+)"")), 0) + IFERROR(VALUE(REGEXEXTRACT(I81, ""Affected Users(?:\s*\(From IM\))?:?\s*(\d+)"")), 0) + IFERROR(VALUE(REGEXEXTRACT(I81, ""Affected Clients:\s*(\d+)"")), 0)"),0.0)</f>
        <v>0</v>
      </c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33" t="str">
        <f>IFERROR(__xludf.DUMMYFUNCTION("LEN(REGEXREPLACE(REGEXREPLACE(REGEXEXTRACT(I82, ""(?s)Affected Nodes/Links(.*)""), ""https://[^\s]+"", """"), ""[^/]"", """")) / 2"),"#N/A")</f>
        <v>#N/A</v>
      </c>
      <c r="AC82" s="34">
        <f>IFERROR(__xludf.DUMMYFUNCTION("IFERROR(VALUE(REGEXEXTRACT(I82, ""No\.? of [Ss]ubs:\s*(\d+)"")), 0) + IFERROR(VALUE(REGEXEXTRACT(I82, ""Affected Users(?:\s*\(From IM\))?:?\s*(\d+)"")), 0) + IFERROR(VALUE(REGEXEXTRACT(I82, ""Affected Clients:\s*(\d+)"")), 0)"),0.0)</f>
        <v>0</v>
      </c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33" t="str">
        <f>IFERROR(__xludf.DUMMYFUNCTION("LEN(REGEXREPLACE(REGEXREPLACE(REGEXEXTRACT(I83, ""(?s)Affected Nodes/Links(.*)""), ""https://[^\s]+"", """"), ""[^/]"", """")) / 2"),"#N/A")</f>
        <v>#N/A</v>
      </c>
      <c r="AC83" s="34">
        <f>IFERROR(__xludf.DUMMYFUNCTION("IFERROR(VALUE(REGEXEXTRACT(I83, ""No\.? of [Ss]ubs:\s*(\d+)"")), 0) + IFERROR(VALUE(REGEXEXTRACT(I83, ""Affected Users(?:\s*\(From IM\))?:?\s*(\d+)"")), 0) + IFERROR(VALUE(REGEXEXTRACT(I83, ""Affected Clients:\s*(\d+)"")), 0)"),0.0)</f>
        <v>0</v>
      </c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33" t="str">
        <f>IFERROR(__xludf.DUMMYFUNCTION("LEN(REGEXREPLACE(REGEXREPLACE(REGEXEXTRACT(I84, ""(?s)Affected Nodes/Links(.*)""), ""https://[^\s]+"", """"), ""[^/]"", """")) / 2"),"#N/A")</f>
        <v>#N/A</v>
      </c>
      <c r="AC84" s="34">
        <f>IFERROR(__xludf.DUMMYFUNCTION("IFERROR(VALUE(REGEXEXTRACT(I84, ""No\.? of [Ss]ubs:\s*(\d+)"")), 0) + IFERROR(VALUE(REGEXEXTRACT(I84, ""Affected Users(?:\s*\(From IM\))?:?\s*(\d+)"")), 0) + IFERROR(VALUE(REGEXEXTRACT(I84, ""Affected Clients:\s*(\d+)"")), 0)"),0.0)</f>
        <v>0</v>
      </c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33" t="str">
        <f>IFERROR(__xludf.DUMMYFUNCTION("LEN(REGEXREPLACE(REGEXREPLACE(REGEXEXTRACT(I85, ""(?s)Affected Nodes/Links(.*)""), ""https://[^\s]+"", """"), ""[^/]"", """")) / 2"),"#N/A")</f>
        <v>#N/A</v>
      </c>
      <c r="AC85" s="34">
        <f>IFERROR(__xludf.DUMMYFUNCTION("IFERROR(VALUE(REGEXEXTRACT(I85, ""No\.? of [Ss]ubs:\s*(\d+)"")), 0) + IFERROR(VALUE(REGEXEXTRACT(I85, ""Affected Users(?:\s*\(From IM\))?:?\s*(\d+)"")), 0) + IFERROR(VALUE(REGEXEXTRACT(I85, ""Affected Clients:\s*(\d+)"")), 0)"),0.0)</f>
        <v>0</v>
      </c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33" t="str">
        <f>IFERROR(__xludf.DUMMYFUNCTION("LEN(REGEXREPLACE(REGEXREPLACE(REGEXEXTRACT(I86, ""(?s)Affected Nodes/Links(.*)""), ""https://[^\s]+"", """"), ""[^/]"", """")) / 2"),"#N/A")</f>
        <v>#N/A</v>
      </c>
      <c r="AC86" s="34">
        <f>IFERROR(__xludf.DUMMYFUNCTION("IFERROR(VALUE(REGEXEXTRACT(I86, ""No\.? of [Ss]ubs:\s*(\d+)"")), 0) + IFERROR(VALUE(REGEXEXTRACT(I86, ""Affected Users(?:\s*\(From IM\))?:?\s*(\d+)"")), 0) + IFERROR(VALUE(REGEXEXTRACT(I86, ""Affected Clients:\s*(\d+)"")), 0)"),0.0)</f>
        <v>0</v>
      </c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33" t="str">
        <f>IFERROR(__xludf.DUMMYFUNCTION("LEN(REGEXREPLACE(REGEXREPLACE(REGEXEXTRACT(I87, ""(?s)Affected Nodes/Links(.*)""), ""https://[^\s]+"", """"), ""[^/]"", """")) / 2"),"#N/A")</f>
        <v>#N/A</v>
      </c>
      <c r="AC87" s="34">
        <f>IFERROR(__xludf.DUMMYFUNCTION("IFERROR(VALUE(REGEXEXTRACT(I87, ""No\.? of [Ss]ubs:\s*(\d+)"")), 0) + IFERROR(VALUE(REGEXEXTRACT(I87, ""Affected Users(?:\s*\(From IM\))?:?\s*(\d+)"")), 0) + IFERROR(VALUE(REGEXEXTRACT(I87, ""Affected Clients:\s*(\d+)"")), 0)"),0.0)</f>
        <v>0</v>
      </c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33" t="str">
        <f>IFERROR(__xludf.DUMMYFUNCTION("LEN(REGEXREPLACE(REGEXREPLACE(REGEXEXTRACT(I88, ""(?s)Affected Nodes/Links(.*)""), ""https://[^\s]+"", """"), ""[^/]"", """")) / 2"),"#N/A")</f>
        <v>#N/A</v>
      </c>
      <c r="AC88" s="34">
        <f>IFERROR(__xludf.DUMMYFUNCTION("IFERROR(VALUE(REGEXEXTRACT(I88, ""No\.? of [Ss]ubs:\s*(\d+)"")), 0) + IFERROR(VALUE(REGEXEXTRACT(I88, ""Affected Users(?:\s*\(From IM\))?:?\s*(\d+)"")), 0) + IFERROR(VALUE(REGEXEXTRACT(I88, ""Affected Clients:\s*(\d+)"")), 0)"),0.0)</f>
        <v>0</v>
      </c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33" t="str">
        <f>IFERROR(__xludf.DUMMYFUNCTION("LEN(REGEXREPLACE(REGEXREPLACE(REGEXEXTRACT(I89, ""(?s)Affected Nodes/Links(.*)""), ""https://[^\s]+"", """"), ""[^/]"", """")) / 2"),"#N/A")</f>
        <v>#N/A</v>
      </c>
      <c r="AC89" s="34">
        <f>IFERROR(__xludf.DUMMYFUNCTION("IFERROR(VALUE(REGEXEXTRACT(I89, ""No\.? of [Ss]ubs:\s*(\d+)"")), 0) + IFERROR(VALUE(REGEXEXTRACT(I89, ""Affected Users(?:\s*\(From IM\))?:?\s*(\d+)"")), 0) + IFERROR(VALUE(REGEXEXTRACT(I89, ""Affected Clients:\s*(\d+)"")), 0)"),0.0)</f>
        <v>0</v>
      </c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33" t="str">
        <f>IFERROR(__xludf.DUMMYFUNCTION("LEN(REGEXREPLACE(REGEXREPLACE(REGEXEXTRACT(I90, ""(?s)Affected Nodes/Links(.*)""), ""https://[^\s]+"", """"), ""[^/]"", """")) / 2"),"#N/A")</f>
        <v>#N/A</v>
      </c>
      <c r="AC90" s="34">
        <f>IFERROR(__xludf.DUMMYFUNCTION("IFERROR(VALUE(REGEXEXTRACT(I90, ""No\.? of [Ss]ubs:\s*(\d+)"")), 0) + IFERROR(VALUE(REGEXEXTRACT(I90, ""Affected Users(?:\s*\(From IM\))?:?\s*(\d+)"")), 0) + IFERROR(VALUE(REGEXEXTRACT(I90, ""Affected Clients:\s*(\d+)"")), 0)"),0.0)</f>
        <v>0</v>
      </c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33" t="str">
        <f>IFERROR(__xludf.DUMMYFUNCTION("LEN(REGEXREPLACE(REGEXREPLACE(REGEXEXTRACT(I91, ""(?s)Affected Nodes/Links(.*)""), ""https://[^\s]+"", """"), ""[^/]"", """")) / 2"),"#N/A")</f>
        <v>#N/A</v>
      </c>
      <c r="AC91" s="34">
        <f>IFERROR(__xludf.DUMMYFUNCTION("IFERROR(VALUE(REGEXEXTRACT(I91, ""No\.? of [Ss]ubs:\s*(\d+)"")), 0) + IFERROR(VALUE(REGEXEXTRACT(I91, ""Affected Users(?:\s*\(From IM\))?:?\s*(\d+)"")), 0) + IFERROR(VALUE(REGEXEXTRACT(I91, ""Affected Clients:\s*(\d+)"")), 0)"),0.0)</f>
        <v>0</v>
      </c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33" t="str">
        <f>IFERROR(__xludf.DUMMYFUNCTION("LEN(REGEXREPLACE(REGEXREPLACE(REGEXEXTRACT(I92, ""(?s)Affected Nodes/Links(.*)""), ""https://[^\s]+"", """"), ""[^/]"", """")) / 2"),"#N/A")</f>
        <v>#N/A</v>
      </c>
      <c r="AC92" s="34">
        <f>IFERROR(__xludf.DUMMYFUNCTION("IFERROR(VALUE(REGEXEXTRACT(I92, ""No\.? of [Ss]ubs:\s*(\d+)"")), 0) + IFERROR(VALUE(REGEXEXTRACT(I92, ""Affected Users(?:\s*\(From IM\))?:?\s*(\d+)"")), 0) + IFERROR(VALUE(REGEXEXTRACT(I92, ""Affected Clients:\s*(\d+)"")), 0)"),0.0)</f>
        <v>0</v>
      </c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33" t="str">
        <f>IFERROR(__xludf.DUMMYFUNCTION("LEN(REGEXREPLACE(REGEXREPLACE(REGEXEXTRACT(I93, ""(?s)Affected Nodes/Links(.*)""), ""https://[^\s]+"", """"), ""[^/]"", """")) / 2"),"#N/A")</f>
        <v>#N/A</v>
      </c>
      <c r="AC93" s="34">
        <f>IFERROR(__xludf.DUMMYFUNCTION("IFERROR(VALUE(REGEXEXTRACT(I93, ""No\.? of [Ss]ubs:\s*(\d+)"")), 0) + IFERROR(VALUE(REGEXEXTRACT(I93, ""Affected Users(?:\s*\(From IM\))?:?\s*(\d+)"")), 0) + IFERROR(VALUE(REGEXEXTRACT(I93, ""Affected Clients:\s*(\d+)"")), 0)"),0.0)</f>
        <v>0</v>
      </c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33" t="str">
        <f>IFERROR(__xludf.DUMMYFUNCTION("LEN(REGEXREPLACE(REGEXREPLACE(REGEXEXTRACT(I94, ""(?s)Affected Nodes/Links(.*)""), ""https://[^\s]+"", """"), ""[^/]"", """")) / 2"),"#N/A")</f>
        <v>#N/A</v>
      </c>
      <c r="AC94" s="34">
        <f>IFERROR(__xludf.DUMMYFUNCTION("IFERROR(VALUE(REGEXEXTRACT(I94, ""No\.? of [Ss]ubs:\s*(\d+)"")), 0) + IFERROR(VALUE(REGEXEXTRACT(I94, ""Affected Users(?:\s*\(From IM\))?:?\s*(\d+)"")), 0) + IFERROR(VALUE(REGEXEXTRACT(I94, ""Affected Clients:\s*(\d+)"")), 0)"),0.0)</f>
        <v>0</v>
      </c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33" t="str">
        <f>IFERROR(__xludf.DUMMYFUNCTION("LEN(REGEXREPLACE(REGEXREPLACE(REGEXEXTRACT(I95, ""(?s)Affected Nodes/Links(.*)""), ""https://[^\s]+"", """"), ""[^/]"", """")) / 2"),"#N/A")</f>
        <v>#N/A</v>
      </c>
      <c r="AC95" s="34">
        <f>IFERROR(__xludf.DUMMYFUNCTION("IFERROR(VALUE(REGEXEXTRACT(I95, ""No\.? of [Ss]ubs:\s*(\d+)"")), 0) + IFERROR(VALUE(REGEXEXTRACT(I95, ""Affected Users(?:\s*\(From IM\))?:?\s*(\d+)"")), 0) + IFERROR(VALUE(REGEXEXTRACT(I95, ""Affected Clients:\s*(\d+)"")), 0)"),0.0)</f>
        <v>0</v>
      </c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33" t="str">
        <f>IFERROR(__xludf.DUMMYFUNCTION("LEN(REGEXREPLACE(REGEXREPLACE(REGEXEXTRACT(I96, ""(?s)Affected Nodes/Links(.*)""), ""https://[^\s]+"", """"), ""[^/]"", """")) / 2"),"#N/A")</f>
        <v>#N/A</v>
      </c>
      <c r="AC96" s="34">
        <f>IFERROR(__xludf.DUMMYFUNCTION("IFERROR(VALUE(REGEXEXTRACT(I96, ""No\.? of [Ss]ubs:\s*(\d+)"")), 0) + IFERROR(VALUE(REGEXEXTRACT(I96, ""Affected Users(?:\s*\(From IM\))?:?\s*(\d+)"")), 0) + IFERROR(VALUE(REGEXEXTRACT(I96, ""Affected Clients:\s*(\d+)"")), 0)"),0.0)</f>
        <v>0</v>
      </c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33" t="str">
        <f>IFERROR(__xludf.DUMMYFUNCTION("LEN(REGEXREPLACE(REGEXREPLACE(REGEXEXTRACT(I97, ""(?s)Affected Nodes/Links(.*)""), ""https://[^\s]+"", """"), ""[^/]"", """")) / 2"),"#N/A")</f>
        <v>#N/A</v>
      </c>
      <c r="AC97" s="34">
        <f>IFERROR(__xludf.DUMMYFUNCTION("IFERROR(VALUE(REGEXEXTRACT(I97, ""No\.? of [Ss]ubs:\s*(\d+)"")), 0) + IFERROR(VALUE(REGEXEXTRACT(I97, ""Affected Users(?:\s*\(From IM\))?:?\s*(\d+)"")), 0) + IFERROR(VALUE(REGEXEXTRACT(I97, ""Affected Clients:\s*(\d+)"")), 0)"),0.0)</f>
        <v>0</v>
      </c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33" t="str">
        <f>IFERROR(__xludf.DUMMYFUNCTION("LEN(REGEXREPLACE(REGEXREPLACE(REGEXEXTRACT(I98, ""(?s)Affected Nodes/Links(.*)""), ""https://[^\s]+"", """"), ""[^/]"", """")) / 2"),"#N/A")</f>
        <v>#N/A</v>
      </c>
      <c r="AC98" s="34">
        <f>IFERROR(__xludf.DUMMYFUNCTION("IFERROR(VALUE(REGEXEXTRACT(I98, ""No\.? of [Ss]ubs:\s*(\d+)"")), 0) + IFERROR(VALUE(REGEXEXTRACT(I98, ""Affected Users(?:\s*\(From IM\))?:?\s*(\d+)"")), 0) + IFERROR(VALUE(REGEXEXTRACT(I98, ""Affected Clients:\s*(\d+)"")), 0)"),0.0)</f>
        <v>0</v>
      </c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33" t="str">
        <f>IFERROR(__xludf.DUMMYFUNCTION("LEN(REGEXREPLACE(REGEXREPLACE(REGEXEXTRACT(I99, ""(?s)Affected Nodes/Links(.*)""), ""https://[^\s]+"", """"), ""[^/]"", """")) / 2"),"#N/A")</f>
        <v>#N/A</v>
      </c>
      <c r="AC99" s="34">
        <f>IFERROR(__xludf.DUMMYFUNCTION("IFERROR(VALUE(REGEXEXTRACT(I99, ""No\.? of [Ss]ubs:\s*(\d+)"")), 0) + IFERROR(VALUE(REGEXEXTRACT(I99, ""Affected Users(?:\s*\(From IM\))?:?\s*(\d+)"")), 0) + IFERROR(VALUE(REGEXEXTRACT(I99, ""Affected Clients:\s*(\d+)"")), 0)"),0.0)</f>
        <v>0</v>
      </c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33" t="str">
        <f>IFERROR(__xludf.DUMMYFUNCTION("LEN(REGEXREPLACE(REGEXREPLACE(REGEXEXTRACT(I100, ""(?s)Affected Nodes/Links(.*)""), ""https://[^\s]+"", """"), ""[^/]"", """")) / 2"),"#N/A")</f>
        <v>#N/A</v>
      </c>
      <c r="AC100" s="34">
        <f>IFERROR(__xludf.DUMMYFUNCTION("IFERROR(VALUE(REGEXEXTRACT(I100, ""No\.? of [Ss]ubs:\s*(\d+)"")), 0) + IFERROR(VALUE(REGEXEXTRACT(I100, ""Affected Users(?:\s*\(From IM\))?:?\s*(\d+)"")), 0) + IFERROR(VALUE(REGEXEXTRACT(I100, ""Affected Clients:\s*(\d+)"")), 0)"),0.0)</f>
        <v>0</v>
      </c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33" t="str">
        <f>IFERROR(__xludf.DUMMYFUNCTION("LEN(REGEXREPLACE(REGEXREPLACE(REGEXEXTRACT(I101, ""(?s)Affected Nodes/Links(.*)""), ""https://[^\s]+"", """"), ""[^/]"", """")) / 2"),"#N/A")</f>
        <v>#N/A</v>
      </c>
      <c r="AC101" s="34">
        <f>IFERROR(__xludf.DUMMYFUNCTION("IFERROR(VALUE(REGEXEXTRACT(I101, ""No\.? of [Ss]ubs:\s*(\d+)"")), 0) + IFERROR(VALUE(REGEXEXTRACT(I101, ""Affected Users(?:\s*\(From IM\))?:?\s*(\d+)"")), 0) + IFERROR(VALUE(REGEXEXTRACT(I101, ""Affected Clients:\s*(\d+)"")), 0)"),0.0)</f>
        <v>0</v>
      </c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33" t="str">
        <f>IFERROR(__xludf.DUMMYFUNCTION("LEN(REGEXREPLACE(REGEXREPLACE(REGEXEXTRACT(I102, ""(?s)Affected Nodes/Links(.*)""), ""https://[^\s]+"", """"), ""[^/]"", """")) / 2"),"#N/A")</f>
        <v>#N/A</v>
      </c>
      <c r="AC102" s="34">
        <f>IFERROR(__xludf.DUMMYFUNCTION("IFERROR(VALUE(REGEXEXTRACT(I102, ""No\.? of [Ss]ubs:\s*(\d+)"")), 0) + IFERROR(VALUE(REGEXEXTRACT(I102, ""Affected Users(?:\s*\(From IM\))?:?\s*(\d+)"")), 0) + IFERROR(VALUE(REGEXEXTRACT(I102, ""Affected Clients:\s*(\d+)"")), 0)"),0.0)</f>
        <v>0</v>
      </c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33" t="str">
        <f>IFERROR(__xludf.DUMMYFUNCTION("LEN(REGEXREPLACE(REGEXREPLACE(REGEXEXTRACT(I103, ""(?s)Affected Nodes/Links(.*)""), ""https://[^\s]+"", """"), ""[^/]"", """")) / 2"),"#N/A")</f>
        <v>#N/A</v>
      </c>
      <c r="AC103" s="34">
        <f>IFERROR(__xludf.DUMMYFUNCTION("IFERROR(VALUE(REGEXEXTRACT(I103, ""No\.? of [Ss]ubs:\s*(\d+)"")), 0) + IFERROR(VALUE(REGEXEXTRACT(I103, ""Affected Users(?:\s*\(From IM\))?:?\s*(\d+)"")), 0) + IFERROR(VALUE(REGEXEXTRACT(I103, ""Affected Clients:\s*(\d+)"")), 0)"),0.0)</f>
        <v>0</v>
      </c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33" t="str">
        <f>IFERROR(__xludf.DUMMYFUNCTION("LEN(REGEXREPLACE(REGEXREPLACE(REGEXEXTRACT(I104, ""(?s)Affected Nodes/Links(.*)""), ""https://[^\s]+"", """"), ""[^/]"", """")) / 2"),"#N/A")</f>
        <v>#N/A</v>
      </c>
      <c r="AC104" s="34">
        <f>IFERROR(__xludf.DUMMYFUNCTION("IFERROR(VALUE(REGEXEXTRACT(I104, ""No\.? of [Ss]ubs:\s*(\d+)"")), 0) + IFERROR(VALUE(REGEXEXTRACT(I104, ""Affected Users(?:\s*\(From IM\))?:?\s*(\d+)"")), 0) + IFERROR(VALUE(REGEXEXTRACT(I104, ""Affected Clients:\s*(\d+)"")), 0)"),0.0)</f>
        <v>0</v>
      </c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33" t="str">
        <f>IFERROR(__xludf.DUMMYFUNCTION("LEN(REGEXREPLACE(REGEXREPLACE(REGEXEXTRACT(I105, ""(?s)Affected Nodes/Links(.*)""), ""https://[^\s]+"", """"), ""[^/]"", """")) / 2"),"#N/A")</f>
        <v>#N/A</v>
      </c>
      <c r="AC105" s="34">
        <f>IFERROR(__xludf.DUMMYFUNCTION("IFERROR(VALUE(REGEXEXTRACT(I105, ""No\.? of [Ss]ubs:\s*(\d+)"")), 0) + IFERROR(VALUE(REGEXEXTRACT(I105, ""Affected Users(?:\s*\(From IM\))?:?\s*(\d+)"")), 0) + IFERROR(VALUE(REGEXEXTRACT(I105, ""Affected Clients:\s*(\d+)"")), 0)"),0.0)</f>
        <v>0</v>
      </c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33" t="str">
        <f>IFERROR(__xludf.DUMMYFUNCTION("LEN(REGEXREPLACE(REGEXREPLACE(REGEXEXTRACT(I106, ""(?s)Affected Nodes/Links(.*)""), ""https://[^\s]+"", """"), ""[^/]"", """")) / 2"),"#N/A")</f>
        <v>#N/A</v>
      </c>
      <c r="AC106" s="34">
        <f>IFERROR(__xludf.DUMMYFUNCTION("IFERROR(VALUE(REGEXEXTRACT(I106, ""No\.? of [Ss]ubs:\s*(\d+)"")), 0) + IFERROR(VALUE(REGEXEXTRACT(I106, ""Affected Users(?:\s*\(From IM\))?:?\s*(\d+)"")), 0) + IFERROR(VALUE(REGEXEXTRACT(I106, ""Affected Clients:\s*(\d+)"")), 0)"),0.0)</f>
        <v>0</v>
      </c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33" t="str">
        <f>IFERROR(__xludf.DUMMYFUNCTION("LEN(REGEXREPLACE(REGEXREPLACE(REGEXEXTRACT(I107, ""(?s)Affected Nodes/Links(.*)""), ""https://[^\s]+"", """"), ""[^/]"", """")) / 2"),"#N/A")</f>
        <v>#N/A</v>
      </c>
      <c r="AC107" s="34">
        <f>IFERROR(__xludf.DUMMYFUNCTION("IFERROR(VALUE(REGEXEXTRACT(I107, ""No\.? of [Ss]ubs:\s*(\d+)"")), 0) + IFERROR(VALUE(REGEXEXTRACT(I107, ""Affected Users(?:\s*\(From IM\))?:?\s*(\d+)"")), 0) + IFERROR(VALUE(REGEXEXTRACT(I107, ""Affected Clients:\s*(\d+)"")), 0)"),0.0)</f>
        <v>0</v>
      </c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33" t="str">
        <f>IFERROR(__xludf.DUMMYFUNCTION("LEN(REGEXREPLACE(REGEXREPLACE(REGEXEXTRACT(I108, ""(?s)Affected Nodes/Links(.*)""), ""https://[^\s]+"", """"), ""[^/]"", """")) / 2"),"#N/A")</f>
        <v>#N/A</v>
      </c>
      <c r="AC108" s="34">
        <f>IFERROR(__xludf.DUMMYFUNCTION("IFERROR(VALUE(REGEXEXTRACT(I108, ""No\.? of [Ss]ubs:\s*(\d+)"")), 0) + IFERROR(VALUE(REGEXEXTRACT(I108, ""Affected Users(?:\s*\(From IM\))?:?\s*(\d+)"")), 0) + IFERROR(VALUE(REGEXEXTRACT(I108, ""Affected Clients:\s*(\d+)"")), 0)"),0.0)</f>
        <v>0</v>
      </c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33" t="str">
        <f>IFERROR(__xludf.DUMMYFUNCTION("LEN(REGEXREPLACE(REGEXREPLACE(REGEXEXTRACT(I109, ""(?s)Affected Nodes/Links(.*)""), ""https://[^\s]+"", """"), ""[^/]"", """")) / 2"),"#N/A")</f>
        <v>#N/A</v>
      </c>
      <c r="AC109" s="34">
        <f>IFERROR(__xludf.DUMMYFUNCTION("IFERROR(VALUE(REGEXEXTRACT(I109, ""No\.? of [Ss]ubs:\s*(\d+)"")), 0) + IFERROR(VALUE(REGEXEXTRACT(I109, ""Affected Users(?:\s*\(From IM\))?:?\s*(\d+)"")), 0) + IFERROR(VALUE(REGEXEXTRACT(I109, ""Affected Clients:\s*(\d+)"")), 0)"),0.0)</f>
        <v>0</v>
      </c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33" t="str">
        <f>IFERROR(__xludf.DUMMYFUNCTION("LEN(REGEXREPLACE(REGEXREPLACE(REGEXEXTRACT(I110, ""(?s)Affected Nodes/Links(.*)""), ""https://[^\s]+"", """"), ""[^/]"", """")) / 2"),"#N/A")</f>
        <v>#N/A</v>
      </c>
      <c r="AC110" s="34">
        <f>IFERROR(__xludf.DUMMYFUNCTION("IFERROR(VALUE(REGEXEXTRACT(I110, ""No\.? of [Ss]ubs:\s*(\d+)"")), 0) + IFERROR(VALUE(REGEXEXTRACT(I110, ""Affected Users(?:\s*\(From IM\))?:?\s*(\d+)"")), 0) + IFERROR(VALUE(REGEXEXTRACT(I110, ""Affected Clients:\s*(\d+)"")), 0)"),0.0)</f>
        <v>0</v>
      </c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33" t="str">
        <f>IFERROR(__xludf.DUMMYFUNCTION("LEN(REGEXREPLACE(REGEXREPLACE(REGEXEXTRACT(I111, ""(?s)Affected Nodes/Links(.*)""), ""https://[^\s]+"", """"), ""[^/]"", """")) / 2"),"#N/A")</f>
        <v>#N/A</v>
      </c>
      <c r="AC111" s="34">
        <f>IFERROR(__xludf.DUMMYFUNCTION("IFERROR(VALUE(REGEXEXTRACT(I111, ""No\.? of [Ss]ubs:\s*(\d+)"")), 0) + IFERROR(VALUE(REGEXEXTRACT(I111, ""Affected Users(?:\s*\(From IM\))?:?\s*(\d+)"")), 0) + IFERROR(VALUE(REGEXEXTRACT(I111, ""Affected Clients:\s*(\d+)"")), 0)"),0.0)</f>
        <v>0</v>
      </c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33" t="str">
        <f>IFERROR(__xludf.DUMMYFUNCTION("LEN(REGEXREPLACE(REGEXREPLACE(REGEXEXTRACT(I112, ""(?s)Affected Nodes/Links(.*)""), ""https://[^\s]+"", """"), ""[^/]"", """")) / 2"),"#N/A")</f>
        <v>#N/A</v>
      </c>
      <c r="AC112" s="34">
        <f>IFERROR(__xludf.DUMMYFUNCTION("IFERROR(VALUE(REGEXEXTRACT(I112, ""No\.? of [Ss]ubs:\s*(\d+)"")), 0) + IFERROR(VALUE(REGEXEXTRACT(I112, ""Affected Users(?:\s*\(From IM\))?:?\s*(\d+)"")), 0) + IFERROR(VALUE(REGEXEXTRACT(I112, ""Affected Clients:\s*(\d+)"")), 0)"),0.0)</f>
        <v>0</v>
      </c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33" t="str">
        <f>IFERROR(__xludf.DUMMYFUNCTION("LEN(REGEXREPLACE(REGEXREPLACE(REGEXEXTRACT(I113, ""(?s)Affected Nodes/Links(.*)""), ""https://[^\s]+"", """"), ""[^/]"", """")) / 2"),"#N/A")</f>
        <v>#N/A</v>
      </c>
      <c r="AC113" s="34">
        <f>IFERROR(__xludf.DUMMYFUNCTION("IFERROR(VALUE(REGEXEXTRACT(I113, ""No\.? of [Ss]ubs:\s*(\d+)"")), 0) + IFERROR(VALUE(REGEXEXTRACT(I113, ""Affected Users(?:\s*\(From IM\))?:?\s*(\d+)"")), 0) + IFERROR(VALUE(REGEXEXTRACT(I113, ""Affected Clients:\s*(\d+)"")), 0)"),0.0)</f>
        <v>0</v>
      </c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33" t="str">
        <f>IFERROR(__xludf.DUMMYFUNCTION("LEN(REGEXREPLACE(REGEXREPLACE(REGEXEXTRACT(I114, ""(?s)Affected Nodes/Links(.*)""), ""https://[^\s]+"", """"), ""[^/]"", """")) / 2"),"#N/A")</f>
        <v>#N/A</v>
      </c>
      <c r="AC114" s="34">
        <f>IFERROR(__xludf.DUMMYFUNCTION("IFERROR(VALUE(REGEXEXTRACT(I114, ""No\.? of [Ss]ubs:\s*(\d+)"")), 0) + IFERROR(VALUE(REGEXEXTRACT(I114, ""Affected Users(?:\s*\(From IM\))?:?\s*(\d+)"")), 0) + IFERROR(VALUE(REGEXEXTRACT(I114, ""Affected Clients:\s*(\d+)"")), 0)"),0.0)</f>
        <v>0</v>
      </c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33" t="str">
        <f>IFERROR(__xludf.DUMMYFUNCTION("LEN(REGEXREPLACE(REGEXREPLACE(REGEXEXTRACT(I115, ""(?s)Affected Nodes/Links(.*)""), ""https://[^\s]+"", """"), ""[^/]"", """")) / 2"),"#N/A")</f>
        <v>#N/A</v>
      </c>
      <c r="AC115" s="34">
        <f>IFERROR(__xludf.DUMMYFUNCTION("IFERROR(VALUE(REGEXEXTRACT(I115, ""No\.? of [Ss]ubs:\s*(\d+)"")), 0) + IFERROR(VALUE(REGEXEXTRACT(I115, ""Affected Users(?:\s*\(From IM\))?:?\s*(\d+)"")), 0) + IFERROR(VALUE(REGEXEXTRACT(I115, ""Affected Clients:\s*(\d+)"")), 0)"),0.0)</f>
        <v>0</v>
      </c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33" t="str">
        <f>IFERROR(__xludf.DUMMYFUNCTION("LEN(REGEXREPLACE(REGEXREPLACE(REGEXEXTRACT(I116, ""(?s)Affected Nodes/Links(.*)""), ""https://[^\s]+"", """"), ""[^/]"", """")) / 2"),"#N/A")</f>
        <v>#N/A</v>
      </c>
      <c r="AC116" s="34">
        <f>IFERROR(__xludf.DUMMYFUNCTION("IFERROR(VALUE(REGEXEXTRACT(I116, ""No\.? of [Ss]ubs:\s*(\d+)"")), 0) + IFERROR(VALUE(REGEXEXTRACT(I116, ""Affected Users(?:\s*\(From IM\))?:?\s*(\d+)"")), 0) + IFERROR(VALUE(REGEXEXTRACT(I116, ""Affected Clients:\s*(\d+)"")), 0)"),0.0)</f>
        <v>0</v>
      </c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33" t="str">
        <f>IFERROR(__xludf.DUMMYFUNCTION("LEN(REGEXREPLACE(REGEXREPLACE(REGEXEXTRACT(I117, ""(?s)Affected Nodes/Links(.*)""), ""https://[^\s]+"", """"), ""[^/]"", """")) / 2"),"#N/A")</f>
        <v>#N/A</v>
      </c>
      <c r="AC117" s="34">
        <f>IFERROR(__xludf.DUMMYFUNCTION("IFERROR(VALUE(REGEXEXTRACT(I117, ""No\.? of [Ss]ubs:\s*(\d+)"")), 0) + IFERROR(VALUE(REGEXEXTRACT(I117, ""Affected Users(?:\s*\(From IM\))?:?\s*(\d+)"")), 0) + IFERROR(VALUE(REGEXEXTRACT(I117, ""Affected Clients:\s*(\d+)"")), 0)"),0.0)</f>
        <v>0</v>
      </c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33" t="str">
        <f>IFERROR(__xludf.DUMMYFUNCTION("LEN(REGEXREPLACE(REGEXREPLACE(REGEXEXTRACT(I118, ""(?s)Affected Nodes/Links(.*)""), ""https://[^\s]+"", """"), ""[^/]"", """")) / 2"),"#N/A")</f>
        <v>#N/A</v>
      </c>
      <c r="AC118" s="34">
        <f>IFERROR(__xludf.DUMMYFUNCTION("IFERROR(VALUE(REGEXEXTRACT(I118, ""No\.? of [Ss]ubs:\s*(\d+)"")), 0) + IFERROR(VALUE(REGEXEXTRACT(I118, ""Affected Users(?:\s*\(From IM\))?:?\s*(\d+)"")), 0) + IFERROR(VALUE(REGEXEXTRACT(I118, ""Affected Clients:\s*(\d+)"")), 0)"),0.0)</f>
        <v>0</v>
      </c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33" t="str">
        <f>IFERROR(__xludf.DUMMYFUNCTION("LEN(REGEXREPLACE(REGEXREPLACE(REGEXEXTRACT(I119, ""(?s)Affected Nodes/Links(.*)""), ""https://[^\s]+"", """"), ""[^/]"", """")) / 2"),"#N/A")</f>
        <v>#N/A</v>
      </c>
      <c r="AC119" s="34">
        <f>IFERROR(__xludf.DUMMYFUNCTION("IFERROR(VALUE(REGEXEXTRACT(I119, ""No\.? of [Ss]ubs:\s*(\d+)"")), 0) + IFERROR(VALUE(REGEXEXTRACT(I119, ""Affected Users(?:\s*\(From IM\))?:?\s*(\d+)"")), 0) + IFERROR(VALUE(REGEXEXTRACT(I119, ""Affected Clients:\s*(\d+)"")), 0)"),0.0)</f>
        <v>0</v>
      </c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33" t="str">
        <f>IFERROR(__xludf.DUMMYFUNCTION("LEN(REGEXREPLACE(REGEXREPLACE(REGEXEXTRACT(I120, ""(?s)Affected Nodes/Links(.*)""), ""https://[^\s]+"", """"), ""[^/]"", """")) / 2"),"#N/A")</f>
        <v>#N/A</v>
      </c>
      <c r="AC120" s="34">
        <f>IFERROR(__xludf.DUMMYFUNCTION("IFERROR(VALUE(REGEXEXTRACT(I120, ""No\.? of [Ss]ubs:\s*(\d+)"")), 0) + IFERROR(VALUE(REGEXEXTRACT(I120, ""Affected Users(?:\s*\(From IM\))?:?\s*(\d+)"")), 0) + IFERROR(VALUE(REGEXEXTRACT(I120, ""Affected Clients:\s*(\d+)"")), 0)"),0.0)</f>
        <v>0</v>
      </c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33" t="str">
        <f>IFERROR(__xludf.DUMMYFUNCTION("LEN(REGEXREPLACE(REGEXREPLACE(REGEXEXTRACT(I121, ""(?s)Affected Nodes/Links(.*)""), ""https://[^\s]+"", """"), ""[^/]"", """")) / 2"),"#N/A")</f>
        <v>#N/A</v>
      </c>
      <c r="AC121" s="34">
        <f>IFERROR(__xludf.DUMMYFUNCTION("IFERROR(VALUE(REGEXEXTRACT(I121, ""No\.? of [Ss]ubs:\s*(\d+)"")), 0) + IFERROR(VALUE(REGEXEXTRACT(I121, ""Affected Users(?:\s*\(From IM\))?:?\s*(\d+)"")), 0) + IFERROR(VALUE(REGEXEXTRACT(I121, ""Affected Clients:\s*(\d+)"")), 0)"),0.0)</f>
        <v>0</v>
      </c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33" t="str">
        <f>IFERROR(__xludf.DUMMYFUNCTION("LEN(REGEXREPLACE(REGEXREPLACE(REGEXEXTRACT(I122, ""(?s)Affected Nodes/Links(.*)""), ""https://[^\s]+"", """"), ""[^/]"", """")) / 2"),"#N/A")</f>
        <v>#N/A</v>
      </c>
      <c r="AC122" s="34">
        <f>IFERROR(__xludf.DUMMYFUNCTION("IFERROR(VALUE(REGEXEXTRACT(I122, ""No\.? of [Ss]ubs:\s*(\d+)"")), 0) + IFERROR(VALUE(REGEXEXTRACT(I122, ""Affected Users(?:\s*\(From IM\))?:?\s*(\d+)"")), 0) + IFERROR(VALUE(REGEXEXTRACT(I122, ""Affected Clients:\s*(\d+)"")), 0)"),0.0)</f>
        <v>0</v>
      </c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33" t="str">
        <f>IFERROR(__xludf.DUMMYFUNCTION("LEN(REGEXREPLACE(REGEXREPLACE(REGEXEXTRACT(I123, ""(?s)Affected Nodes/Links(.*)""), ""https://[^\s]+"", """"), ""[^/]"", """")) / 2"),"#N/A")</f>
        <v>#N/A</v>
      </c>
      <c r="AC123" s="34">
        <f>IFERROR(__xludf.DUMMYFUNCTION("IFERROR(VALUE(REGEXEXTRACT(I123, ""No\.? of [Ss]ubs:\s*(\d+)"")), 0) + IFERROR(VALUE(REGEXEXTRACT(I123, ""Affected Users(?:\s*\(From IM\))?:?\s*(\d+)"")), 0) + IFERROR(VALUE(REGEXEXTRACT(I123, ""Affected Clients:\s*(\d+)"")), 0)"),0.0)</f>
        <v>0</v>
      </c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33" t="str">
        <f>IFERROR(__xludf.DUMMYFUNCTION("LEN(REGEXREPLACE(REGEXREPLACE(REGEXEXTRACT(I124, ""(?s)Affected Nodes/Links(.*)""), ""https://[^\s]+"", """"), ""[^/]"", """")) / 2"),"#N/A")</f>
        <v>#N/A</v>
      </c>
      <c r="AC124" s="34">
        <f>IFERROR(__xludf.DUMMYFUNCTION("IFERROR(VALUE(REGEXEXTRACT(I124, ""No\.? of [Ss]ubs:\s*(\d+)"")), 0) + IFERROR(VALUE(REGEXEXTRACT(I124, ""Affected Users(?:\s*\(From IM\))?:?\s*(\d+)"")), 0) + IFERROR(VALUE(REGEXEXTRACT(I124, ""Affected Clients:\s*(\d+)"")), 0)"),0.0)</f>
        <v>0</v>
      </c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33" t="str">
        <f>IFERROR(__xludf.DUMMYFUNCTION("LEN(REGEXREPLACE(REGEXREPLACE(REGEXEXTRACT(I125, ""(?s)Affected Nodes/Links(.*)""), ""https://[^\s]+"", """"), ""[^/]"", """")) / 2"),"#N/A")</f>
        <v>#N/A</v>
      </c>
      <c r="AC125" s="34">
        <f>IFERROR(__xludf.DUMMYFUNCTION("IFERROR(VALUE(REGEXEXTRACT(I125, ""No\.? of [Ss]ubs:\s*(\d+)"")), 0) + IFERROR(VALUE(REGEXEXTRACT(I125, ""Affected Users(?:\s*\(From IM\))?:?\s*(\d+)"")), 0) + IFERROR(VALUE(REGEXEXTRACT(I125, ""Affected Clients:\s*(\d+)"")), 0)"),0.0)</f>
        <v>0</v>
      </c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33" t="str">
        <f>IFERROR(__xludf.DUMMYFUNCTION("LEN(REGEXREPLACE(REGEXREPLACE(REGEXEXTRACT(I126, ""(?s)Affected Nodes/Links(.*)""), ""https://[^\s]+"", """"), ""[^/]"", """")) / 2"),"#N/A")</f>
        <v>#N/A</v>
      </c>
      <c r="AC126" s="34">
        <f>IFERROR(__xludf.DUMMYFUNCTION("IFERROR(VALUE(REGEXEXTRACT(I126, ""No\.? of [Ss]ubs:\s*(\d+)"")), 0) + IFERROR(VALUE(REGEXEXTRACT(I126, ""Affected Users(?:\s*\(From IM\))?:?\s*(\d+)"")), 0) + IFERROR(VALUE(REGEXEXTRACT(I126, ""Affected Clients:\s*(\d+)"")), 0)"),0.0)</f>
        <v>0</v>
      </c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33" t="str">
        <f>IFERROR(__xludf.DUMMYFUNCTION("LEN(REGEXREPLACE(REGEXREPLACE(REGEXEXTRACT(I127, ""(?s)Affected Nodes/Links(.*)""), ""https://[^\s]+"", """"), ""[^/]"", """")) / 2"),"#N/A")</f>
        <v>#N/A</v>
      </c>
      <c r="AC127" s="34">
        <f>IFERROR(__xludf.DUMMYFUNCTION("IFERROR(VALUE(REGEXEXTRACT(I127, ""No\.? of [Ss]ubs:\s*(\d+)"")), 0) + IFERROR(VALUE(REGEXEXTRACT(I127, ""Affected Users(?:\s*\(From IM\))?:?\s*(\d+)"")), 0) + IFERROR(VALUE(REGEXEXTRACT(I127, ""Affected Clients:\s*(\d+)"")), 0)"),0.0)</f>
        <v>0</v>
      </c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33" t="str">
        <f>IFERROR(__xludf.DUMMYFUNCTION("LEN(REGEXREPLACE(REGEXREPLACE(REGEXEXTRACT(I128, ""(?s)Affected Nodes/Links(.*)""), ""https://[^\s]+"", """"), ""[^/]"", """")) / 2"),"#N/A")</f>
        <v>#N/A</v>
      </c>
      <c r="AC128" s="34">
        <f>IFERROR(__xludf.DUMMYFUNCTION("IFERROR(VALUE(REGEXEXTRACT(I128, ""No\.? of [Ss]ubs:\s*(\d+)"")), 0) + IFERROR(VALUE(REGEXEXTRACT(I128, ""Affected Users(?:\s*\(From IM\))?:?\s*(\d+)"")), 0) + IFERROR(VALUE(REGEXEXTRACT(I128, ""Affected Clients:\s*(\d+)"")), 0)"),0.0)</f>
        <v>0</v>
      </c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33" t="str">
        <f>IFERROR(__xludf.DUMMYFUNCTION("LEN(REGEXREPLACE(REGEXREPLACE(REGEXEXTRACT(I129, ""(?s)Affected Nodes/Links(.*)""), ""https://[^\s]+"", """"), ""[^/]"", """")) / 2"),"#N/A")</f>
        <v>#N/A</v>
      </c>
      <c r="AC129" s="34">
        <f>IFERROR(__xludf.DUMMYFUNCTION("IFERROR(VALUE(REGEXEXTRACT(I129, ""No\.? of [Ss]ubs:\s*(\d+)"")), 0) + IFERROR(VALUE(REGEXEXTRACT(I129, ""Affected Users(?:\s*\(From IM\))?:?\s*(\d+)"")), 0) + IFERROR(VALUE(REGEXEXTRACT(I129, ""Affected Clients:\s*(\d+)"")), 0)"),0.0)</f>
        <v>0</v>
      </c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33" t="str">
        <f>IFERROR(__xludf.DUMMYFUNCTION("LEN(REGEXREPLACE(REGEXREPLACE(REGEXEXTRACT(I130, ""(?s)Affected Nodes/Links(.*)""), ""https://[^\s]+"", """"), ""[^/]"", """")) / 2"),"#N/A")</f>
        <v>#N/A</v>
      </c>
      <c r="AC130" s="34">
        <f>IFERROR(__xludf.DUMMYFUNCTION("IFERROR(VALUE(REGEXEXTRACT(I130, ""No\.? of [Ss]ubs:\s*(\d+)"")), 0) + IFERROR(VALUE(REGEXEXTRACT(I130, ""Affected Users(?:\s*\(From IM\))?:?\s*(\d+)"")), 0) + IFERROR(VALUE(REGEXEXTRACT(I130, ""Affected Clients:\s*(\d+)"")), 0)"),0.0)</f>
        <v>0</v>
      </c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33" t="str">
        <f>IFERROR(__xludf.DUMMYFUNCTION("LEN(REGEXREPLACE(REGEXREPLACE(REGEXEXTRACT(I131, ""(?s)Affected Nodes/Links(.*)""), ""https://[^\s]+"", """"), ""[^/]"", """")) / 2"),"#N/A")</f>
        <v>#N/A</v>
      </c>
      <c r="AC131" s="34">
        <f>IFERROR(__xludf.DUMMYFUNCTION("IFERROR(VALUE(REGEXEXTRACT(I131, ""No\.? of [Ss]ubs:\s*(\d+)"")), 0) + IFERROR(VALUE(REGEXEXTRACT(I131, ""Affected Users(?:\s*\(From IM\))?:?\s*(\d+)"")), 0) + IFERROR(VALUE(REGEXEXTRACT(I131, ""Affected Clients:\s*(\d+)"")), 0)"),0.0)</f>
        <v>0</v>
      </c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33" t="str">
        <f>IFERROR(__xludf.DUMMYFUNCTION("LEN(REGEXREPLACE(REGEXREPLACE(REGEXEXTRACT(I132, ""(?s)Affected Nodes/Links(.*)""), ""https://[^\s]+"", """"), ""[^/]"", """")) / 2"),"#N/A")</f>
        <v>#N/A</v>
      </c>
      <c r="AC132" s="34">
        <f>IFERROR(__xludf.DUMMYFUNCTION("IFERROR(VALUE(REGEXEXTRACT(I132, ""No\.? of [Ss]ubs:\s*(\d+)"")), 0) + IFERROR(VALUE(REGEXEXTRACT(I132, ""Affected Users(?:\s*\(From IM\))?:?\s*(\d+)"")), 0) + IFERROR(VALUE(REGEXEXTRACT(I132, ""Affected Clients:\s*(\d+)"")), 0)"),0.0)</f>
        <v>0</v>
      </c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33" t="str">
        <f>IFERROR(__xludf.DUMMYFUNCTION("LEN(REGEXREPLACE(REGEXREPLACE(REGEXEXTRACT(I133, ""(?s)Affected Nodes/Links(.*)""), ""https://[^\s]+"", """"), ""[^/]"", """")) / 2"),"#N/A")</f>
        <v>#N/A</v>
      </c>
      <c r="AC133" s="34">
        <f>IFERROR(__xludf.DUMMYFUNCTION("IFERROR(VALUE(REGEXEXTRACT(I133, ""No\.? of [Ss]ubs:\s*(\d+)"")), 0) + IFERROR(VALUE(REGEXEXTRACT(I133, ""Affected Users(?:\s*\(From IM\))?:?\s*(\d+)"")), 0) + IFERROR(VALUE(REGEXEXTRACT(I133, ""Affected Clients:\s*(\d+)"")), 0)"),0.0)</f>
        <v>0</v>
      </c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33" t="str">
        <f>IFERROR(__xludf.DUMMYFUNCTION("LEN(REGEXREPLACE(REGEXREPLACE(REGEXEXTRACT(I134, ""(?s)Affected Nodes/Links(.*)""), ""https://[^\s]+"", """"), ""[^/]"", """")) / 2"),"#N/A")</f>
        <v>#N/A</v>
      </c>
      <c r="AC134" s="34">
        <f>IFERROR(__xludf.DUMMYFUNCTION("IFERROR(VALUE(REGEXEXTRACT(I134, ""No\.? of [Ss]ubs:\s*(\d+)"")), 0) + IFERROR(VALUE(REGEXEXTRACT(I134, ""Affected Users(?:\s*\(From IM\))?:?\s*(\d+)"")), 0) + IFERROR(VALUE(REGEXEXTRACT(I134, ""Affected Clients:\s*(\d+)"")), 0)"),0.0)</f>
        <v>0</v>
      </c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33" t="str">
        <f>IFERROR(__xludf.DUMMYFUNCTION("LEN(REGEXREPLACE(REGEXREPLACE(REGEXEXTRACT(I135, ""(?s)Affected Nodes/Links(.*)""), ""https://[^\s]+"", """"), ""[^/]"", """")) / 2"),"#N/A")</f>
        <v>#N/A</v>
      </c>
      <c r="AC135" s="34">
        <f>IFERROR(__xludf.DUMMYFUNCTION("IFERROR(VALUE(REGEXEXTRACT(I135, ""No\.? of [Ss]ubs:\s*(\d+)"")), 0) + IFERROR(VALUE(REGEXEXTRACT(I135, ""Affected Users(?:\s*\(From IM\))?:?\s*(\d+)"")), 0) + IFERROR(VALUE(REGEXEXTRACT(I135, ""Affected Clients:\s*(\d+)"")), 0)"),0.0)</f>
        <v>0</v>
      </c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33" t="str">
        <f>IFERROR(__xludf.DUMMYFUNCTION("LEN(REGEXREPLACE(REGEXREPLACE(REGEXEXTRACT(I136, ""(?s)Affected Nodes/Links(.*)""), ""https://[^\s]+"", """"), ""[^/]"", """")) / 2"),"#N/A")</f>
        <v>#N/A</v>
      </c>
      <c r="AC136" s="34">
        <f>IFERROR(__xludf.DUMMYFUNCTION("IFERROR(VALUE(REGEXEXTRACT(I136, ""No\.? of [Ss]ubs:\s*(\d+)"")), 0) + IFERROR(VALUE(REGEXEXTRACT(I136, ""Affected Users(?:\s*\(From IM\))?:?\s*(\d+)"")), 0) + IFERROR(VALUE(REGEXEXTRACT(I136, ""Affected Clients:\s*(\d+)"")), 0)"),0.0)</f>
        <v>0</v>
      </c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33" t="str">
        <f>IFERROR(__xludf.DUMMYFUNCTION("LEN(REGEXREPLACE(REGEXREPLACE(REGEXEXTRACT(I137, ""(?s)Affected Nodes/Links(.*)""), ""https://[^\s]+"", """"), ""[^/]"", """")) / 2"),"#N/A")</f>
        <v>#N/A</v>
      </c>
      <c r="AC137" s="34">
        <f>IFERROR(__xludf.DUMMYFUNCTION("IFERROR(VALUE(REGEXEXTRACT(I137, ""No\.? of [Ss]ubs:\s*(\d+)"")), 0) + IFERROR(VALUE(REGEXEXTRACT(I137, ""Affected Users(?:\s*\(From IM\))?:?\s*(\d+)"")), 0) + IFERROR(VALUE(REGEXEXTRACT(I137, ""Affected Clients:\s*(\d+)"")), 0)"),0.0)</f>
        <v>0</v>
      </c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33" t="str">
        <f>IFERROR(__xludf.DUMMYFUNCTION("LEN(REGEXREPLACE(REGEXREPLACE(REGEXEXTRACT(I138, ""(?s)Affected Nodes/Links(.*)""), ""https://[^\s]+"", """"), ""[^/]"", """")) / 2"),"#N/A")</f>
        <v>#N/A</v>
      </c>
      <c r="AC138" s="34">
        <f>IFERROR(__xludf.DUMMYFUNCTION("IFERROR(VALUE(REGEXEXTRACT(I138, ""No\.? of [Ss]ubs:\s*(\d+)"")), 0) + IFERROR(VALUE(REGEXEXTRACT(I138, ""Affected Users(?:\s*\(From IM\))?:?\s*(\d+)"")), 0) + IFERROR(VALUE(REGEXEXTRACT(I138, ""Affected Clients:\s*(\d+)"")), 0)"),0.0)</f>
        <v>0</v>
      </c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33" t="str">
        <f>IFERROR(__xludf.DUMMYFUNCTION("LEN(REGEXREPLACE(REGEXREPLACE(REGEXEXTRACT(I139, ""(?s)Affected Nodes/Links(.*)""), ""https://[^\s]+"", """"), ""[^/]"", """")) / 2"),"#N/A")</f>
        <v>#N/A</v>
      </c>
      <c r="AC139" s="34">
        <f>IFERROR(__xludf.DUMMYFUNCTION("IFERROR(VALUE(REGEXEXTRACT(I139, ""No\.? of [Ss]ubs:\s*(\d+)"")), 0) + IFERROR(VALUE(REGEXEXTRACT(I139, ""Affected Users(?:\s*\(From IM\))?:?\s*(\d+)"")), 0) + IFERROR(VALUE(REGEXEXTRACT(I139, ""Affected Clients:\s*(\d+)"")), 0)"),0.0)</f>
        <v>0</v>
      </c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33" t="str">
        <f>IFERROR(__xludf.DUMMYFUNCTION("LEN(REGEXREPLACE(REGEXREPLACE(REGEXEXTRACT(I140, ""(?s)Affected Nodes/Links(.*)""), ""https://[^\s]+"", """"), ""[^/]"", """")) / 2"),"#N/A")</f>
        <v>#N/A</v>
      </c>
      <c r="AC140" s="34">
        <f>IFERROR(__xludf.DUMMYFUNCTION("IFERROR(VALUE(REGEXEXTRACT(I140, ""No\.? of [Ss]ubs:\s*(\d+)"")), 0) + IFERROR(VALUE(REGEXEXTRACT(I140, ""Affected Users(?:\s*\(From IM\))?:?\s*(\d+)"")), 0) + IFERROR(VALUE(REGEXEXTRACT(I140, ""Affected Clients:\s*(\d+)"")), 0)"),0.0)</f>
        <v>0</v>
      </c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33" t="str">
        <f>IFERROR(__xludf.DUMMYFUNCTION("LEN(REGEXREPLACE(REGEXREPLACE(REGEXEXTRACT(I141, ""(?s)Affected Nodes/Links(.*)""), ""https://[^\s]+"", """"), ""[^/]"", """")) / 2"),"#N/A")</f>
        <v>#N/A</v>
      </c>
      <c r="AC141" s="34">
        <f>IFERROR(__xludf.DUMMYFUNCTION("IFERROR(VALUE(REGEXEXTRACT(I141, ""No\.? of [Ss]ubs:\s*(\d+)"")), 0) + IFERROR(VALUE(REGEXEXTRACT(I141, ""Affected Users(?:\s*\(From IM\))?:?\s*(\d+)"")), 0) + IFERROR(VALUE(REGEXEXTRACT(I141, ""Affected Clients:\s*(\d+)"")), 0)"),0.0)</f>
        <v>0</v>
      </c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33" t="str">
        <f>IFERROR(__xludf.DUMMYFUNCTION("LEN(REGEXREPLACE(REGEXREPLACE(REGEXEXTRACT(I142, ""(?s)Affected Nodes/Links(.*)""), ""https://[^\s]+"", """"), ""[^/]"", """")) / 2"),"#N/A")</f>
        <v>#N/A</v>
      </c>
      <c r="AC142" s="34">
        <f>IFERROR(__xludf.DUMMYFUNCTION("IFERROR(VALUE(REGEXEXTRACT(I142, ""No\.? of [Ss]ubs:\s*(\d+)"")), 0) + IFERROR(VALUE(REGEXEXTRACT(I142, ""Affected Users(?:\s*\(From IM\))?:?\s*(\d+)"")), 0) + IFERROR(VALUE(REGEXEXTRACT(I142, ""Affected Clients:\s*(\d+)"")), 0)"),0.0)</f>
        <v>0</v>
      </c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33" t="str">
        <f>IFERROR(__xludf.DUMMYFUNCTION("LEN(REGEXREPLACE(REGEXREPLACE(REGEXEXTRACT(I143, ""(?s)Affected Nodes/Links(.*)""), ""https://[^\s]+"", """"), ""[^/]"", """")) / 2"),"#N/A")</f>
        <v>#N/A</v>
      </c>
      <c r="AC143" s="34">
        <f>IFERROR(__xludf.DUMMYFUNCTION("IFERROR(VALUE(REGEXEXTRACT(I143, ""No\.? of [Ss]ubs:\s*(\d+)"")), 0) + IFERROR(VALUE(REGEXEXTRACT(I143, ""Affected Users(?:\s*\(From IM\))?:?\s*(\d+)"")), 0) + IFERROR(VALUE(REGEXEXTRACT(I143, ""Affected Clients:\s*(\d+)"")), 0)"),0.0)</f>
        <v>0</v>
      </c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33" t="str">
        <f>IFERROR(__xludf.DUMMYFUNCTION("LEN(REGEXREPLACE(REGEXREPLACE(REGEXEXTRACT(I144, ""(?s)Affected Nodes/Links(.*)""), ""https://[^\s]+"", """"), ""[^/]"", """")) / 2"),"#N/A")</f>
        <v>#N/A</v>
      </c>
      <c r="AC144" s="34">
        <f>IFERROR(__xludf.DUMMYFUNCTION("IFERROR(VALUE(REGEXEXTRACT(I144, ""No\.? of [Ss]ubs:\s*(\d+)"")), 0) + IFERROR(VALUE(REGEXEXTRACT(I144, ""Affected Users(?:\s*\(From IM\))?:?\s*(\d+)"")), 0) + IFERROR(VALUE(REGEXEXTRACT(I144, ""Affected Clients:\s*(\d+)"")), 0)"),0.0)</f>
        <v>0</v>
      </c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33" t="str">
        <f>IFERROR(__xludf.DUMMYFUNCTION("LEN(REGEXREPLACE(REGEXREPLACE(REGEXEXTRACT(I145, ""(?s)Affected Nodes/Links(.*)""), ""https://[^\s]+"", """"), ""[^/]"", """")) / 2"),"#N/A")</f>
        <v>#N/A</v>
      </c>
      <c r="AC145" s="34">
        <f>IFERROR(__xludf.DUMMYFUNCTION("IFERROR(VALUE(REGEXEXTRACT(I145, ""No\.? of [Ss]ubs:\s*(\d+)"")), 0) + IFERROR(VALUE(REGEXEXTRACT(I145, ""Affected Users(?:\s*\(From IM\))?:?\s*(\d+)"")), 0) + IFERROR(VALUE(REGEXEXTRACT(I145, ""Affected Clients:\s*(\d+)"")), 0)"),0.0)</f>
        <v>0</v>
      </c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33" t="str">
        <f>IFERROR(__xludf.DUMMYFUNCTION("LEN(REGEXREPLACE(REGEXREPLACE(REGEXEXTRACT(I146, ""(?s)Affected Nodes/Links(.*)""), ""https://[^\s]+"", """"), ""[^/]"", """")) / 2"),"#N/A")</f>
        <v>#N/A</v>
      </c>
      <c r="AC146" s="34">
        <f>IFERROR(__xludf.DUMMYFUNCTION("IFERROR(VALUE(REGEXEXTRACT(I146, ""No\.? of [Ss]ubs:\s*(\d+)"")), 0) + IFERROR(VALUE(REGEXEXTRACT(I146, ""Affected Users(?:\s*\(From IM\))?:?\s*(\d+)"")), 0) + IFERROR(VALUE(REGEXEXTRACT(I146, ""Affected Clients:\s*(\d+)"")), 0)"),0.0)</f>
        <v>0</v>
      </c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33" t="str">
        <f>IFERROR(__xludf.DUMMYFUNCTION("LEN(REGEXREPLACE(REGEXREPLACE(REGEXEXTRACT(I147, ""(?s)Affected Nodes/Links(.*)""), ""https://[^\s]+"", """"), ""[^/]"", """")) / 2"),"#N/A")</f>
        <v>#N/A</v>
      </c>
      <c r="AC147" s="34">
        <f>IFERROR(__xludf.DUMMYFUNCTION("IFERROR(VALUE(REGEXEXTRACT(I147, ""No\.? of [Ss]ubs:\s*(\d+)"")), 0) + IFERROR(VALUE(REGEXEXTRACT(I147, ""Affected Users(?:\s*\(From IM\))?:?\s*(\d+)"")), 0) + IFERROR(VALUE(REGEXEXTRACT(I147, ""Affected Clients:\s*(\d+)"")), 0)"),0.0)</f>
        <v>0</v>
      </c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33" t="str">
        <f>IFERROR(__xludf.DUMMYFUNCTION("LEN(REGEXREPLACE(REGEXREPLACE(REGEXEXTRACT(I148, ""(?s)Affected Nodes/Links(.*)""), ""https://[^\s]+"", """"), ""[^/]"", """")) / 2"),"#N/A")</f>
        <v>#N/A</v>
      </c>
      <c r="AC148" s="34">
        <f>IFERROR(__xludf.DUMMYFUNCTION("IFERROR(VALUE(REGEXEXTRACT(I148, ""No\.? of [Ss]ubs:\s*(\d+)"")), 0) + IFERROR(VALUE(REGEXEXTRACT(I148, ""Affected Users(?:\s*\(From IM\))?:?\s*(\d+)"")), 0) + IFERROR(VALUE(REGEXEXTRACT(I148, ""Affected Clients:\s*(\d+)"")), 0)"),0.0)</f>
        <v>0</v>
      </c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33" t="str">
        <f>IFERROR(__xludf.DUMMYFUNCTION("LEN(REGEXREPLACE(REGEXREPLACE(REGEXEXTRACT(I149, ""(?s)Affected Nodes/Links(.*)""), ""https://[^\s]+"", """"), ""[^/]"", """")) / 2"),"#N/A")</f>
        <v>#N/A</v>
      </c>
      <c r="AC149" s="34">
        <f>IFERROR(__xludf.DUMMYFUNCTION("IFERROR(VALUE(REGEXEXTRACT(I149, ""No\.? of [Ss]ubs:\s*(\d+)"")), 0) + IFERROR(VALUE(REGEXEXTRACT(I149, ""Affected Users(?:\s*\(From IM\))?:?\s*(\d+)"")), 0) + IFERROR(VALUE(REGEXEXTRACT(I149, ""Affected Clients:\s*(\d+)"")), 0)"),0.0)</f>
        <v>0</v>
      </c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33" t="str">
        <f>IFERROR(__xludf.DUMMYFUNCTION("LEN(REGEXREPLACE(REGEXREPLACE(REGEXEXTRACT(I150, ""(?s)Affected Nodes/Links(.*)""), ""https://[^\s]+"", """"), ""[^/]"", """")) / 2"),"#N/A")</f>
        <v>#N/A</v>
      </c>
      <c r="AC150" s="34">
        <f>IFERROR(__xludf.DUMMYFUNCTION("IFERROR(VALUE(REGEXEXTRACT(I150, ""No\.? of [Ss]ubs:\s*(\d+)"")), 0) + IFERROR(VALUE(REGEXEXTRACT(I150, ""Affected Users(?:\s*\(From IM\))?:?\s*(\d+)"")), 0) + IFERROR(VALUE(REGEXEXTRACT(I150, ""Affected Clients:\s*(\d+)"")), 0)"),0.0)</f>
        <v>0</v>
      </c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33" t="str">
        <f>IFERROR(__xludf.DUMMYFUNCTION("LEN(REGEXREPLACE(REGEXREPLACE(REGEXEXTRACT(I151, ""(?s)Affected Nodes/Links(.*)""), ""https://[^\s]+"", """"), ""[^/]"", """")) / 2"),"#N/A")</f>
        <v>#N/A</v>
      </c>
      <c r="AC151" s="34">
        <f>IFERROR(__xludf.DUMMYFUNCTION("IFERROR(VALUE(REGEXEXTRACT(I151, ""No\.? of [Ss]ubs:\s*(\d+)"")), 0) + IFERROR(VALUE(REGEXEXTRACT(I151, ""Affected Users(?:\s*\(From IM\))?:?\s*(\d+)"")), 0) + IFERROR(VALUE(REGEXEXTRACT(I151, ""Affected Clients:\s*(\d+)"")), 0)"),0.0)</f>
        <v>0</v>
      </c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33" t="str">
        <f>IFERROR(__xludf.DUMMYFUNCTION("LEN(REGEXREPLACE(REGEXREPLACE(REGEXEXTRACT(I152, ""(?s)Affected Nodes/Links(.*)""), ""https://[^\s]+"", """"), ""[^/]"", """")) / 2"),"#N/A")</f>
        <v>#N/A</v>
      </c>
      <c r="AC152" s="34">
        <f>IFERROR(__xludf.DUMMYFUNCTION("IFERROR(VALUE(REGEXEXTRACT(I152, ""No\.? of [Ss]ubs:\s*(\d+)"")), 0) + IFERROR(VALUE(REGEXEXTRACT(I152, ""Affected Users(?:\s*\(From IM\))?:?\s*(\d+)"")), 0) + IFERROR(VALUE(REGEXEXTRACT(I152, ""Affected Clients:\s*(\d+)"")), 0)"),0.0)</f>
        <v>0</v>
      </c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33" t="str">
        <f>IFERROR(__xludf.DUMMYFUNCTION("LEN(REGEXREPLACE(REGEXREPLACE(REGEXEXTRACT(I153, ""(?s)Affected Nodes/Links(.*)""), ""https://[^\s]+"", """"), ""[^/]"", """")) / 2"),"#N/A")</f>
        <v>#N/A</v>
      </c>
      <c r="AC153" s="34">
        <f>IFERROR(__xludf.DUMMYFUNCTION("IFERROR(VALUE(REGEXEXTRACT(I153, ""No\.? of [Ss]ubs:\s*(\d+)"")), 0) + IFERROR(VALUE(REGEXEXTRACT(I153, ""Affected Users(?:\s*\(From IM\))?:?\s*(\d+)"")), 0) + IFERROR(VALUE(REGEXEXTRACT(I153, ""Affected Clients:\s*(\d+)"")), 0)"),0.0)</f>
        <v>0</v>
      </c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33" t="str">
        <f>IFERROR(__xludf.DUMMYFUNCTION("LEN(REGEXREPLACE(REGEXREPLACE(REGEXEXTRACT(I154, ""(?s)Affected Nodes/Links(.*)""), ""https://[^\s]+"", """"), ""[^/]"", """")) / 2"),"#N/A")</f>
        <v>#N/A</v>
      </c>
      <c r="AC154" s="34">
        <f>IFERROR(__xludf.DUMMYFUNCTION("IFERROR(VALUE(REGEXEXTRACT(I154, ""No\.? of [Ss]ubs:\s*(\d+)"")), 0) + IFERROR(VALUE(REGEXEXTRACT(I154, ""Affected Users(?:\s*\(From IM\))?:?\s*(\d+)"")), 0) + IFERROR(VALUE(REGEXEXTRACT(I154, ""Affected Clients:\s*(\d+)"")), 0)"),0.0)</f>
        <v>0</v>
      </c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33" t="str">
        <f>IFERROR(__xludf.DUMMYFUNCTION("LEN(REGEXREPLACE(REGEXREPLACE(REGEXEXTRACT(I155, ""(?s)Affected Nodes/Links(.*)""), ""https://[^\s]+"", """"), ""[^/]"", """")) / 2"),"#N/A")</f>
        <v>#N/A</v>
      </c>
      <c r="AC155" s="34">
        <f>IFERROR(__xludf.DUMMYFUNCTION("IFERROR(VALUE(REGEXEXTRACT(I155, ""No\.? of [Ss]ubs:\s*(\d+)"")), 0) + IFERROR(VALUE(REGEXEXTRACT(I155, ""Affected Users(?:\s*\(From IM\))?:?\s*(\d+)"")), 0) + IFERROR(VALUE(REGEXEXTRACT(I155, ""Affected Clients:\s*(\d+)"")), 0)"),0.0)</f>
        <v>0</v>
      </c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33" t="str">
        <f>IFERROR(__xludf.DUMMYFUNCTION("LEN(REGEXREPLACE(REGEXREPLACE(REGEXEXTRACT(I156, ""(?s)Affected Nodes/Links(.*)""), ""https://[^\s]+"", """"), ""[^/]"", """")) / 2"),"#N/A")</f>
        <v>#N/A</v>
      </c>
      <c r="AC156" s="34">
        <f>IFERROR(__xludf.DUMMYFUNCTION("IFERROR(VALUE(REGEXEXTRACT(I156, ""No\.? of [Ss]ubs:\s*(\d+)"")), 0) + IFERROR(VALUE(REGEXEXTRACT(I156, ""Affected Users(?:\s*\(From IM\))?:?\s*(\d+)"")), 0) + IFERROR(VALUE(REGEXEXTRACT(I156, ""Affected Clients:\s*(\d+)"")), 0)"),0.0)</f>
        <v>0</v>
      </c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33" t="str">
        <f>IFERROR(__xludf.DUMMYFUNCTION("LEN(REGEXREPLACE(REGEXREPLACE(REGEXEXTRACT(I157, ""(?s)Affected Nodes/Links(.*)""), ""https://[^\s]+"", """"), ""[^/]"", """")) / 2"),"#N/A")</f>
        <v>#N/A</v>
      </c>
      <c r="AC157" s="34">
        <f>IFERROR(__xludf.DUMMYFUNCTION("IFERROR(VALUE(REGEXEXTRACT(I157, ""No\.? of [Ss]ubs:\s*(\d+)"")), 0) + IFERROR(VALUE(REGEXEXTRACT(I157, ""Affected Users(?:\s*\(From IM\))?:?\s*(\d+)"")), 0) + IFERROR(VALUE(REGEXEXTRACT(I157, ""Affected Clients:\s*(\d+)"")), 0)"),0.0)</f>
        <v>0</v>
      </c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33" t="str">
        <f>IFERROR(__xludf.DUMMYFUNCTION("LEN(REGEXREPLACE(REGEXREPLACE(REGEXEXTRACT(I158, ""(?s)Affected Nodes/Links(.*)""), ""https://[^\s]+"", """"), ""[^/]"", """")) / 2"),"#N/A")</f>
        <v>#N/A</v>
      </c>
      <c r="AC158" s="34">
        <f>IFERROR(__xludf.DUMMYFUNCTION("IFERROR(VALUE(REGEXEXTRACT(I158, ""No\.? of [Ss]ubs:\s*(\d+)"")), 0) + IFERROR(VALUE(REGEXEXTRACT(I158, ""Affected Users(?:\s*\(From IM\))?:?\s*(\d+)"")), 0) + IFERROR(VALUE(REGEXEXTRACT(I158, ""Affected Clients:\s*(\d+)"")), 0)"),0.0)</f>
        <v>0</v>
      </c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33" t="str">
        <f>IFERROR(__xludf.DUMMYFUNCTION("LEN(REGEXREPLACE(REGEXREPLACE(REGEXEXTRACT(I159, ""(?s)Affected Nodes/Links(.*)""), ""https://[^\s]+"", """"), ""[^/]"", """")) / 2"),"#N/A")</f>
        <v>#N/A</v>
      </c>
      <c r="AC159" s="34">
        <f>IFERROR(__xludf.DUMMYFUNCTION("IFERROR(VALUE(REGEXEXTRACT(I159, ""No\.? of [Ss]ubs:\s*(\d+)"")), 0) + IFERROR(VALUE(REGEXEXTRACT(I159, ""Affected Users(?:\s*\(From IM\))?:?\s*(\d+)"")), 0) + IFERROR(VALUE(REGEXEXTRACT(I159, ""Affected Clients:\s*(\d+)"")), 0)"),0.0)</f>
        <v>0</v>
      </c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33" t="str">
        <f>IFERROR(__xludf.DUMMYFUNCTION("LEN(REGEXREPLACE(REGEXREPLACE(REGEXEXTRACT(I160, ""(?s)Affected Nodes/Links(.*)""), ""https://[^\s]+"", """"), ""[^/]"", """")) / 2"),"#N/A")</f>
        <v>#N/A</v>
      </c>
      <c r="AC160" s="34">
        <f>IFERROR(__xludf.DUMMYFUNCTION("IFERROR(VALUE(REGEXEXTRACT(I160, ""No\.? of [Ss]ubs:\s*(\d+)"")), 0) + IFERROR(VALUE(REGEXEXTRACT(I160, ""Affected Users(?:\s*\(From IM\))?:?\s*(\d+)"")), 0) + IFERROR(VALUE(REGEXEXTRACT(I160, ""Affected Clients:\s*(\d+)"")), 0)"),0.0)</f>
        <v>0</v>
      </c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33" t="str">
        <f>IFERROR(__xludf.DUMMYFUNCTION("LEN(REGEXREPLACE(REGEXREPLACE(REGEXEXTRACT(I161, ""(?s)Affected Nodes/Links(.*)""), ""https://[^\s]+"", """"), ""[^/]"", """")) / 2"),"#N/A")</f>
        <v>#N/A</v>
      </c>
      <c r="AC161" s="34">
        <f>IFERROR(__xludf.DUMMYFUNCTION("IFERROR(VALUE(REGEXEXTRACT(I161, ""No\.? of [Ss]ubs:\s*(\d+)"")), 0) + IFERROR(VALUE(REGEXEXTRACT(I161, ""Affected Users(?:\s*\(From IM\))?:?\s*(\d+)"")), 0) + IFERROR(VALUE(REGEXEXTRACT(I161, ""Affected Clients:\s*(\d+)"")), 0)"),0.0)</f>
        <v>0</v>
      </c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33" t="str">
        <f>IFERROR(__xludf.DUMMYFUNCTION("LEN(REGEXREPLACE(REGEXREPLACE(REGEXEXTRACT(I162, ""(?s)Affected Nodes/Links(.*)""), ""https://[^\s]+"", """"), ""[^/]"", """")) / 2"),"#N/A")</f>
        <v>#N/A</v>
      </c>
      <c r="AC162" s="34">
        <f>IFERROR(__xludf.DUMMYFUNCTION("IFERROR(VALUE(REGEXEXTRACT(I162, ""No\.? of [Ss]ubs:\s*(\d+)"")), 0) + IFERROR(VALUE(REGEXEXTRACT(I162, ""Affected Users(?:\s*\(From IM\))?:?\s*(\d+)"")), 0) + IFERROR(VALUE(REGEXEXTRACT(I162, ""Affected Clients:\s*(\d+)"")), 0)"),0.0)</f>
        <v>0</v>
      </c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33" t="str">
        <f>IFERROR(__xludf.DUMMYFUNCTION("LEN(REGEXREPLACE(REGEXREPLACE(REGEXEXTRACT(I163, ""(?s)Affected Nodes/Links(.*)""), ""https://[^\s]+"", """"), ""[^/]"", """")) / 2"),"#N/A")</f>
        <v>#N/A</v>
      </c>
      <c r="AC163" s="34">
        <f>IFERROR(__xludf.DUMMYFUNCTION("IFERROR(VALUE(REGEXEXTRACT(I163, ""No\.? of [Ss]ubs:\s*(\d+)"")), 0) + IFERROR(VALUE(REGEXEXTRACT(I163, ""Affected Users(?:\s*\(From IM\))?:?\s*(\d+)"")), 0) + IFERROR(VALUE(REGEXEXTRACT(I163, ""Affected Clients:\s*(\d+)"")), 0)"),0.0)</f>
        <v>0</v>
      </c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33" t="str">
        <f>IFERROR(__xludf.DUMMYFUNCTION("LEN(REGEXREPLACE(REGEXREPLACE(REGEXEXTRACT(I164, ""(?s)Affected Nodes/Links(.*)""), ""https://[^\s]+"", """"), ""[^/]"", """")) / 2"),"#N/A")</f>
        <v>#N/A</v>
      </c>
      <c r="AC164" s="34">
        <f>IFERROR(__xludf.DUMMYFUNCTION("IFERROR(VALUE(REGEXEXTRACT(I164, ""No\.? of [Ss]ubs:\s*(\d+)"")), 0) + IFERROR(VALUE(REGEXEXTRACT(I164, ""Affected Users(?:\s*\(From IM\))?:?\s*(\d+)"")), 0) + IFERROR(VALUE(REGEXEXTRACT(I164, ""Affected Clients:\s*(\d+)"")), 0)"),0.0)</f>
        <v>0</v>
      </c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33" t="str">
        <f>IFERROR(__xludf.DUMMYFUNCTION("LEN(REGEXREPLACE(REGEXREPLACE(REGEXEXTRACT(I165, ""(?s)Affected Nodes/Links(.*)""), ""https://[^\s]+"", """"), ""[^/]"", """")) / 2"),"#N/A")</f>
        <v>#N/A</v>
      </c>
      <c r="AC165" s="34">
        <f>IFERROR(__xludf.DUMMYFUNCTION("IFERROR(VALUE(REGEXEXTRACT(I165, ""No\.? of [Ss]ubs:\s*(\d+)"")), 0) + IFERROR(VALUE(REGEXEXTRACT(I165, ""Affected Users(?:\s*\(From IM\))?:?\s*(\d+)"")), 0) + IFERROR(VALUE(REGEXEXTRACT(I165, ""Affected Clients:\s*(\d+)"")), 0)"),0.0)</f>
        <v>0</v>
      </c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33" t="str">
        <f>IFERROR(__xludf.DUMMYFUNCTION("LEN(REGEXREPLACE(REGEXREPLACE(REGEXEXTRACT(I166, ""(?s)Affected Nodes/Links(.*)""), ""https://[^\s]+"", """"), ""[^/]"", """")) / 2"),"#N/A")</f>
        <v>#N/A</v>
      </c>
      <c r="AC166" s="34">
        <f>IFERROR(__xludf.DUMMYFUNCTION("IFERROR(VALUE(REGEXEXTRACT(I166, ""No\.? of [Ss]ubs:\s*(\d+)"")), 0) + IFERROR(VALUE(REGEXEXTRACT(I166, ""Affected Users(?:\s*\(From IM\))?:?\s*(\d+)"")), 0) + IFERROR(VALUE(REGEXEXTRACT(I166, ""Affected Clients:\s*(\d+)"")), 0)"),0.0)</f>
        <v>0</v>
      </c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33" t="str">
        <f>IFERROR(__xludf.DUMMYFUNCTION("LEN(REGEXREPLACE(REGEXREPLACE(REGEXEXTRACT(I167, ""(?s)Affected Nodes/Links(.*)""), ""https://[^\s]+"", """"), ""[^/]"", """")) / 2"),"#N/A")</f>
        <v>#N/A</v>
      </c>
      <c r="AC167" s="34">
        <f>IFERROR(__xludf.DUMMYFUNCTION("IFERROR(VALUE(REGEXEXTRACT(I167, ""No\.? of [Ss]ubs:\s*(\d+)"")), 0) + IFERROR(VALUE(REGEXEXTRACT(I167, ""Affected Users(?:\s*\(From IM\))?:?\s*(\d+)"")), 0) + IFERROR(VALUE(REGEXEXTRACT(I167, ""Affected Clients:\s*(\d+)"")), 0)"),0.0)</f>
        <v>0</v>
      </c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33" t="str">
        <f>IFERROR(__xludf.DUMMYFUNCTION("LEN(REGEXREPLACE(REGEXREPLACE(REGEXEXTRACT(I168, ""(?s)Affected Nodes/Links(.*)""), ""https://[^\s]+"", """"), ""[^/]"", """")) / 2"),"#N/A")</f>
        <v>#N/A</v>
      </c>
      <c r="AC168" s="34">
        <f>IFERROR(__xludf.DUMMYFUNCTION("IFERROR(VALUE(REGEXEXTRACT(I168, ""No\.? of [Ss]ubs:\s*(\d+)"")), 0) + IFERROR(VALUE(REGEXEXTRACT(I168, ""Affected Users(?:\s*\(From IM\))?:?\s*(\d+)"")), 0) + IFERROR(VALUE(REGEXEXTRACT(I168, ""Affected Clients:\s*(\d+)"")), 0)"),0.0)</f>
        <v>0</v>
      </c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33" t="str">
        <f>IFERROR(__xludf.DUMMYFUNCTION("LEN(REGEXREPLACE(REGEXREPLACE(REGEXEXTRACT(I169, ""(?s)Affected Nodes/Links(.*)""), ""https://[^\s]+"", """"), ""[^/]"", """")) / 2"),"#N/A")</f>
        <v>#N/A</v>
      </c>
      <c r="AC169" s="34">
        <f>IFERROR(__xludf.DUMMYFUNCTION("IFERROR(VALUE(REGEXEXTRACT(I169, ""No\.? of [Ss]ubs:\s*(\d+)"")), 0) + IFERROR(VALUE(REGEXEXTRACT(I169, ""Affected Users(?:\s*\(From IM\))?:?\s*(\d+)"")), 0) + IFERROR(VALUE(REGEXEXTRACT(I169, ""Affected Clients:\s*(\d+)"")), 0)"),0.0)</f>
        <v>0</v>
      </c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33" t="str">
        <f>IFERROR(__xludf.DUMMYFUNCTION("LEN(REGEXREPLACE(REGEXREPLACE(REGEXEXTRACT(I170, ""(?s)Affected Nodes/Links(.*)""), ""https://[^\s]+"", """"), ""[^/]"", """")) / 2"),"#N/A")</f>
        <v>#N/A</v>
      </c>
      <c r="AC170" s="34">
        <f>IFERROR(__xludf.DUMMYFUNCTION("IFERROR(VALUE(REGEXEXTRACT(I170, ""No\.? of [Ss]ubs:\s*(\d+)"")), 0) + IFERROR(VALUE(REGEXEXTRACT(I170, ""Affected Users(?:\s*\(From IM\))?:?\s*(\d+)"")), 0) + IFERROR(VALUE(REGEXEXTRACT(I170, ""Affected Clients:\s*(\d+)"")), 0)"),0.0)</f>
        <v>0</v>
      </c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33" t="str">
        <f>IFERROR(__xludf.DUMMYFUNCTION("LEN(REGEXREPLACE(REGEXREPLACE(REGEXEXTRACT(I171, ""(?s)Affected Nodes/Links(.*)""), ""https://[^\s]+"", """"), ""[^/]"", """")) / 2"),"#N/A")</f>
        <v>#N/A</v>
      </c>
      <c r="AC171" s="34">
        <f>IFERROR(__xludf.DUMMYFUNCTION("IFERROR(VALUE(REGEXEXTRACT(I171, ""No\.? of [Ss]ubs:\s*(\d+)"")), 0) + IFERROR(VALUE(REGEXEXTRACT(I171, ""Affected Users(?:\s*\(From IM\))?:?\s*(\d+)"")), 0) + IFERROR(VALUE(REGEXEXTRACT(I171, ""Affected Clients:\s*(\d+)"")), 0)"),0.0)</f>
        <v>0</v>
      </c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33" t="str">
        <f>IFERROR(__xludf.DUMMYFUNCTION("LEN(REGEXREPLACE(REGEXREPLACE(REGEXEXTRACT(I172, ""(?s)Affected Nodes/Links(.*)""), ""https://[^\s]+"", """"), ""[^/]"", """")) / 2"),"#N/A")</f>
        <v>#N/A</v>
      </c>
      <c r="AC172" s="34">
        <f>IFERROR(__xludf.DUMMYFUNCTION("IFERROR(VALUE(REGEXEXTRACT(I172, ""No\.? of [Ss]ubs:\s*(\d+)"")), 0) + IFERROR(VALUE(REGEXEXTRACT(I172, ""Affected Users(?:\s*\(From IM\))?:?\s*(\d+)"")), 0) + IFERROR(VALUE(REGEXEXTRACT(I172, ""Affected Clients:\s*(\d+)"")), 0)"),0.0)</f>
        <v>0</v>
      </c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33" t="str">
        <f>IFERROR(__xludf.DUMMYFUNCTION("LEN(REGEXREPLACE(REGEXREPLACE(REGEXEXTRACT(I173, ""(?s)Affected Nodes/Links(.*)""), ""https://[^\s]+"", """"), ""[^/]"", """")) / 2"),"#N/A")</f>
        <v>#N/A</v>
      </c>
      <c r="AC173" s="34">
        <f>IFERROR(__xludf.DUMMYFUNCTION("IFERROR(VALUE(REGEXEXTRACT(I173, ""No\.? of [Ss]ubs:\s*(\d+)"")), 0) + IFERROR(VALUE(REGEXEXTRACT(I173, ""Affected Users(?:\s*\(From IM\))?:?\s*(\d+)"")), 0) + IFERROR(VALUE(REGEXEXTRACT(I173, ""Affected Clients:\s*(\d+)"")), 0)"),0.0)</f>
        <v>0</v>
      </c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33" t="str">
        <f>IFERROR(__xludf.DUMMYFUNCTION("LEN(REGEXREPLACE(REGEXREPLACE(REGEXEXTRACT(I174, ""(?s)Affected Nodes/Links(.*)""), ""https://[^\s]+"", """"), ""[^/]"", """")) / 2"),"#N/A")</f>
        <v>#N/A</v>
      </c>
      <c r="AC174" s="34">
        <f>IFERROR(__xludf.DUMMYFUNCTION("IFERROR(VALUE(REGEXEXTRACT(I174, ""No\.? of [Ss]ubs:\s*(\d+)"")), 0) + IFERROR(VALUE(REGEXEXTRACT(I174, ""Affected Users(?:\s*\(From IM\))?:?\s*(\d+)"")), 0) + IFERROR(VALUE(REGEXEXTRACT(I174, ""Affected Clients:\s*(\d+)"")), 0)"),0.0)</f>
        <v>0</v>
      </c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33" t="str">
        <f>IFERROR(__xludf.DUMMYFUNCTION("LEN(REGEXREPLACE(REGEXREPLACE(REGEXEXTRACT(I175, ""(?s)Affected Nodes/Links(.*)""), ""https://[^\s]+"", """"), ""[^/]"", """")) / 2"),"#N/A")</f>
        <v>#N/A</v>
      </c>
      <c r="AC175" s="34">
        <f>IFERROR(__xludf.DUMMYFUNCTION("IFERROR(VALUE(REGEXEXTRACT(I175, ""No\.? of [Ss]ubs:\s*(\d+)"")), 0) + IFERROR(VALUE(REGEXEXTRACT(I175, ""Affected Users(?:\s*\(From IM\))?:?\s*(\d+)"")), 0) + IFERROR(VALUE(REGEXEXTRACT(I175, ""Affected Clients:\s*(\d+)"")), 0)"),0.0)</f>
        <v>0</v>
      </c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33" t="str">
        <f>IFERROR(__xludf.DUMMYFUNCTION("LEN(REGEXREPLACE(REGEXREPLACE(REGEXEXTRACT(I176, ""(?s)Affected Nodes/Links(.*)""), ""https://[^\s]+"", """"), ""[^/]"", """")) / 2"),"#N/A")</f>
        <v>#N/A</v>
      </c>
      <c r="AC176" s="34">
        <f>IFERROR(__xludf.DUMMYFUNCTION("IFERROR(VALUE(REGEXEXTRACT(I176, ""No\.? of [Ss]ubs:\s*(\d+)"")), 0) + IFERROR(VALUE(REGEXEXTRACT(I176, ""Affected Users(?:\s*\(From IM\))?:?\s*(\d+)"")), 0) + IFERROR(VALUE(REGEXEXTRACT(I176, ""Affected Clients:\s*(\d+)"")), 0)"),0.0)</f>
        <v>0</v>
      </c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33" t="str">
        <f>IFERROR(__xludf.DUMMYFUNCTION("LEN(REGEXREPLACE(REGEXREPLACE(REGEXEXTRACT(I177, ""(?s)Affected Nodes/Links(.*)""), ""https://[^\s]+"", """"), ""[^/]"", """")) / 2"),"#N/A")</f>
        <v>#N/A</v>
      </c>
      <c r="AC177" s="34">
        <f>IFERROR(__xludf.DUMMYFUNCTION("IFERROR(VALUE(REGEXEXTRACT(I177, ""No\.? of [Ss]ubs:\s*(\d+)"")), 0) + IFERROR(VALUE(REGEXEXTRACT(I177, ""Affected Users(?:\s*\(From IM\))?:?\s*(\d+)"")), 0) + IFERROR(VALUE(REGEXEXTRACT(I177, ""Affected Clients:\s*(\d+)"")), 0)"),0.0)</f>
        <v>0</v>
      </c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33" t="str">
        <f>IFERROR(__xludf.DUMMYFUNCTION("LEN(REGEXREPLACE(REGEXREPLACE(REGEXEXTRACT(I178, ""(?s)Affected Nodes/Links(.*)""), ""https://[^\s]+"", """"), ""[^/]"", """")) / 2"),"#N/A")</f>
        <v>#N/A</v>
      </c>
      <c r="AC178" s="34">
        <f>IFERROR(__xludf.DUMMYFUNCTION("IFERROR(VALUE(REGEXEXTRACT(I178, ""No\.? of [Ss]ubs:\s*(\d+)"")), 0) + IFERROR(VALUE(REGEXEXTRACT(I178, ""Affected Users(?:\s*\(From IM\))?:?\s*(\d+)"")), 0) + IFERROR(VALUE(REGEXEXTRACT(I178, ""Affected Clients:\s*(\d+)"")), 0)"),0.0)</f>
        <v>0</v>
      </c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33" t="str">
        <f>IFERROR(__xludf.DUMMYFUNCTION("LEN(REGEXREPLACE(REGEXREPLACE(REGEXEXTRACT(I179, ""(?s)Affected Nodes/Links(.*)""), ""https://[^\s]+"", """"), ""[^/]"", """")) / 2"),"#N/A")</f>
        <v>#N/A</v>
      </c>
      <c r="AC179" s="34">
        <f>IFERROR(__xludf.DUMMYFUNCTION("IFERROR(VALUE(REGEXEXTRACT(I179, ""No\.? of [Ss]ubs:\s*(\d+)"")), 0) + IFERROR(VALUE(REGEXEXTRACT(I179, ""Affected Users(?:\s*\(From IM\))?:?\s*(\d+)"")), 0) + IFERROR(VALUE(REGEXEXTRACT(I179, ""Affected Clients:\s*(\d+)"")), 0)"),0.0)</f>
        <v>0</v>
      </c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33" t="str">
        <f>IFERROR(__xludf.DUMMYFUNCTION("LEN(REGEXREPLACE(REGEXREPLACE(REGEXEXTRACT(I180, ""(?s)Affected Nodes/Links(.*)""), ""https://[^\s]+"", """"), ""[^/]"", """")) / 2"),"#N/A")</f>
        <v>#N/A</v>
      </c>
      <c r="AC180" s="34">
        <f>IFERROR(__xludf.DUMMYFUNCTION("IFERROR(VALUE(REGEXEXTRACT(I180, ""No\.? of [Ss]ubs:\s*(\d+)"")), 0) + IFERROR(VALUE(REGEXEXTRACT(I180, ""Affected Users(?:\s*\(From IM\))?:?\s*(\d+)"")), 0) + IFERROR(VALUE(REGEXEXTRACT(I180, ""Affected Clients:\s*(\d+)"")), 0)"),0.0)</f>
        <v>0</v>
      </c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33" t="str">
        <f>IFERROR(__xludf.DUMMYFUNCTION("LEN(REGEXREPLACE(REGEXREPLACE(REGEXEXTRACT(I181, ""(?s)Affected Nodes/Links(.*)""), ""https://[^\s]+"", """"), ""[^/]"", """")) / 2"),"#N/A")</f>
        <v>#N/A</v>
      </c>
      <c r="AC181" s="34">
        <f>IFERROR(__xludf.DUMMYFUNCTION("IFERROR(VALUE(REGEXEXTRACT(I181, ""No\.? of [Ss]ubs:\s*(\d+)"")), 0) + IFERROR(VALUE(REGEXEXTRACT(I181, ""Affected Users(?:\s*\(From IM\))?:?\s*(\d+)"")), 0) + IFERROR(VALUE(REGEXEXTRACT(I181, ""Affected Clients:\s*(\d+)"")), 0)"),0.0)</f>
        <v>0</v>
      </c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33" t="str">
        <f>IFERROR(__xludf.DUMMYFUNCTION("LEN(REGEXREPLACE(REGEXREPLACE(REGEXEXTRACT(I182, ""(?s)Affected Nodes/Links(.*)""), ""https://[^\s]+"", """"), ""[^/]"", """")) / 2"),"#N/A")</f>
        <v>#N/A</v>
      </c>
      <c r="AC182" s="34">
        <f>IFERROR(__xludf.DUMMYFUNCTION("IFERROR(VALUE(REGEXEXTRACT(I182, ""No\.? of [Ss]ubs:\s*(\d+)"")), 0) + IFERROR(VALUE(REGEXEXTRACT(I182, ""Affected Users(?:\s*\(From IM\))?:?\s*(\d+)"")), 0) + IFERROR(VALUE(REGEXEXTRACT(I182, ""Affected Clients:\s*(\d+)"")), 0)"),0.0)</f>
        <v>0</v>
      </c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33" t="str">
        <f>IFERROR(__xludf.DUMMYFUNCTION("LEN(REGEXREPLACE(REGEXREPLACE(REGEXEXTRACT(I183, ""(?s)Affected Nodes/Links(.*)""), ""https://[^\s]+"", """"), ""[^/]"", """")) / 2"),"#N/A")</f>
        <v>#N/A</v>
      </c>
      <c r="AC183" s="34">
        <f>IFERROR(__xludf.DUMMYFUNCTION("IFERROR(VALUE(REGEXEXTRACT(I183, ""No\.? of [Ss]ubs:\s*(\d+)"")), 0) + IFERROR(VALUE(REGEXEXTRACT(I183, ""Affected Users(?:\s*\(From IM\))?:?\s*(\d+)"")), 0) + IFERROR(VALUE(REGEXEXTRACT(I183, ""Affected Clients:\s*(\d+)"")), 0)"),0.0)</f>
        <v>0</v>
      </c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33" t="str">
        <f>IFERROR(__xludf.DUMMYFUNCTION("LEN(REGEXREPLACE(REGEXREPLACE(REGEXEXTRACT(I184, ""(?s)Affected Nodes/Links(.*)""), ""https://[^\s]+"", """"), ""[^/]"", """")) / 2"),"#N/A")</f>
        <v>#N/A</v>
      </c>
      <c r="AC184" s="34">
        <f>IFERROR(__xludf.DUMMYFUNCTION("IFERROR(VALUE(REGEXEXTRACT(I184, ""No\.? of [Ss]ubs:\s*(\d+)"")), 0) + IFERROR(VALUE(REGEXEXTRACT(I184, ""Affected Users(?:\s*\(From IM\))?:?\s*(\d+)"")), 0) + IFERROR(VALUE(REGEXEXTRACT(I184, ""Affected Clients:\s*(\d+)"")), 0)"),0.0)</f>
        <v>0</v>
      </c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33" t="str">
        <f>IFERROR(__xludf.DUMMYFUNCTION("LEN(REGEXREPLACE(REGEXREPLACE(REGEXEXTRACT(I185, ""(?s)Affected Nodes/Links(.*)""), ""https://[^\s]+"", """"), ""[^/]"", """")) / 2"),"#N/A")</f>
        <v>#N/A</v>
      </c>
      <c r="AC185" s="34">
        <f>IFERROR(__xludf.DUMMYFUNCTION("IFERROR(VALUE(REGEXEXTRACT(I185, ""No\.? of [Ss]ubs:\s*(\d+)"")), 0) + IFERROR(VALUE(REGEXEXTRACT(I185, ""Affected Users(?:\s*\(From IM\))?:?\s*(\d+)"")), 0) + IFERROR(VALUE(REGEXEXTRACT(I185, ""Affected Clients:\s*(\d+)"")), 0)"),0.0)</f>
        <v>0</v>
      </c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33" t="str">
        <f>IFERROR(__xludf.DUMMYFUNCTION("LEN(REGEXREPLACE(REGEXREPLACE(REGEXEXTRACT(I186, ""(?s)Affected Nodes/Links(.*)""), ""https://[^\s]+"", """"), ""[^/]"", """")) / 2"),"#N/A")</f>
        <v>#N/A</v>
      </c>
      <c r="AC186" s="34">
        <f>IFERROR(__xludf.DUMMYFUNCTION("IFERROR(VALUE(REGEXEXTRACT(I186, ""No\.? of [Ss]ubs:\s*(\d+)"")), 0) + IFERROR(VALUE(REGEXEXTRACT(I186, ""Affected Users(?:\s*\(From IM\))?:?\s*(\d+)"")), 0) + IFERROR(VALUE(REGEXEXTRACT(I186, ""Affected Clients:\s*(\d+)"")), 0)"),0.0)</f>
        <v>0</v>
      </c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33" t="str">
        <f>IFERROR(__xludf.DUMMYFUNCTION("LEN(REGEXREPLACE(REGEXREPLACE(REGEXEXTRACT(I187, ""(?s)Affected Nodes/Links(.*)""), ""https://[^\s]+"", """"), ""[^/]"", """")) / 2"),"#N/A")</f>
        <v>#N/A</v>
      </c>
      <c r="AC187" s="34">
        <f>IFERROR(__xludf.DUMMYFUNCTION("IFERROR(VALUE(REGEXEXTRACT(I187, ""No\.? of [Ss]ubs:\s*(\d+)"")), 0) + IFERROR(VALUE(REGEXEXTRACT(I187, ""Affected Users(?:\s*\(From IM\))?:?\s*(\d+)"")), 0) + IFERROR(VALUE(REGEXEXTRACT(I187, ""Affected Clients:\s*(\d+)"")), 0)"),0.0)</f>
        <v>0</v>
      </c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33" t="str">
        <f>IFERROR(__xludf.DUMMYFUNCTION("LEN(REGEXREPLACE(REGEXREPLACE(REGEXEXTRACT(I188, ""(?s)Affected Nodes/Links(.*)""), ""https://[^\s]+"", """"), ""[^/]"", """")) / 2"),"#N/A")</f>
        <v>#N/A</v>
      </c>
      <c r="AC188" s="34">
        <f>IFERROR(__xludf.DUMMYFUNCTION("IFERROR(VALUE(REGEXEXTRACT(I188, ""No\.? of [Ss]ubs:\s*(\d+)"")), 0) + IFERROR(VALUE(REGEXEXTRACT(I188, ""Affected Users(?:\s*\(From IM\))?:?\s*(\d+)"")), 0) + IFERROR(VALUE(REGEXEXTRACT(I188, ""Affected Clients:\s*(\d+)"")), 0)"),0.0)</f>
        <v>0</v>
      </c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33" t="str">
        <f>IFERROR(__xludf.DUMMYFUNCTION("LEN(REGEXREPLACE(REGEXREPLACE(REGEXEXTRACT(I189, ""(?s)Affected Nodes/Links(.*)""), ""https://[^\s]+"", """"), ""[^/]"", """")) / 2"),"#N/A")</f>
        <v>#N/A</v>
      </c>
      <c r="AC189" s="34">
        <f>IFERROR(__xludf.DUMMYFUNCTION("IFERROR(VALUE(REGEXEXTRACT(I189, ""No\.? of [Ss]ubs:\s*(\d+)"")), 0) + IFERROR(VALUE(REGEXEXTRACT(I189, ""Affected Users(?:\s*\(From IM\))?:?\s*(\d+)"")), 0) + IFERROR(VALUE(REGEXEXTRACT(I189, ""Affected Clients:\s*(\d+)"")), 0)"),0.0)</f>
        <v>0</v>
      </c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33" t="str">
        <f>IFERROR(__xludf.DUMMYFUNCTION("LEN(REGEXREPLACE(REGEXREPLACE(REGEXEXTRACT(I190, ""(?s)Affected Nodes/Links(.*)""), ""https://[^\s]+"", """"), ""[^/]"", """")) / 2"),"#N/A")</f>
        <v>#N/A</v>
      </c>
      <c r="AC190" s="34">
        <f>IFERROR(__xludf.DUMMYFUNCTION("IFERROR(VALUE(REGEXEXTRACT(I190, ""No\.? of [Ss]ubs:\s*(\d+)"")), 0) + IFERROR(VALUE(REGEXEXTRACT(I190, ""Affected Users(?:\s*\(From IM\))?:?\s*(\d+)"")), 0) + IFERROR(VALUE(REGEXEXTRACT(I190, ""Affected Clients:\s*(\d+)"")), 0)"),0.0)</f>
        <v>0</v>
      </c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33" t="str">
        <f>IFERROR(__xludf.DUMMYFUNCTION("LEN(REGEXREPLACE(REGEXREPLACE(REGEXEXTRACT(I191, ""(?s)Affected Nodes/Links(.*)""), ""https://[^\s]+"", """"), ""[^/]"", """")) / 2"),"#N/A")</f>
        <v>#N/A</v>
      </c>
      <c r="AC191" s="34">
        <f>IFERROR(__xludf.DUMMYFUNCTION("IFERROR(VALUE(REGEXEXTRACT(I191, ""No\.? of [Ss]ubs:\s*(\d+)"")), 0) + IFERROR(VALUE(REGEXEXTRACT(I191, ""Affected Users(?:\s*\(From IM\))?:?\s*(\d+)"")), 0) + IFERROR(VALUE(REGEXEXTRACT(I191, ""Affected Clients:\s*(\d+)"")), 0)"),0.0)</f>
        <v>0</v>
      </c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33" t="str">
        <f>IFERROR(__xludf.DUMMYFUNCTION("LEN(REGEXREPLACE(REGEXREPLACE(REGEXEXTRACT(I192, ""(?s)Affected Nodes/Links(.*)""), ""https://[^\s]+"", """"), ""[^/]"", """")) / 2"),"#N/A")</f>
        <v>#N/A</v>
      </c>
      <c r="AC192" s="34">
        <f>IFERROR(__xludf.DUMMYFUNCTION("IFERROR(VALUE(REGEXEXTRACT(I192, ""No\.? of [Ss]ubs:\s*(\d+)"")), 0) + IFERROR(VALUE(REGEXEXTRACT(I192, ""Affected Users(?:\s*\(From IM\))?:?\s*(\d+)"")), 0) + IFERROR(VALUE(REGEXEXTRACT(I192, ""Affected Clients:\s*(\d+)"")), 0)"),0.0)</f>
        <v>0</v>
      </c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33" t="str">
        <f>IFERROR(__xludf.DUMMYFUNCTION("LEN(REGEXREPLACE(REGEXREPLACE(REGEXEXTRACT(I193, ""(?s)Affected Nodes/Links(.*)""), ""https://[^\s]+"", """"), ""[^/]"", """")) / 2"),"#N/A")</f>
        <v>#N/A</v>
      </c>
      <c r="AC193" s="34">
        <f>IFERROR(__xludf.DUMMYFUNCTION("IFERROR(VALUE(REGEXEXTRACT(I193, ""No\.? of [Ss]ubs:\s*(\d+)"")), 0) + IFERROR(VALUE(REGEXEXTRACT(I193, ""Affected Users(?:\s*\(From IM\))?:?\s*(\d+)"")), 0) + IFERROR(VALUE(REGEXEXTRACT(I193, ""Affected Clients:\s*(\d+)"")), 0)"),0.0)</f>
        <v>0</v>
      </c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33" t="str">
        <f>IFERROR(__xludf.DUMMYFUNCTION("LEN(REGEXREPLACE(REGEXREPLACE(REGEXEXTRACT(I194, ""(?s)Affected Nodes/Links(.*)""), ""https://[^\s]+"", """"), ""[^/]"", """")) / 2"),"#N/A")</f>
        <v>#N/A</v>
      </c>
      <c r="AC194" s="34">
        <f>IFERROR(__xludf.DUMMYFUNCTION("IFERROR(VALUE(REGEXEXTRACT(I194, ""No\.? of [Ss]ubs:\s*(\d+)"")), 0) + IFERROR(VALUE(REGEXEXTRACT(I194, ""Affected Users(?:\s*\(From IM\))?:?\s*(\d+)"")), 0) + IFERROR(VALUE(REGEXEXTRACT(I194, ""Affected Clients:\s*(\d+)"")), 0)"),0.0)</f>
        <v>0</v>
      </c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33" t="str">
        <f>IFERROR(__xludf.DUMMYFUNCTION("LEN(REGEXREPLACE(REGEXREPLACE(REGEXEXTRACT(I195, ""(?s)Affected Nodes/Links(.*)""), ""https://[^\s]+"", """"), ""[^/]"", """")) / 2"),"#N/A")</f>
        <v>#N/A</v>
      </c>
      <c r="AC195" s="34">
        <f>IFERROR(__xludf.DUMMYFUNCTION("IFERROR(VALUE(REGEXEXTRACT(I195, ""No\.? of [Ss]ubs:\s*(\d+)"")), 0) + IFERROR(VALUE(REGEXEXTRACT(I195, ""Affected Users(?:\s*\(From IM\))?:?\s*(\d+)"")), 0) + IFERROR(VALUE(REGEXEXTRACT(I195, ""Affected Clients:\s*(\d+)"")), 0)"),0.0)</f>
        <v>0</v>
      </c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33" t="str">
        <f>IFERROR(__xludf.DUMMYFUNCTION("LEN(REGEXREPLACE(REGEXREPLACE(REGEXEXTRACT(I196, ""(?s)Affected Nodes/Links(.*)""), ""https://[^\s]+"", """"), ""[^/]"", """")) / 2"),"#N/A")</f>
        <v>#N/A</v>
      </c>
      <c r="AC196" s="34">
        <f>IFERROR(__xludf.DUMMYFUNCTION("IFERROR(VALUE(REGEXEXTRACT(I196, ""No\.? of [Ss]ubs:\s*(\d+)"")), 0) + IFERROR(VALUE(REGEXEXTRACT(I196, ""Affected Users(?:\s*\(From IM\))?:?\s*(\d+)"")), 0) + IFERROR(VALUE(REGEXEXTRACT(I196, ""Affected Clients:\s*(\d+)"")), 0)"),0.0)</f>
        <v>0</v>
      </c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33" t="str">
        <f>IFERROR(__xludf.DUMMYFUNCTION("LEN(REGEXREPLACE(REGEXREPLACE(REGEXEXTRACT(I197, ""(?s)Affected Nodes/Links(.*)""), ""https://[^\s]+"", """"), ""[^/]"", """")) / 2"),"#N/A")</f>
        <v>#N/A</v>
      </c>
      <c r="AC197" s="34">
        <f>IFERROR(__xludf.DUMMYFUNCTION("IFERROR(VALUE(REGEXEXTRACT(I197, ""No\.? of [Ss]ubs:\s*(\d+)"")), 0) + IFERROR(VALUE(REGEXEXTRACT(I197, ""Affected Users(?:\s*\(From IM\))?:?\s*(\d+)"")), 0) + IFERROR(VALUE(REGEXEXTRACT(I197, ""Affected Clients:\s*(\d+)"")), 0)"),0.0)</f>
        <v>0</v>
      </c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33" t="str">
        <f>IFERROR(__xludf.DUMMYFUNCTION("LEN(REGEXREPLACE(REGEXREPLACE(REGEXEXTRACT(I198, ""(?s)Affected Nodes/Links(.*)""), ""https://[^\s]+"", """"), ""[^/]"", """")) / 2"),"#N/A")</f>
        <v>#N/A</v>
      </c>
      <c r="AC198" s="34">
        <f>IFERROR(__xludf.DUMMYFUNCTION("IFERROR(VALUE(REGEXEXTRACT(I198, ""No\.? of [Ss]ubs:\s*(\d+)"")), 0) + IFERROR(VALUE(REGEXEXTRACT(I198, ""Affected Users(?:\s*\(From IM\))?:?\s*(\d+)"")), 0) + IFERROR(VALUE(REGEXEXTRACT(I198, ""Affected Clients:\s*(\d+)"")), 0)"),0.0)</f>
        <v>0</v>
      </c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33" t="str">
        <f>IFERROR(__xludf.DUMMYFUNCTION("LEN(REGEXREPLACE(REGEXREPLACE(REGEXEXTRACT(I199, ""(?s)Affected Nodes/Links(.*)""), ""https://[^\s]+"", """"), ""[^/]"", """")) / 2"),"#N/A")</f>
        <v>#N/A</v>
      </c>
      <c r="AC199" s="34">
        <f>IFERROR(__xludf.DUMMYFUNCTION("IFERROR(VALUE(REGEXEXTRACT(I199, ""No\.? of [Ss]ubs:\s*(\d+)"")), 0) + IFERROR(VALUE(REGEXEXTRACT(I199, ""Affected Users(?:\s*\(From IM\))?:?\s*(\d+)"")), 0) + IFERROR(VALUE(REGEXEXTRACT(I199, ""Affected Clients:\s*(\d+)"")), 0)"),0.0)</f>
        <v>0</v>
      </c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33" t="str">
        <f>IFERROR(__xludf.DUMMYFUNCTION("LEN(REGEXREPLACE(REGEXREPLACE(REGEXEXTRACT(I200, ""(?s)Affected Nodes/Links(.*)""), ""https://[^\s]+"", """"), ""[^/]"", """")) / 2"),"#N/A")</f>
        <v>#N/A</v>
      </c>
      <c r="AC200" s="34">
        <f>IFERROR(__xludf.DUMMYFUNCTION("IFERROR(VALUE(REGEXEXTRACT(I200, ""No\.? of [Ss]ubs:\s*(\d+)"")), 0) + IFERROR(VALUE(REGEXEXTRACT(I200, ""Affected Users(?:\s*\(From IM\))?:?\s*(\d+)"")), 0) + IFERROR(VALUE(REGEXEXTRACT(I200, ""Affected Clients:\s*(\d+)"")), 0)"),0.0)</f>
        <v>0</v>
      </c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33" t="str">
        <f>IFERROR(__xludf.DUMMYFUNCTION("LEN(REGEXREPLACE(REGEXREPLACE(REGEXEXTRACT(I201, ""(?s)Affected Nodes/Links(.*)""), ""https://[^\s]+"", """"), ""[^/]"", """")) / 2"),"#N/A")</f>
        <v>#N/A</v>
      </c>
      <c r="AC201" s="34">
        <f>IFERROR(__xludf.DUMMYFUNCTION("IFERROR(VALUE(REGEXEXTRACT(I201, ""No\.? of [Ss]ubs:\s*(\d+)"")), 0) + IFERROR(VALUE(REGEXEXTRACT(I201, ""Affected Users(?:\s*\(From IM\))?:?\s*(\d+)"")), 0) + IFERROR(VALUE(REGEXEXTRACT(I201, ""Affected Clients:\s*(\d+)"")), 0)"),0.0)</f>
        <v>0</v>
      </c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33" t="str">
        <f>IFERROR(__xludf.DUMMYFUNCTION("LEN(REGEXREPLACE(REGEXREPLACE(REGEXEXTRACT(I202, ""(?s)Affected Nodes/Links(.*)""), ""https://[^\s]+"", """"), ""[^/]"", """")) / 2"),"#N/A")</f>
        <v>#N/A</v>
      </c>
      <c r="AC202" s="34">
        <f>IFERROR(__xludf.DUMMYFUNCTION("IFERROR(VALUE(REGEXEXTRACT(I202, ""No\.? of [Ss]ubs:\s*(\d+)"")), 0) + IFERROR(VALUE(REGEXEXTRACT(I202, ""Affected Users(?:\s*\(From IM\))?:?\s*(\d+)"")), 0) + IFERROR(VALUE(REGEXEXTRACT(I202, ""Affected Clients:\s*(\d+)"")), 0)"),0.0)</f>
        <v>0</v>
      </c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33" t="str">
        <f>IFERROR(__xludf.DUMMYFUNCTION("LEN(REGEXREPLACE(REGEXREPLACE(REGEXEXTRACT(I203, ""(?s)Affected Nodes/Links(.*)""), ""https://[^\s]+"", """"), ""[^/]"", """")) / 2"),"#N/A")</f>
        <v>#N/A</v>
      </c>
      <c r="AC203" s="34">
        <f>IFERROR(__xludf.DUMMYFUNCTION("IFERROR(VALUE(REGEXEXTRACT(I203, ""No\.? of [Ss]ubs:\s*(\d+)"")), 0) + IFERROR(VALUE(REGEXEXTRACT(I203, ""Affected Users(?:\s*\(From IM\))?:?\s*(\d+)"")), 0) + IFERROR(VALUE(REGEXEXTRACT(I203, ""Affected Clients:\s*(\d+)"")), 0)"),0.0)</f>
        <v>0</v>
      </c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33" t="str">
        <f>IFERROR(__xludf.DUMMYFUNCTION("LEN(REGEXREPLACE(REGEXREPLACE(REGEXEXTRACT(I204, ""(?s)Affected Nodes/Links(.*)""), ""https://[^\s]+"", """"), ""[^/]"", """")) / 2"),"#N/A")</f>
        <v>#N/A</v>
      </c>
      <c r="AC204" s="34">
        <f>IFERROR(__xludf.DUMMYFUNCTION("IFERROR(VALUE(REGEXEXTRACT(I204, ""No\.? of [Ss]ubs:\s*(\d+)"")), 0) + IFERROR(VALUE(REGEXEXTRACT(I204, ""Affected Users(?:\s*\(From IM\))?:?\s*(\d+)"")), 0) + IFERROR(VALUE(REGEXEXTRACT(I204, ""Affected Clients:\s*(\d+)"")), 0)"),0.0)</f>
        <v>0</v>
      </c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33" t="str">
        <f>IFERROR(__xludf.DUMMYFUNCTION("LEN(REGEXREPLACE(REGEXREPLACE(REGEXEXTRACT(I205, ""(?s)Affected Nodes/Links(.*)""), ""https://[^\s]+"", """"), ""[^/]"", """")) / 2"),"#N/A")</f>
        <v>#N/A</v>
      </c>
      <c r="AC205" s="34">
        <f>IFERROR(__xludf.DUMMYFUNCTION("IFERROR(VALUE(REGEXEXTRACT(I205, ""No\.? of [Ss]ubs:\s*(\d+)"")), 0) + IFERROR(VALUE(REGEXEXTRACT(I205, ""Affected Users(?:\s*\(From IM\))?:?\s*(\d+)"")), 0) + IFERROR(VALUE(REGEXEXTRACT(I205, ""Affected Clients:\s*(\d+)"")), 0)"),0.0)</f>
        <v>0</v>
      </c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33" t="str">
        <f>IFERROR(__xludf.DUMMYFUNCTION("LEN(REGEXREPLACE(REGEXREPLACE(REGEXEXTRACT(I206, ""(?s)Affected Nodes/Links(.*)""), ""https://[^\s]+"", """"), ""[^/]"", """")) / 2"),"#N/A")</f>
        <v>#N/A</v>
      </c>
      <c r="AC206" s="34">
        <f>IFERROR(__xludf.DUMMYFUNCTION("IFERROR(VALUE(REGEXEXTRACT(I206, ""No\.? of [Ss]ubs:\s*(\d+)"")), 0) + IFERROR(VALUE(REGEXEXTRACT(I206, ""Affected Users(?:\s*\(From IM\))?:?\s*(\d+)"")), 0) + IFERROR(VALUE(REGEXEXTRACT(I206, ""Affected Clients:\s*(\d+)"")), 0)"),0.0)</f>
        <v>0</v>
      </c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33" t="str">
        <f>IFERROR(__xludf.DUMMYFUNCTION("LEN(REGEXREPLACE(REGEXREPLACE(REGEXEXTRACT(I207, ""(?s)Affected Nodes/Links(.*)""), ""https://[^\s]+"", """"), ""[^/]"", """")) / 2"),"#N/A")</f>
        <v>#N/A</v>
      </c>
      <c r="AC207" s="34">
        <f>IFERROR(__xludf.DUMMYFUNCTION("IFERROR(VALUE(REGEXEXTRACT(I207, ""No\.? of [Ss]ubs:\s*(\d+)"")), 0) + IFERROR(VALUE(REGEXEXTRACT(I207, ""Affected Users(?:\s*\(From IM\))?:?\s*(\d+)"")), 0) + IFERROR(VALUE(REGEXEXTRACT(I207, ""Affected Clients:\s*(\d+)"")), 0)"),0.0)</f>
        <v>0</v>
      </c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33" t="str">
        <f>IFERROR(__xludf.DUMMYFUNCTION("LEN(REGEXREPLACE(REGEXREPLACE(REGEXEXTRACT(I208, ""(?s)Affected Nodes/Links(.*)""), ""https://[^\s]+"", """"), ""[^/]"", """")) / 2"),"#N/A")</f>
        <v>#N/A</v>
      </c>
      <c r="AC208" s="34">
        <f>IFERROR(__xludf.DUMMYFUNCTION("IFERROR(VALUE(REGEXEXTRACT(I208, ""No\.? of [Ss]ubs:\s*(\d+)"")), 0) + IFERROR(VALUE(REGEXEXTRACT(I208, ""Affected Users(?:\s*\(From IM\))?:?\s*(\d+)"")), 0) + IFERROR(VALUE(REGEXEXTRACT(I208, ""Affected Clients:\s*(\d+)"")), 0)"),0.0)</f>
        <v>0</v>
      </c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33" t="str">
        <f>IFERROR(__xludf.DUMMYFUNCTION("LEN(REGEXREPLACE(REGEXREPLACE(REGEXEXTRACT(I209, ""(?s)Affected Nodes/Links(.*)""), ""https://[^\s]+"", """"), ""[^/]"", """")) / 2"),"#N/A")</f>
        <v>#N/A</v>
      </c>
      <c r="AC209" s="34">
        <f>IFERROR(__xludf.DUMMYFUNCTION("IFERROR(VALUE(REGEXEXTRACT(I209, ""No\.? of [Ss]ubs:\s*(\d+)"")), 0) + IFERROR(VALUE(REGEXEXTRACT(I209, ""Affected Users(?:\s*\(From IM\))?:?\s*(\d+)"")), 0) + IFERROR(VALUE(REGEXEXTRACT(I209, ""Affected Clients:\s*(\d+)"")), 0)"),0.0)</f>
        <v>0</v>
      </c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33" t="str">
        <f>IFERROR(__xludf.DUMMYFUNCTION("LEN(REGEXREPLACE(REGEXREPLACE(REGEXEXTRACT(I210, ""(?s)Affected Nodes/Links(.*)""), ""https://[^\s]+"", """"), ""[^/]"", """")) / 2"),"#N/A")</f>
        <v>#N/A</v>
      </c>
      <c r="AC210" s="34">
        <f>IFERROR(__xludf.DUMMYFUNCTION("IFERROR(VALUE(REGEXEXTRACT(I210, ""No\.? of [Ss]ubs:\s*(\d+)"")), 0) + IFERROR(VALUE(REGEXEXTRACT(I210, ""Affected Users(?:\s*\(From IM\))?:?\s*(\d+)"")), 0) + IFERROR(VALUE(REGEXEXTRACT(I210, ""Affected Clients:\s*(\d+)"")), 0)"),0.0)</f>
        <v>0</v>
      </c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33" t="str">
        <f>IFERROR(__xludf.DUMMYFUNCTION("LEN(REGEXREPLACE(REGEXREPLACE(REGEXEXTRACT(I211, ""(?s)Affected Nodes/Links(.*)""), ""https://[^\s]+"", """"), ""[^/]"", """")) / 2"),"#N/A")</f>
        <v>#N/A</v>
      </c>
      <c r="AC211" s="34">
        <f>IFERROR(__xludf.DUMMYFUNCTION("IFERROR(VALUE(REGEXEXTRACT(I211, ""No\.? of [Ss]ubs:\s*(\d+)"")), 0) + IFERROR(VALUE(REGEXEXTRACT(I211, ""Affected Users(?:\s*\(From IM\))?:?\s*(\d+)"")), 0) + IFERROR(VALUE(REGEXEXTRACT(I211, ""Affected Clients:\s*(\d+)"")), 0)"),0.0)</f>
        <v>0</v>
      </c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33" t="str">
        <f>IFERROR(__xludf.DUMMYFUNCTION("LEN(REGEXREPLACE(REGEXREPLACE(REGEXEXTRACT(I212, ""(?s)Affected Nodes/Links(.*)""), ""https://[^\s]+"", """"), ""[^/]"", """")) / 2"),"#N/A")</f>
        <v>#N/A</v>
      </c>
      <c r="AC212" s="34">
        <f>IFERROR(__xludf.DUMMYFUNCTION("IFERROR(VALUE(REGEXEXTRACT(I212, ""No\.? of [Ss]ubs:\s*(\d+)"")), 0) + IFERROR(VALUE(REGEXEXTRACT(I212, ""Affected Users(?:\s*\(From IM\))?:?\s*(\d+)"")), 0) + IFERROR(VALUE(REGEXEXTRACT(I212, ""Affected Clients:\s*(\d+)"")), 0)"),0.0)</f>
        <v>0</v>
      </c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33" t="str">
        <f>IFERROR(__xludf.DUMMYFUNCTION("LEN(REGEXREPLACE(REGEXREPLACE(REGEXEXTRACT(I213, ""(?s)Affected Nodes/Links(.*)""), ""https://[^\s]+"", """"), ""[^/]"", """")) / 2"),"#N/A")</f>
        <v>#N/A</v>
      </c>
      <c r="AC213" s="34">
        <f>IFERROR(__xludf.DUMMYFUNCTION("IFERROR(VALUE(REGEXEXTRACT(I213, ""No\.? of [Ss]ubs:\s*(\d+)"")), 0) + IFERROR(VALUE(REGEXEXTRACT(I213, ""Affected Users(?:\s*\(From IM\))?:?\s*(\d+)"")), 0) + IFERROR(VALUE(REGEXEXTRACT(I213, ""Affected Clients:\s*(\d+)"")), 0)"),0.0)</f>
        <v>0</v>
      </c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33" t="str">
        <f>IFERROR(__xludf.DUMMYFUNCTION("LEN(REGEXREPLACE(REGEXREPLACE(REGEXEXTRACT(I214, ""(?s)Affected Nodes/Links(.*)""), ""https://[^\s]+"", """"), ""[^/]"", """")) / 2"),"#N/A")</f>
        <v>#N/A</v>
      </c>
      <c r="AC214" s="34">
        <f>IFERROR(__xludf.DUMMYFUNCTION("IFERROR(VALUE(REGEXEXTRACT(I214, ""No\.? of [Ss]ubs:\s*(\d+)"")), 0) + IFERROR(VALUE(REGEXEXTRACT(I214, ""Affected Users(?:\s*\(From IM\))?:?\s*(\d+)"")), 0) + IFERROR(VALUE(REGEXEXTRACT(I214, ""Affected Clients:\s*(\d+)"")), 0)"),0.0)</f>
        <v>0</v>
      </c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33" t="str">
        <f>IFERROR(__xludf.DUMMYFUNCTION("LEN(REGEXREPLACE(REGEXREPLACE(REGEXEXTRACT(I215, ""(?s)Affected Nodes/Links(.*)""), ""https://[^\s]+"", """"), ""[^/]"", """")) / 2"),"#N/A")</f>
        <v>#N/A</v>
      </c>
      <c r="AC215" s="34">
        <f>IFERROR(__xludf.DUMMYFUNCTION("IFERROR(VALUE(REGEXEXTRACT(I215, ""No\.? of [Ss]ubs:\s*(\d+)"")), 0) + IFERROR(VALUE(REGEXEXTRACT(I215, ""Affected Users(?:\s*\(From IM\))?:?\s*(\d+)"")), 0) + IFERROR(VALUE(REGEXEXTRACT(I215, ""Affected Clients:\s*(\d+)"")), 0)"),0.0)</f>
        <v>0</v>
      </c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33" t="str">
        <f>IFERROR(__xludf.DUMMYFUNCTION("LEN(REGEXREPLACE(REGEXREPLACE(REGEXEXTRACT(I216, ""(?s)Affected Nodes/Links(.*)""), ""https://[^\s]+"", """"), ""[^/]"", """")) / 2"),"#N/A")</f>
        <v>#N/A</v>
      </c>
      <c r="AC216" s="34">
        <f>IFERROR(__xludf.DUMMYFUNCTION("IFERROR(VALUE(REGEXEXTRACT(I216, ""No\.? of [Ss]ubs:\s*(\d+)"")), 0) + IFERROR(VALUE(REGEXEXTRACT(I216, ""Affected Users(?:\s*\(From IM\))?:?\s*(\d+)"")), 0) + IFERROR(VALUE(REGEXEXTRACT(I216, ""Affected Clients:\s*(\d+)"")), 0)"),0.0)</f>
        <v>0</v>
      </c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33" t="str">
        <f>IFERROR(__xludf.DUMMYFUNCTION("LEN(REGEXREPLACE(REGEXREPLACE(REGEXEXTRACT(I217, ""(?s)Affected Nodes/Links(.*)""), ""https://[^\s]+"", """"), ""[^/]"", """")) / 2"),"#N/A")</f>
        <v>#N/A</v>
      </c>
      <c r="AC217" s="34">
        <f>IFERROR(__xludf.DUMMYFUNCTION("IFERROR(VALUE(REGEXEXTRACT(I217, ""No\.? of [Ss]ubs:\s*(\d+)"")), 0) + IFERROR(VALUE(REGEXEXTRACT(I217, ""Affected Users(?:\s*\(From IM\))?:?\s*(\d+)"")), 0) + IFERROR(VALUE(REGEXEXTRACT(I217, ""Affected Clients:\s*(\d+)"")), 0)"),0.0)</f>
        <v>0</v>
      </c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33" t="str">
        <f>IFERROR(__xludf.DUMMYFUNCTION("LEN(REGEXREPLACE(REGEXREPLACE(REGEXEXTRACT(I218, ""(?s)Affected Nodes/Links(.*)""), ""https://[^\s]+"", """"), ""[^/]"", """")) / 2"),"#N/A")</f>
        <v>#N/A</v>
      </c>
      <c r="AC218" s="34">
        <f>IFERROR(__xludf.DUMMYFUNCTION("IFERROR(VALUE(REGEXEXTRACT(I218, ""No\.? of [Ss]ubs:\s*(\d+)"")), 0) + IFERROR(VALUE(REGEXEXTRACT(I218, ""Affected Users(?:\s*\(From IM\))?:?\s*(\d+)"")), 0) + IFERROR(VALUE(REGEXEXTRACT(I218, ""Affected Clients:\s*(\d+)"")), 0)"),0.0)</f>
        <v>0</v>
      </c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33" t="str">
        <f>IFERROR(__xludf.DUMMYFUNCTION("LEN(REGEXREPLACE(REGEXREPLACE(REGEXEXTRACT(I219, ""(?s)Affected Nodes/Links(.*)""), ""https://[^\s]+"", """"), ""[^/]"", """")) / 2"),"#N/A")</f>
        <v>#N/A</v>
      </c>
      <c r="AC219" s="34">
        <f>IFERROR(__xludf.DUMMYFUNCTION("IFERROR(VALUE(REGEXEXTRACT(I219, ""No\.? of [Ss]ubs:\s*(\d+)"")), 0) + IFERROR(VALUE(REGEXEXTRACT(I219, ""Affected Users(?:\s*\(From IM\))?:?\s*(\d+)"")), 0) + IFERROR(VALUE(REGEXEXTRACT(I219, ""Affected Clients:\s*(\d+)"")), 0)"),0.0)</f>
        <v>0</v>
      </c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33" t="str">
        <f>IFERROR(__xludf.DUMMYFUNCTION("LEN(REGEXREPLACE(REGEXREPLACE(REGEXEXTRACT(I220, ""(?s)Affected Nodes/Links(.*)""), ""https://[^\s]+"", """"), ""[^/]"", """")) / 2"),"#N/A")</f>
        <v>#N/A</v>
      </c>
      <c r="AC220" s="34">
        <f>IFERROR(__xludf.DUMMYFUNCTION("IFERROR(VALUE(REGEXEXTRACT(I220, ""No\.? of [Ss]ubs:\s*(\d+)"")), 0) + IFERROR(VALUE(REGEXEXTRACT(I220, ""Affected Users(?:\s*\(From IM\))?:?\s*(\d+)"")), 0) + IFERROR(VALUE(REGEXEXTRACT(I220, ""Affected Clients:\s*(\d+)"")), 0)"),0.0)</f>
        <v>0</v>
      </c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33" t="str">
        <f>IFERROR(__xludf.DUMMYFUNCTION("LEN(REGEXREPLACE(REGEXREPLACE(REGEXEXTRACT(I221, ""(?s)Affected Nodes/Links(.*)""), ""https://[^\s]+"", """"), ""[^/]"", """")) / 2"),"#N/A")</f>
        <v>#N/A</v>
      </c>
      <c r="AC221" s="34">
        <f>IFERROR(__xludf.DUMMYFUNCTION("IFERROR(VALUE(REGEXEXTRACT(I221, ""No\.? of [Ss]ubs:\s*(\d+)"")), 0) + IFERROR(VALUE(REGEXEXTRACT(I221, ""Affected Users(?:\s*\(From IM\))?:?\s*(\d+)"")), 0) + IFERROR(VALUE(REGEXEXTRACT(I221, ""Affected Clients:\s*(\d+)"")), 0)"),0.0)</f>
        <v>0</v>
      </c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33" t="str">
        <f>IFERROR(__xludf.DUMMYFUNCTION("LEN(REGEXREPLACE(REGEXREPLACE(REGEXEXTRACT(I222, ""(?s)Affected Nodes/Links(.*)""), ""https://[^\s]+"", """"), ""[^/]"", """")) / 2"),"#N/A")</f>
        <v>#N/A</v>
      </c>
      <c r="AC222" s="34">
        <f>IFERROR(__xludf.DUMMYFUNCTION("IFERROR(VALUE(REGEXEXTRACT(I222, ""No\.? of [Ss]ubs:\s*(\d+)"")), 0) + IFERROR(VALUE(REGEXEXTRACT(I222, ""Affected Users(?:\s*\(From IM\))?:?\s*(\d+)"")), 0) + IFERROR(VALUE(REGEXEXTRACT(I222, ""Affected Clients:\s*(\d+)"")), 0)"),0.0)</f>
        <v>0</v>
      </c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33" t="str">
        <f>IFERROR(__xludf.DUMMYFUNCTION("LEN(REGEXREPLACE(REGEXREPLACE(REGEXEXTRACT(I223, ""(?s)Affected Nodes/Links(.*)""), ""https://[^\s]+"", """"), ""[^/]"", """")) / 2"),"#N/A")</f>
        <v>#N/A</v>
      </c>
      <c r="AC223" s="34">
        <f>IFERROR(__xludf.DUMMYFUNCTION("IFERROR(VALUE(REGEXEXTRACT(I223, ""No\.? of [Ss]ubs:\s*(\d+)"")), 0) + IFERROR(VALUE(REGEXEXTRACT(I223, ""Affected Users(?:\s*\(From IM\))?:?\s*(\d+)"")), 0) + IFERROR(VALUE(REGEXEXTRACT(I223, ""Affected Clients:\s*(\d+)"")), 0)"),0.0)</f>
        <v>0</v>
      </c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33" t="str">
        <f>IFERROR(__xludf.DUMMYFUNCTION("LEN(REGEXREPLACE(REGEXREPLACE(REGEXEXTRACT(I224, ""(?s)Affected Nodes/Links(.*)""), ""https://[^\s]+"", """"), ""[^/]"", """")) / 2"),"#N/A")</f>
        <v>#N/A</v>
      </c>
      <c r="AC224" s="34">
        <f>IFERROR(__xludf.DUMMYFUNCTION("IFERROR(VALUE(REGEXEXTRACT(I224, ""No\.? of [Ss]ubs:\s*(\d+)"")), 0) + IFERROR(VALUE(REGEXEXTRACT(I224, ""Affected Users(?:\s*\(From IM\))?:?\s*(\d+)"")), 0) + IFERROR(VALUE(REGEXEXTRACT(I224, ""Affected Clients:\s*(\d+)"")), 0)"),0.0)</f>
        <v>0</v>
      </c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33" t="str">
        <f>IFERROR(__xludf.DUMMYFUNCTION("LEN(REGEXREPLACE(REGEXREPLACE(REGEXEXTRACT(I225, ""(?s)Affected Nodes/Links(.*)""), ""https://[^\s]+"", """"), ""[^/]"", """")) / 2"),"#N/A")</f>
        <v>#N/A</v>
      </c>
      <c r="AC225" s="34">
        <f>IFERROR(__xludf.DUMMYFUNCTION("IFERROR(VALUE(REGEXEXTRACT(I225, ""No\.? of [Ss]ubs:\s*(\d+)"")), 0) + IFERROR(VALUE(REGEXEXTRACT(I225, ""Affected Users(?:\s*\(From IM\))?:?\s*(\d+)"")), 0) + IFERROR(VALUE(REGEXEXTRACT(I225, ""Affected Clients:\s*(\d+)"")), 0)"),0.0)</f>
        <v>0</v>
      </c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33" t="str">
        <f>IFERROR(__xludf.DUMMYFUNCTION("LEN(REGEXREPLACE(REGEXREPLACE(REGEXEXTRACT(I226, ""(?s)Affected Nodes/Links(.*)""), ""https://[^\s]+"", """"), ""[^/]"", """")) / 2"),"#N/A")</f>
        <v>#N/A</v>
      </c>
      <c r="AC226" s="34">
        <f>IFERROR(__xludf.DUMMYFUNCTION("IFERROR(VALUE(REGEXEXTRACT(I226, ""No\.? of [Ss]ubs:\s*(\d+)"")), 0) + IFERROR(VALUE(REGEXEXTRACT(I226, ""Affected Users(?:\s*\(From IM\))?:?\s*(\d+)"")), 0) + IFERROR(VALUE(REGEXEXTRACT(I226, ""Affected Clients:\s*(\d+)"")), 0)"),0.0)</f>
        <v>0</v>
      </c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33" t="str">
        <f>IFERROR(__xludf.DUMMYFUNCTION("LEN(REGEXREPLACE(REGEXREPLACE(REGEXEXTRACT(I227, ""(?s)Affected Nodes/Links(.*)""), ""https://[^\s]+"", """"), ""[^/]"", """")) / 2"),"#N/A")</f>
        <v>#N/A</v>
      </c>
      <c r="AC227" s="34">
        <f>IFERROR(__xludf.DUMMYFUNCTION("IFERROR(VALUE(REGEXEXTRACT(I227, ""No\.? of [Ss]ubs:\s*(\d+)"")), 0) + IFERROR(VALUE(REGEXEXTRACT(I227, ""Affected Users(?:\s*\(From IM\))?:?\s*(\d+)"")), 0) + IFERROR(VALUE(REGEXEXTRACT(I227, ""Affected Clients:\s*(\d+)"")), 0)"),0.0)</f>
        <v>0</v>
      </c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33" t="str">
        <f>IFERROR(__xludf.DUMMYFUNCTION("LEN(REGEXREPLACE(REGEXREPLACE(REGEXEXTRACT(I228, ""(?s)Affected Nodes/Links(.*)""), ""https://[^\s]+"", """"), ""[^/]"", """")) / 2"),"#N/A")</f>
        <v>#N/A</v>
      </c>
      <c r="AC228" s="34">
        <f>IFERROR(__xludf.DUMMYFUNCTION("IFERROR(VALUE(REGEXEXTRACT(I228, ""No\.? of [Ss]ubs:\s*(\d+)"")), 0) + IFERROR(VALUE(REGEXEXTRACT(I228, ""Affected Users(?:\s*\(From IM\))?:?\s*(\d+)"")), 0) + IFERROR(VALUE(REGEXEXTRACT(I228, ""Affected Clients:\s*(\d+)"")), 0)"),0.0)</f>
        <v>0</v>
      </c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33" t="str">
        <f>IFERROR(__xludf.DUMMYFUNCTION("LEN(REGEXREPLACE(REGEXREPLACE(REGEXEXTRACT(I229, ""(?s)Affected Nodes/Links(.*)""), ""https://[^\s]+"", """"), ""[^/]"", """")) / 2"),"#N/A")</f>
        <v>#N/A</v>
      </c>
      <c r="AC229" s="34">
        <f>IFERROR(__xludf.DUMMYFUNCTION("IFERROR(VALUE(REGEXEXTRACT(I229, ""No\.? of [Ss]ubs:\s*(\d+)"")), 0) + IFERROR(VALUE(REGEXEXTRACT(I229, ""Affected Users(?:\s*\(From IM\))?:?\s*(\d+)"")), 0) + IFERROR(VALUE(REGEXEXTRACT(I229, ""Affected Clients:\s*(\d+)"")), 0)"),0.0)</f>
        <v>0</v>
      </c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33" t="str">
        <f>IFERROR(__xludf.DUMMYFUNCTION("LEN(REGEXREPLACE(REGEXREPLACE(REGEXEXTRACT(I230, ""(?s)Affected Nodes/Links(.*)""), ""https://[^\s]+"", """"), ""[^/]"", """")) / 2"),"#N/A")</f>
        <v>#N/A</v>
      </c>
      <c r="AC230" s="34">
        <f>IFERROR(__xludf.DUMMYFUNCTION("IFERROR(VALUE(REGEXEXTRACT(I230, ""No\.? of [Ss]ubs:\s*(\d+)"")), 0) + IFERROR(VALUE(REGEXEXTRACT(I230, ""Affected Users(?:\s*\(From IM\))?:?\s*(\d+)"")), 0) + IFERROR(VALUE(REGEXEXTRACT(I230, ""Affected Clients:\s*(\d+)"")), 0)"),0.0)</f>
        <v>0</v>
      </c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33" t="str">
        <f>IFERROR(__xludf.DUMMYFUNCTION("LEN(REGEXREPLACE(REGEXREPLACE(REGEXEXTRACT(I231, ""(?s)Affected Nodes/Links(.*)""), ""https://[^\s]+"", """"), ""[^/]"", """")) / 2"),"#N/A")</f>
        <v>#N/A</v>
      </c>
      <c r="AC231" s="34">
        <f>IFERROR(__xludf.DUMMYFUNCTION("IFERROR(VALUE(REGEXEXTRACT(I231, ""No\.? of [Ss]ubs:\s*(\d+)"")), 0) + IFERROR(VALUE(REGEXEXTRACT(I231, ""Affected Users(?:\s*\(From IM\))?:?\s*(\d+)"")), 0) + IFERROR(VALUE(REGEXEXTRACT(I231, ""Affected Clients:\s*(\d+)"")), 0)"),0.0)</f>
        <v>0</v>
      </c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33" t="str">
        <f>IFERROR(__xludf.DUMMYFUNCTION("LEN(REGEXREPLACE(REGEXREPLACE(REGEXEXTRACT(I232, ""(?s)Affected Nodes/Links(.*)""), ""https://[^\s]+"", """"), ""[^/]"", """")) / 2"),"#N/A")</f>
        <v>#N/A</v>
      </c>
      <c r="AC232" s="34">
        <f>IFERROR(__xludf.DUMMYFUNCTION("IFERROR(VALUE(REGEXEXTRACT(I232, ""No\.? of [Ss]ubs:\s*(\d+)"")), 0) + IFERROR(VALUE(REGEXEXTRACT(I232, ""Affected Users(?:\s*\(From IM\))?:?\s*(\d+)"")), 0) + IFERROR(VALUE(REGEXEXTRACT(I232, ""Affected Clients:\s*(\d+)"")), 0)"),0.0)</f>
        <v>0</v>
      </c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33" t="str">
        <f>IFERROR(__xludf.DUMMYFUNCTION("LEN(REGEXREPLACE(REGEXREPLACE(REGEXEXTRACT(I233, ""(?s)Affected Nodes/Links(.*)""), ""https://[^\s]+"", """"), ""[^/]"", """")) / 2"),"#N/A")</f>
        <v>#N/A</v>
      </c>
      <c r="AC233" s="34">
        <f>IFERROR(__xludf.DUMMYFUNCTION("IFERROR(VALUE(REGEXEXTRACT(I233, ""No\.? of [Ss]ubs:\s*(\d+)"")), 0) + IFERROR(VALUE(REGEXEXTRACT(I233, ""Affected Users(?:\s*\(From IM\))?:?\s*(\d+)"")), 0) + IFERROR(VALUE(REGEXEXTRACT(I233, ""Affected Clients:\s*(\d+)"")), 0)"),0.0)</f>
        <v>0</v>
      </c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33" t="str">
        <f>IFERROR(__xludf.DUMMYFUNCTION("LEN(REGEXREPLACE(REGEXREPLACE(REGEXEXTRACT(I234, ""(?s)Affected Nodes/Links(.*)""), ""https://[^\s]+"", """"), ""[^/]"", """")) / 2"),"#N/A")</f>
        <v>#N/A</v>
      </c>
      <c r="AC234" s="34">
        <f>IFERROR(__xludf.DUMMYFUNCTION("IFERROR(VALUE(REGEXEXTRACT(I234, ""No\.? of [Ss]ubs:\s*(\d+)"")), 0) + IFERROR(VALUE(REGEXEXTRACT(I234, ""Affected Users(?:\s*\(From IM\))?:?\s*(\d+)"")), 0) + IFERROR(VALUE(REGEXEXTRACT(I234, ""Affected Clients:\s*(\d+)"")), 0)"),0.0)</f>
        <v>0</v>
      </c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33" t="str">
        <f>IFERROR(__xludf.DUMMYFUNCTION("LEN(REGEXREPLACE(REGEXREPLACE(REGEXEXTRACT(I235, ""(?s)Affected Nodes/Links(.*)""), ""https://[^\s]+"", """"), ""[^/]"", """")) / 2"),"#N/A")</f>
        <v>#N/A</v>
      </c>
      <c r="AC235" s="34">
        <f>IFERROR(__xludf.DUMMYFUNCTION("IFERROR(VALUE(REGEXEXTRACT(I235, ""No\.? of [Ss]ubs:\s*(\d+)"")), 0) + IFERROR(VALUE(REGEXEXTRACT(I235, ""Affected Users(?:\s*\(From IM\))?:?\s*(\d+)"")), 0) + IFERROR(VALUE(REGEXEXTRACT(I235, ""Affected Clients:\s*(\d+)"")), 0)"),0.0)</f>
        <v>0</v>
      </c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33" t="str">
        <f>IFERROR(__xludf.DUMMYFUNCTION("LEN(REGEXREPLACE(REGEXREPLACE(REGEXEXTRACT(I236, ""(?s)Affected Nodes/Links(.*)""), ""https://[^\s]+"", """"), ""[^/]"", """")) / 2"),"#N/A")</f>
        <v>#N/A</v>
      </c>
      <c r="AC236" s="34">
        <f>IFERROR(__xludf.DUMMYFUNCTION("IFERROR(VALUE(REGEXEXTRACT(I236, ""No\.? of [Ss]ubs:\s*(\d+)"")), 0) + IFERROR(VALUE(REGEXEXTRACT(I236, ""Affected Users(?:\s*\(From IM\))?:?\s*(\d+)"")), 0) + IFERROR(VALUE(REGEXEXTRACT(I236, ""Affected Clients:\s*(\d+)"")), 0)"),0.0)</f>
        <v>0</v>
      </c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33" t="str">
        <f>IFERROR(__xludf.DUMMYFUNCTION("LEN(REGEXREPLACE(REGEXREPLACE(REGEXEXTRACT(I237, ""(?s)Affected Nodes/Links(.*)""), ""https://[^\s]+"", """"), ""[^/]"", """")) / 2"),"#N/A")</f>
        <v>#N/A</v>
      </c>
      <c r="AC237" s="34">
        <f>IFERROR(__xludf.DUMMYFUNCTION("IFERROR(VALUE(REGEXEXTRACT(I237, ""No\.? of [Ss]ubs:\s*(\d+)"")), 0) + IFERROR(VALUE(REGEXEXTRACT(I237, ""Affected Users(?:\s*\(From IM\))?:?\s*(\d+)"")), 0) + IFERROR(VALUE(REGEXEXTRACT(I237, ""Affected Clients:\s*(\d+)"")), 0)"),0.0)</f>
        <v>0</v>
      </c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33" t="str">
        <f>IFERROR(__xludf.DUMMYFUNCTION("LEN(REGEXREPLACE(REGEXREPLACE(REGEXEXTRACT(I238, ""(?s)Affected Nodes/Links(.*)""), ""https://[^\s]+"", """"), ""[^/]"", """")) / 2"),"#N/A")</f>
        <v>#N/A</v>
      </c>
      <c r="AC238" s="34">
        <f>IFERROR(__xludf.DUMMYFUNCTION("IFERROR(VALUE(REGEXEXTRACT(I238, ""No\.? of [Ss]ubs:\s*(\d+)"")), 0) + IFERROR(VALUE(REGEXEXTRACT(I238, ""Affected Users(?:\s*\(From IM\))?:?\s*(\d+)"")), 0) + IFERROR(VALUE(REGEXEXTRACT(I238, ""Affected Clients:\s*(\d+)"")), 0)"),0.0)</f>
        <v>0</v>
      </c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33" t="str">
        <f>IFERROR(__xludf.DUMMYFUNCTION("LEN(REGEXREPLACE(REGEXREPLACE(REGEXEXTRACT(I239, ""(?s)Affected Nodes/Links(.*)""), ""https://[^\s]+"", """"), ""[^/]"", """")) / 2"),"#N/A")</f>
        <v>#N/A</v>
      </c>
      <c r="AC239" s="34">
        <f>IFERROR(__xludf.DUMMYFUNCTION("IFERROR(VALUE(REGEXEXTRACT(I239, ""No\.? of [Ss]ubs:\s*(\d+)"")), 0) + IFERROR(VALUE(REGEXEXTRACT(I239, ""Affected Users(?:\s*\(From IM\))?:?\s*(\d+)"")), 0) + IFERROR(VALUE(REGEXEXTRACT(I239, ""Affected Clients:\s*(\d+)"")), 0)"),0.0)</f>
        <v>0</v>
      </c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33" t="str">
        <f>IFERROR(__xludf.DUMMYFUNCTION("LEN(REGEXREPLACE(REGEXREPLACE(REGEXEXTRACT(I240, ""(?s)Affected Nodes/Links(.*)""), ""https://[^\s]+"", """"), ""[^/]"", """")) / 2"),"#N/A")</f>
        <v>#N/A</v>
      </c>
      <c r="AC240" s="34">
        <f>IFERROR(__xludf.DUMMYFUNCTION("IFERROR(VALUE(REGEXEXTRACT(I240, ""No\.? of [Ss]ubs:\s*(\d+)"")), 0) + IFERROR(VALUE(REGEXEXTRACT(I240, ""Affected Users(?:\s*\(From IM\))?:?\s*(\d+)"")), 0) + IFERROR(VALUE(REGEXEXTRACT(I240, ""Affected Clients:\s*(\d+)"")), 0)"),0.0)</f>
        <v>0</v>
      </c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33" t="str">
        <f>IFERROR(__xludf.DUMMYFUNCTION("LEN(REGEXREPLACE(REGEXREPLACE(REGEXEXTRACT(I241, ""(?s)Affected Nodes/Links(.*)""), ""https://[^\s]+"", """"), ""[^/]"", """")) / 2"),"#N/A")</f>
        <v>#N/A</v>
      </c>
      <c r="AC241" s="34">
        <f>IFERROR(__xludf.DUMMYFUNCTION("IFERROR(VALUE(REGEXEXTRACT(I241, ""No\.? of [Ss]ubs:\s*(\d+)"")), 0) + IFERROR(VALUE(REGEXEXTRACT(I241, ""Affected Users(?:\s*\(From IM\))?:?\s*(\d+)"")), 0) + IFERROR(VALUE(REGEXEXTRACT(I241, ""Affected Clients:\s*(\d+)"")), 0)"),0.0)</f>
        <v>0</v>
      </c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33" t="str">
        <f>IFERROR(__xludf.DUMMYFUNCTION("LEN(REGEXREPLACE(REGEXREPLACE(REGEXEXTRACT(I242, ""(?s)Affected Nodes/Links(.*)""), ""https://[^\s]+"", """"), ""[^/]"", """")) / 2"),"#N/A")</f>
        <v>#N/A</v>
      </c>
      <c r="AC242" s="34">
        <f>IFERROR(__xludf.DUMMYFUNCTION("IFERROR(VALUE(REGEXEXTRACT(I242, ""No\.? of [Ss]ubs:\s*(\d+)"")), 0) + IFERROR(VALUE(REGEXEXTRACT(I242, ""Affected Users(?:\s*\(From IM\))?:?\s*(\d+)"")), 0) + IFERROR(VALUE(REGEXEXTRACT(I242, ""Affected Clients:\s*(\d+)"")), 0)"),0.0)</f>
        <v>0</v>
      </c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33" t="str">
        <f>IFERROR(__xludf.DUMMYFUNCTION("LEN(REGEXREPLACE(REGEXREPLACE(REGEXEXTRACT(I243, ""(?s)Affected Nodes/Links(.*)""), ""https://[^\s]+"", """"), ""[^/]"", """")) / 2"),"#N/A")</f>
        <v>#N/A</v>
      </c>
      <c r="AC243" s="34">
        <f>IFERROR(__xludf.DUMMYFUNCTION("IFERROR(VALUE(REGEXEXTRACT(I243, ""No\.? of [Ss]ubs:\s*(\d+)"")), 0) + IFERROR(VALUE(REGEXEXTRACT(I243, ""Affected Users(?:\s*\(From IM\))?:?\s*(\d+)"")), 0) + IFERROR(VALUE(REGEXEXTRACT(I243, ""Affected Clients:\s*(\d+)"")), 0)"),0.0)</f>
        <v>0</v>
      </c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33" t="str">
        <f>IFERROR(__xludf.DUMMYFUNCTION("LEN(REGEXREPLACE(REGEXREPLACE(REGEXEXTRACT(I244, ""(?s)Affected Nodes/Links(.*)""), ""https://[^\s]+"", """"), ""[^/]"", """")) / 2"),"#N/A")</f>
        <v>#N/A</v>
      </c>
      <c r="AC244" s="34">
        <f>IFERROR(__xludf.DUMMYFUNCTION("IFERROR(VALUE(REGEXEXTRACT(I244, ""No\.? of [Ss]ubs:\s*(\d+)"")), 0) + IFERROR(VALUE(REGEXEXTRACT(I244, ""Affected Users(?:\s*\(From IM\))?:?\s*(\d+)"")), 0) + IFERROR(VALUE(REGEXEXTRACT(I244, ""Affected Clients:\s*(\d+)"")), 0)"),0.0)</f>
        <v>0</v>
      </c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33" t="str">
        <f>IFERROR(__xludf.DUMMYFUNCTION("LEN(REGEXREPLACE(REGEXREPLACE(REGEXEXTRACT(I245, ""(?s)Affected Nodes/Links(.*)""), ""https://[^\s]+"", """"), ""[^/]"", """")) / 2"),"#N/A")</f>
        <v>#N/A</v>
      </c>
      <c r="AC245" s="34">
        <f>IFERROR(__xludf.DUMMYFUNCTION("IFERROR(VALUE(REGEXEXTRACT(I245, ""No\.? of [Ss]ubs:\s*(\d+)"")), 0) + IFERROR(VALUE(REGEXEXTRACT(I245, ""Affected Users(?:\s*\(From IM\))?:?\s*(\d+)"")), 0) + IFERROR(VALUE(REGEXEXTRACT(I245, ""Affected Clients:\s*(\d+)"")), 0)"),0.0)</f>
        <v>0</v>
      </c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33" t="str">
        <f>IFERROR(__xludf.DUMMYFUNCTION("LEN(REGEXREPLACE(REGEXREPLACE(REGEXEXTRACT(I246, ""(?s)Affected Nodes/Links(.*)""), ""https://[^\s]+"", """"), ""[^/]"", """")) / 2"),"#N/A")</f>
        <v>#N/A</v>
      </c>
      <c r="AC246" s="34">
        <f>IFERROR(__xludf.DUMMYFUNCTION("IFERROR(VALUE(REGEXEXTRACT(I246, ""No\.? of [Ss]ubs:\s*(\d+)"")), 0) + IFERROR(VALUE(REGEXEXTRACT(I246, ""Affected Users(?:\s*\(From IM\))?:?\s*(\d+)"")), 0) + IFERROR(VALUE(REGEXEXTRACT(I246, ""Affected Clients:\s*(\d+)"")), 0)"),0.0)</f>
        <v>0</v>
      </c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33" t="str">
        <f>IFERROR(__xludf.DUMMYFUNCTION("LEN(REGEXREPLACE(REGEXREPLACE(REGEXEXTRACT(I247, ""(?s)Affected Nodes/Links(.*)""), ""https://[^\s]+"", """"), ""[^/]"", """")) / 2"),"#N/A")</f>
        <v>#N/A</v>
      </c>
      <c r="AC247" s="34">
        <f>IFERROR(__xludf.DUMMYFUNCTION("IFERROR(VALUE(REGEXEXTRACT(I247, ""No\.? of [Ss]ubs:\s*(\d+)"")), 0) + IFERROR(VALUE(REGEXEXTRACT(I247, ""Affected Users(?:\s*\(From IM\))?:?\s*(\d+)"")), 0) + IFERROR(VALUE(REGEXEXTRACT(I247, ""Affected Clients:\s*(\d+)"")), 0)"),0.0)</f>
        <v>0</v>
      </c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33" t="str">
        <f>IFERROR(__xludf.DUMMYFUNCTION("LEN(REGEXREPLACE(REGEXREPLACE(REGEXEXTRACT(I248, ""(?s)Affected Nodes/Links(.*)""), ""https://[^\s]+"", """"), ""[^/]"", """")) / 2"),"#N/A")</f>
        <v>#N/A</v>
      </c>
      <c r="AC248" s="34">
        <f>IFERROR(__xludf.DUMMYFUNCTION("IFERROR(VALUE(REGEXEXTRACT(I248, ""No\.? of [Ss]ubs:\s*(\d+)"")), 0) + IFERROR(VALUE(REGEXEXTRACT(I248, ""Affected Users(?:\s*\(From IM\))?:?\s*(\d+)"")), 0) + IFERROR(VALUE(REGEXEXTRACT(I248, ""Affected Clients:\s*(\d+)"")), 0)"),0.0)</f>
        <v>0</v>
      </c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33" t="str">
        <f>IFERROR(__xludf.DUMMYFUNCTION("LEN(REGEXREPLACE(REGEXREPLACE(REGEXEXTRACT(I249, ""(?s)Affected Nodes/Links(.*)""), ""https://[^\s]+"", """"), ""[^/]"", """")) / 2"),"#N/A")</f>
        <v>#N/A</v>
      </c>
      <c r="AC249" s="34">
        <f>IFERROR(__xludf.DUMMYFUNCTION("IFERROR(VALUE(REGEXEXTRACT(I249, ""No\.? of [Ss]ubs:\s*(\d+)"")), 0) + IFERROR(VALUE(REGEXEXTRACT(I249, ""Affected Users(?:\s*\(From IM\))?:?\s*(\d+)"")), 0) + IFERROR(VALUE(REGEXEXTRACT(I249, ""Affected Clients:\s*(\d+)"")), 0)"),0.0)</f>
        <v>0</v>
      </c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33" t="str">
        <f>IFERROR(__xludf.DUMMYFUNCTION("LEN(REGEXREPLACE(REGEXREPLACE(REGEXEXTRACT(I250, ""(?s)Affected Nodes/Links(.*)""), ""https://[^\s]+"", """"), ""[^/]"", """")) / 2"),"#N/A")</f>
        <v>#N/A</v>
      </c>
      <c r="AC250" s="34">
        <f>IFERROR(__xludf.DUMMYFUNCTION("IFERROR(VALUE(REGEXEXTRACT(I250, ""No\.? of [Ss]ubs:\s*(\d+)"")), 0) + IFERROR(VALUE(REGEXEXTRACT(I250, ""Affected Users(?:\s*\(From IM\))?:?\s*(\d+)"")), 0) + IFERROR(VALUE(REGEXEXTRACT(I250, ""Affected Clients:\s*(\d+)"")), 0)"),0.0)</f>
        <v>0</v>
      </c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33" t="str">
        <f>IFERROR(__xludf.DUMMYFUNCTION("LEN(REGEXREPLACE(REGEXREPLACE(REGEXEXTRACT(I251, ""(?s)Affected Nodes/Links(.*)""), ""https://[^\s]+"", """"), ""[^/]"", """")) / 2"),"#N/A")</f>
        <v>#N/A</v>
      </c>
      <c r="AC251" s="34">
        <f>IFERROR(__xludf.DUMMYFUNCTION("IFERROR(VALUE(REGEXEXTRACT(I251, ""No\.? of [Ss]ubs:\s*(\d+)"")), 0) + IFERROR(VALUE(REGEXEXTRACT(I251, ""Affected Users(?:\s*\(From IM\))?:?\s*(\d+)"")), 0) + IFERROR(VALUE(REGEXEXTRACT(I251, ""Affected Clients:\s*(\d+)"")), 0)"),0.0)</f>
        <v>0</v>
      </c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33" t="str">
        <f>IFERROR(__xludf.DUMMYFUNCTION("LEN(REGEXREPLACE(REGEXREPLACE(REGEXEXTRACT(I252, ""(?s)Affected Nodes/Links(.*)""), ""https://[^\s]+"", """"), ""[^/]"", """")) / 2"),"#N/A")</f>
        <v>#N/A</v>
      </c>
      <c r="AC252" s="34">
        <f>IFERROR(__xludf.DUMMYFUNCTION("IFERROR(VALUE(REGEXEXTRACT(I252, ""No\.? of [Ss]ubs:\s*(\d+)"")), 0) + IFERROR(VALUE(REGEXEXTRACT(I252, ""Affected Users(?:\s*\(From IM\))?:?\s*(\d+)"")), 0) + IFERROR(VALUE(REGEXEXTRACT(I252, ""Affected Clients:\s*(\d+)"")), 0)"),0.0)</f>
        <v>0</v>
      </c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33" t="str">
        <f>IFERROR(__xludf.DUMMYFUNCTION("LEN(REGEXREPLACE(REGEXREPLACE(REGEXEXTRACT(I253, ""(?s)Affected Nodes/Links(.*)""), ""https://[^\s]+"", """"), ""[^/]"", """")) / 2"),"#N/A")</f>
        <v>#N/A</v>
      </c>
      <c r="AC253" s="34">
        <f>IFERROR(__xludf.DUMMYFUNCTION("IFERROR(VALUE(REGEXEXTRACT(I253, ""No\.? of [Ss]ubs:\s*(\d+)"")), 0) + IFERROR(VALUE(REGEXEXTRACT(I253, ""Affected Users(?:\s*\(From IM\))?:?\s*(\d+)"")), 0) + IFERROR(VALUE(REGEXEXTRACT(I253, ""Affected Clients:\s*(\d+)"")), 0)"),0.0)</f>
        <v>0</v>
      </c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33" t="str">
        <f>IFERROR(__xludf.DUMMYFUNCTION("LEN(REGEXREPLACE(REGEXREPLACE(REGEXEXTRACT(I254, ""(?s)Affected Nodes/Links(.*)""), ""https://[^\s]+"", """"), ""[^/]"", """")) / 2"),"#N/A")</f>
        <v>#N/A</v>
      </c>
      <c r="AC254" s="34">
        <f>IFERROR(__xludf.DUMMYFUNCTION("IFERROR(VALUE(REGEXEXTRACT(I254, ""No\.? of [Ss]ubs:\s*(\d+)"")), 0) + IFERROR(VALUE(REGEXEXTRACT(I254, ""Affected Users(?:\s*\(From IM\))?:?\s*(\d+)"")), 0) + IFERROR(VALUE(REGEXEXTRACT(I254, ""Affected Clients:\s*(\d+)"")), 0)"),0.0)</f>
        <v>0</v>
      </c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33" t="str">
        <f>IFERROR(__xludf.DUMMYFUNCTION("LEN(REGEXREPLACE(REGEXREPLACE(REGEXEXTRACT(I255, ""(?s)Affected Nodes/Links(.*)""), ""https://[^\s]+"", """"), ""[^/]"", """")) / 2"),"#N/A")</f>
        <v>#N/A</v>
      </c>
      <c r="AC255" s="34">
        <f>IFERROR(__xludf.DUMMYFUNCTION("IFERROR(VALUE(REGEXEXTRACT(I255, ""No\.? of [Ss]ubs:\s*(\d+)"")), 0) + IFERROR(VALUE(REGEXEXTRACT(I255, ""Affected Users(?:\s*\(From IM\))?:?\s*(\d+)"")), 0) + IFERROR(VALUE(REGEXEXTRACT(I255, ""Affected Clients:\s*(\d+)"")), 0)"),0.0)</f>
        <v>0</v>
      </c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33" t="str">
        <f>IFERROR(__xludf.DUMMYFUNCTION("LEN(REGEXREPLACE(REGEXREPLACE(REGEXEXTRACT(I256, ""(?s)Affected Nodes/Links(.*)""), ""https://[^\s]+"", """"), ""[^/]"", """")) / 2"),"#N/A")</f>
        <v>#N/A</v>
      </c>
      <c r="AC256" s="34">
        <f>IFERROR(__xludf.DUMMYFUNCTION("IFERROR(VALUE(REGEXEXTRACT(I256, ""No\.? of [Ss]ubs:\s*(\d+)"")), 0) + IFERROR(VALUE(REGEXEXTRACT(I256, ""Affected Users(?:\s*\(From IM\))?:?\s*(\d+)"")), 0) + IFERROR(VALUE(REGEXEXTRACT(I256, ""Affected Clients:\s*(\d+)"")), 0)"),0.0)</f>
        <v>0</v>
      </c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33" t="str">
        <f>IFERROR(__xludf.DUMMYFUNCTION("LEN(REGEXREPLACE(REGEXREPLACE(REGEXEXTRACT(I257, ""(?s)Affected Nodes/Links(.*)""), ""https://[^\s]+"", """"), ""[^/]"", """")) / 2"),"#N/A")</f>
        <v>#N/A</v>
      </c>
      <c r="AC257" s="34">
        <f>IFERROR(__xludf.DUMMYFUNCTION("IFERROR(VALUE(REGEXEXTRACT(I257, ""No\.? of [Ss]ubs:\s*(\d+)"")), 0) + IFERROR(VALUE(REGEXEXTRACT(I257, ""Affected Users(?:\s*\(From IM\))?:?\s*(\d+)"")), 0) + IFERROR(VALUE(REGEXEXTRACT(I257, ""Affected Clients:\s*(\d+)"")), 0)"),0.0)</f>
        <v>0</v>
      </c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33" t="str">
        <f>IFERROR(__xludf.DUMMYFUNCTION("LEN(REGEXREPLACE(REGEXREPLACE(REGEXEXTRACT(I258, ""(?s)Affected Nodes/Links(.*)""), ""https://[^\s]+"", """"), ""[^/]"", """")) / 2"),"#N/A")</f>
        <v>#N/A</v>
      </c>
      <c r="AC258" s="34">
        <f>IFERROR(__xludf.DUMMYFUNCTION("IFERROR(VALUE(REGEXEXTRACT(I258, ""No\.? of [Ss]ubs:\s*(\d+)"")), 0) + IFERROR(VALUE(REGEXEXTRACT(I258, ""Affected Users(?:\s*\(From IM\))?:?\s*(\d+)"")), 0) + IFERROR(VALUE(REGEXEXTRACT(I258, ""Affected Clients:\s*(\d+)"")), 0)"),0.0)</f>
        <v>0</v>
      </c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33" t="str">
        <f>IFERROR(__xludf.DUMMYFUNCTION("LEN(REGEXREPLACE(REGEXREPLACE(REGEXEXTRACT(I259, ""(?s)Affected Nodes/Links(.*)""), ""https://[^\s]+"", """"), ""[^/]"", """")) / 2"),"#N/A")</f>
        <v>#N/A</v>
      </c>
      <c r="AC259" s="34">
        <f>IFERROR(__xludf.DUMMYFUNCTION("IFERROR(VALUE(REGEXEXTRACT(I259, ""No\.? of [Ss]ubs:\s*(\d+)"")), 0) + IFERROR(VALUE(REGEXEXTRACT(I259, ""Affected Users(?:\s*\(From IM\))?:?\s*(\d+)"")), 0) + IFERROR(VALUE(REGEXEXTRACT(I259, ""Affected Clients:\s*(\d+)"")), 0)"),0.0)</f>
        <v>0</v>
      </c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33" t="str">
        <f>IFERROR(__xludf.DUMMYFUNCTION("LEN(REGEXREPLACE(REGEXREPLACE(REGEXEXTRACT(I260, ""(?s)Affected Nodes/Links(.*)""), ""https://[^\s]+"", """"), ""[^/]"", """")) / 2"),"#N/A")</f>
        <v>#N/A</v>
      </c>
      <c r="AC260" s="34">
        <f>IFERROR(__xludf.DUMMYFUNCTION("IFERROR(VALUE(REGEXEXTRACT(I260, ""No\.? of [Ss]ubs:\s*(\d+)"")), 0) + IFERROR(VALUE(REGEXEXTRACT(I260, ""Affected Users(?:\s*\(From IM\))?:?\s*(\d+)"")), 0) + IFERROR(VALUE(REGEXEXTRACT(I260, ""Affected Clients:\s*(\d+)"")), 0)"),0.0)</f>
        <v>0</v>
      </c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33" t="str">
        <f>IFERROR(__xludf.DUMMYFUNCTION("LEN(REGEXREPLACE(REGEXREPLACE(REGEXEXTRACT(I261, ""(?s)Affected Nodes/Links(.*)""), ""https://[^\s]+"", """"), ""[^/]"", """")) / 2"),"#N/A")</f>
        <v>#N/A</v>
      </c>
      <c r="AC261" s="34">
        <f>IFERROR(__xludf.DUMMYFUNCTION("IFERROR(VALUE(REGEXEXTRACT(I261, ""No\.? of [Ss]ubs:\s*(\d+)"")), 0) + IFERROR(VALUE(REGEXEXTRACT(I261, ""Affected Users(?:\s*\(From IM\))?:?\s*(\d+)"")), 0) + IFERROR(VALUE(REGEXEXTRACT(I261, ""Affected Clients:\s*(\d+)"")), 0)"),0.0)</f>
        <v>0</v>
      </c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33" t="str">
        <f>IFERROR(__xludf.DUMMYFUNCTION("LEN(REGEXREPLACE(REGEXREPLACE(REGEXEXTRACT(I262, ""(?s)Affected Nodes/Links(.*)""), ""https://[^\s]+"", """"), ""[^/]"", """")) / 2"),"#N/A")</f>
        <v>#N/A</v>
      </c>
      <c r="AC262" s="34">
        <f>IFERROR(__xludf.DUMMYFUNCTION("IFERROR(VALUE(REGEXEXTRACT(I262, ""No\.? of [Ss]ubs:\s*(\d+)"")), 0) + IFERROR(VALUE(REGEXEXTRACT(I262, ""Affected Users(?:\s*\(From IM\))?:?\s*(\d+)"")), 0) + IFERROR(VALUE(REGEXEXTRACT(I262, ""Affected Clients:\s*(\d+)"")), 0)"),0.0)</f>
        <v>0</v>
      </c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33" t="str">
        <f>IFERROR(__xludf.DUMMYFUNCTION("LEN(REGEXREPLACE(REGEXREPLACE(REGEXEXTRACT(I263, ""(?s)Affected Nodes/Links(.*)""), ""https://[^\s]+"", """"), ""[^/]"", """")) / 2"),"#N/A")</f>
        <v>#N/A</v>
      </c>
      <c r="AC263" s="34">
        <f>IFERROR(__xludf.DUMMYFUNCTION("IFERROR(VALUE(REGEXEXTRACT(I263, ""No\.? of [Ss]ubs:\s*(\d+)"")), 0) + IFERROR(VALUE(REGEXEXTRACT(I263, ""Affected Users(?:\s*\(From IM\))?:?\s*(\d+)"")), 0) + IFERROR(VALUE(REGEXEXTRACT(I263, ""Affected Clients:\s*(\d+)"")), 0)"),0.0)</f>
        <v>0</v>
      </c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33" t="str">
        <f>IFERROR(__xludf.DUMMYFUNCTION("LEN(REGEXREPLACE(REGEXREPLACE(REGEXEXTRACT(I264, ""(?s)Affected Nodes/Links(.*)""), ""https://[^\s]+"", """"), ""[^/]"", """")) / 2"),"#N/A")</f>
        <v>#N/A</v>
      </c>
      <c r="AC264" s="34">
        <f>IFERROR(__xludf.DUMMYFUNCTION("IFERROR(VALUE(REGEXEXTRACT(I264, ""No\.? of [Ss]ubs:\s*(\d+)"")), 0) + IFERROR(VALUE(REGEXEXTRACT(I264, ""Affected Users(?:\s*\(From IM\))?:?\s*(\d+)"")), 0) + IFERROR(VALUE(REGEXEXTRACT(I264, ""Affected Clients:\s*(\d+)"")), 0)"),0.0)</f>
        <v>0</v>
      </c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33" t="str">
        <f>IFERROR(__xludf.DUMMYFUNCTION("LEN(REGEXREPLACE(REGEXREPLACE(REGEXEXTRACT(I265, ""(?s)Affected Nodes/Links(.*)""), ""https://[^\s]+"", """"), ""[^/]"", """")) / 2"),"#N/A")</f>
        <v>#N/A</v>
      </c>
      <c r="AC265" s="34">
        <f>IFERROR(__xludf.DUMMYFUNCTION("IFERROR(VALUE(REGEXEXTRACT(I265, ""No\.? of [Ss]ubs:\s*(\d+)"")), 0) + IFERROR(VALUE(REGEXEXTRACT(I265, ""Affected Users(?:\s*\(From IM\))?:?\s*(\d+)"")), 0) + IFERROR(VALUE(REGEXEXTRACT(I265, ""Affected Clients:\s*(\d+)"")), 0)"),0.0)</f>
        <v>0</v>
      </c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33" t="str">
        <f>IFERROR(__xludf.DUMMYFUNCTION("LEN(REGEXREPLACE(REGEXREPLACE(REGEXEXTRACT(I266, ""(?s)Affected Nodes/Links(.*)""), ""https://[^\s]+"", """"), ""[^/]"", """")) / 2"),"#N/A")</f>
        <v>#N/A</v>
      </c>
      <c r="AC266" s="34">
        <f>IFERROR(__xludf.DUMMYFUNCTION("IFERROR(VALUE(REGEXEXTRACT(I266, ""No\.? of [Ss]ubs:\s*(\d+)"")), 0) + IFERROR(VALUE(REGEXEXTRACT(I266, ""Affected Users(?:\s*\(From IM\))?:?\s*(\d+)"")), 0) + IFERROR(VALUE(REGEXEXTRACT(I266, ""Affected Clients:\s*(\d+)"")), 0)"),0.0)</f>
        <v>0</v>
      </c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33" t="str">
        <f>IFERROR(__xludf.DUMMYFUNCTION("LEN(REGEXREPLACE(REGEXREPLACE(REGEXEXTRACT(I267, ""(?s)Affected Nodes/Links(.*)""), ""https://[^\s]+"", """"), ""[^/]"", """")) / 2"),"#N/A")</f>
        <v>#N/A</v>
      </c>
      <c r="AC267" s="34">
        <f>IFERROR(__xludf.DUMMYFUNCTION("IFERROR(VALUE(REGEXEXTRACT(I267, ""No\.? of [Ss]ubs:\s*(\d+)"")), 0) + IFERROR(VALUE(REGEXEXTRACT(I267, ""Affected Users(?:\s*\(From IM\))?:?\s*(\d+)"")), 0) + IFERROR(VALUE(REGEXEXTRACT(I267, ""Affected Clients:\s*(\d+)"")), 0)"),0.0)</f>
        <v>0</v>
      </c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33" t="str">
        <f>IFERROR(__xludf.DUMMYFUNCTION("LEN(REGEXREPLACE(REGEXREPLACE(REGEXEXTRACT(I268, ""(?s)Affected Nodes/Links(.*)""), ""https://[^\s]+"", """"), ""[^/]"", """")) / 2"),"#N/A")</f>
        <v>#N/A</v>
      </c>
      <c r="AC268" s="34">
        <f>IFERROR(__xludf.DUMMYFUNCTION("IFERROR(VALUE(REGEXEXTRACT(I268, ""No\.? of [Ss]ubs:\s*(\d+)"")), 0) + IFERROR(VALUE(REGEXEXTRACT(I268, ""Affected Users(?:\s*\(From IM\))?:?\s*(\d+)"")), 0) + IFERROR(VALUE(REGEXEXTRACT(I268, ""Affected Clients:\s*(\d+)"")), 0)"),0.0)</f>
        <v>0</v>
      </c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33" t="str">
        <f>IFERROR(__xludf.DUMMYFUNCTION("LEN(REGEXREPLACE(REGEXREPLACE(REGEXEXTRACT(I269, ""(?s)Affected Nodes/Links(.*)""), ""https://[^\s]+"", """"), ""[^/]"", """")) / 2"),"#N/A")</f>
        <v>#N/A</v>
      </c>
      <c r="AC269" s="34">
        <f>IFERROR(__xludf.DUMMYFUNCTION("IFERROR(VALUE(REGEXEXTRACT(I269, ""No\.? of [Ss]ubs:\s*(\d+)"")), 0) + IFERROR(VALUE(REGEXEXTRACT(I269, ""Affected Users(?:\s*\(From IM\))?:?\s*(\d+)"")), 0) + IFERROR(VALUE(REGEXEXTRACT(I269, ""Affected Clients:\s*(\d+)"")), 0)"),0.0)</f>
        <v>0</v>
      </c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33" t="str">
        <f>IFERROR(__xludf.DUMMYFUNCTION("LEN(REGEXREPLACE(REGEXREPLACE(REGEXEXTRACT(I270, ""(?s)Affected Nodes/Links(.*)""), ""https://[^\s]+"", """"), ""[^/]"", """")) / 2"),"#N/A")</f>
        <v>#N/A</v>
      </c>
      <c r="AC270" s="34">
        <f>IFERROR(__xludf.DUMMYFUNCTION("IFERROR(VALUE(REGEXEXTRACT(I270, ""No\.? of [Ss]ubs:\s*(\d+)"")), 0) + IFERROR(VALUE(REGEXEXTRACT(I270, ""Affected Users(?:\s*\(From IM\))?:?\s*(\d+)"")), 0) + IFERROR(VALUE(REGEXEXTRACT(I270, ""Affected Clients:\s*(\d+)"")), 0)"),0.0)</f>
        <v>0</v>
      </c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33" t="str">
        <f>IFERROR(__xludf.DUMMYFUNCTION("LEN(REGEXREPLACE(REGEXREPLACE(REGEXEXTRACT(I271, ""(?s)Affected Nodes/Links(.*)""), ""https://[^\s]+"", """"), ""[^/]"", """")) / 2"),"#N/A")</f>
        <v>#N/A</v>
      </c>
      <c r="AC271" s="34">
        <f>IFERROR(__xludf.DUMMYFUNCTION("IFERROR(VALUE(REGEXEXTRACT(I271, ""No\.? of [Ss]ubs:\s*(\d+)"")), 0) + IFERROR(VALUE(REGEXEXTRACT(I271, ""Affected Users(?:\s*\(From IM\))?:?\s*(\d+)"")), 0) + IFERROR(VALUE(REGEXEXTRACT(I271, ""Affected Clients:\s*(\d+)"")), 0)"),0.0)</f>
        <v>0</v>
      </c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33" t="str">
        <f>IFERROR(__xludf.DUMMYFUNCTION("LEN(REGEXREPLACE(REGEXREPLACE(REGEXEXTRACT(I272, ""(?s)Affected Nodes/Links(.*)""), ""https://[^\s]+"", """"), ""[^/]"", """")) / 2"),"#N/A")</f>
        <v>#N/A</v>
      </c>
      <c r="AC272" s="34">
        <f>IFERROR(__xludf.DUMMYFUNCTION("IFERROR(VALUE(REGEXEXTRACT(I272, ""No\.? of [Ss]ubs:\s*(\d+)"")), 0) + IFERROR(VALUE(REGEXEXTRACT(I272, ""Affected Users(?:\s*\(From IM\))?:?\s*(\d+)"")), 0) + IFERROR(VALUE(REGEXEXTRACT(I272, ""Affected Clients:\s*(\d+)"")), 0)"),0.0)</f>
        <v>0</v>
      </c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33" t="str">
        <f>IFERROR(__xludf.DUMMYFUNCTION("LEN(REGEXREPLACE(REGEXREPLACE(REGEXEXTRACT(I273, ""(?s)Affected Nodes/Links(.*)""), ""https://[^\s]+"", """"), ""[^/]"", """")) / 2"),"#N/A")</f>
        <v>#N/A</v>
      </c>
      <c r="AC273" s="34">
        <f>IFERROR(__xludf.DUMMYFUNCTION("IFERROR(VALUE(REGEXEXTRACT(I273, ""No\.? of [Ss]ubs:\s*(\d+)"")), 0) + IFERROR(VALUE(REGEXEXTRACT(I273, ""Affected Users(?:\s*\(From IM\))?:?\s*(\d+)"")), 0) + IFERROR(VALUE(REGEXEXTRACT(I273, ""Affected Clients:\s*(\d+)"")), 0)"),0.0)</f>
        <v>0</v>
      </c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33" t="str">
        <f>IFERROR(__xludf.DUMMYFUNCTION("LEN(REGEXREPLACE(REGEXREPLACE(REGEXEXTRACT(I274, ""(?s)Affected Nodes/Links(.*)""), ""https://[^\s]+"", """"), ""[^/]"", """")) / 2"),"#N/A")</f>
        <v>#N/A</v>
      </c>
      <c r="AC274" s="34">
        <f>IFERROR(__xludf.DUMMYFUNCTION("IFERROR(VALUE(REGEXEXTRACT(I274, ""No\.? of [Ss]ubs:\s*(\d+)"")), 0) + IFERROR(VALUE(REGEXEXTRACT(I274, ""Affected Users(?:\s*\(From IM\))?:?\s*(\d+)"")), 0) + IFERROR(VALUE(REGEXEXTRACT(I274, ""Affected Clients:\s*(\d+)"")), 0)"),0.0)</f>
        <v>0</v>
      </c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33" t="str">
        <f>IFERROR(__xludf.DUMMYFUNCTION("LEN(REGEXREPLACE(REGEXREPLACE(REGEXEXTRACT(I275, ""(?s)Affected Nodes/Links(.*)""), ""https://[^\s]+"", """"), ""[^/]"", """")) / 2"),"#N/A")</f>
        <v>#N/A</v>
      </c>
      <c r="AC275" s="34">
        <f>IFERROR(__xludf.DUMMYFUNCTION("IFERROR(VALUE(REGEXEXTRACT(I275, ""No\.? of [Ss]ubs:\s*(\d+)"")), 0) + IFERROR(VALUE(REGEXEXTRACT(I275, ""Affected Users(?:\s*\(From IM\))?:?\s*(\d+)"")), 0) + IFERROR(VALUE(REGEXEXTRACT(I275, ""Affected Clients:\s*(\d+)"")), 0)"),0.0)</f>
        <v>0</v>
      </c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33" t="str">
        <f>IFERROR(__xludf.DUMMYFUNCTION("LEN(REGEXREPLACE(REGEXREPLACE(REGEXEXTRACT(I276, ""(?s)Affected Nodes/Links(.*)""), ""https://[^\s]+"", """"), ""[^/]"", """")) / 2"),"#N/A")</f>
        <v>#N/A</v>
      </c>
      <c r="AC276" s="34">
        <f>IFERROR(__xludf.DUMMYFUNCTION("IFERROR(VALUE(REGEXEXTRACT(I276, ""No\.? of [Ss]ubs:\s*(\d+)"")), 0) + IFERROR(VALUE(REGEXEXTRACT(I276, ""Affected Users(?:\s*\(From IM\))?:?\s*(\d+)"")), 0) + IFERROR(VALUE(REGEXEXTRACT(I276, ""Affected Clients:\s*(\d+)"")), 0)"),0.0)</f>
        <v>0</v>
      </c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33" t="str">
        <f>IFERROR(__xludf.DUMMYFUNCTION("LEN(REGEXREPLACE(REGEXREPLACE(REGEXEXTRACT(I277, ""(?s)Affected Nodes/Links(.*)""), ""https://[^\s]+"", """"), ""[^/]"", """")) / 2"),"#N/A")</f>
        <v>#N/A</v>
      </c>
      <c r="AC277" s="34">
        <f>IFERROR(__xludf.DUMMYFUNCTION("IFERROR(VALUE(REGEXEXTRACT(I277, ""No\.? of [Ss]ubs:\s*(\d+)"")), 0) + IFERROR(VALUE(REGEXEXTRACT(I277, ""Affected Users(?:\s*\(From IM\))?:?\s*(\d+)"")), 0) + IFERROR(VALUE(REGEXEXTRACT(I277, ""Affected Clients:\s*(\d+)"")), 0)"),0.0)</f>
        <v>0</v>
      </c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33" t="str">
        <f>IFERROR(__xludf.DUMMYFUNCTION("LEN(REGEXREPLACE(REGEXREPLACE(REGEXEXTRACT(I278, ""(?s)Affected Nodes/Links(.*)""), ""https://[^\s]+"", """"), ""[^/]"", """")) / 2"),"#N/A")</f>
        <v>#N/A</v>
      </c>
      <c r="AC278" s="34">
        <f>IFERROR(__xludf.DUMMYFUNCTION("IFERROR(VALUE(REGEXEXTRACT(I278, ""No\.? of [Ss]ubs:\s*(\d+)"")), 0) + IFERROR(VALUE(REGEXEXTRACT(I278, ""Affected Users(?:\s*\(From IM\))?:?\s*(\d+)"")), 0) + IFERROR(VALUE(REGEXEXTRACT(I278, ""Affected Clients:\s*(\d+)"")), 0)"),0.0)</f>
        <v>0</v>
      </c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33" t="str">
        <f>IFERROR(__xludf.DUMMYFUNCTION("LEN(REGEXREPLACE(REGEXREPLACE(REGEXEXTRACT(I279, ""(?s)Affected Nodes/Links(.*)""), ""https://[^\s]+"", """"), ""[^/]"", """")) / 2"),"#N/A")</f>
        <v>#N/A</v>
      </c>
      <c r="AC279" s="34">
        <f>IFERROR(__xludf.DUMMYFUNCTION("IFERROR(VALUE(REGEXEXTRACT(I279, ""No\.? of [Ss]ubs:\s*(\d+)"")), 0) + IFERROR(VALUE(REGEXEXTRACT(I279, ""Affected Users(?:\s*\(From IM\))?:?\s*(\d+)"")), 0) + IFERROR(VALUE(REGEXEXTRACT(I279, ""Affected Clients:\s*(\d+)"")), 0)"),0.0)</f>
        <v>0</v>
      </c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33" t="str">
        <f>IFERROR(__xludf.DUMMYFUNCTION("LEN(REGEXREPLACE(REGEXREPLACE(REGEXEXTRACT(I280, ""(?s)Affected Nodes/Links(.*)""), ""https://[^\s]+"", """"), ""[^/]"", """")) / 2"),"#N/A")</f>
        <v>#N/A</v>
      </c>
      <c r="AC280" s="34">
        <f>IFERROR(__xludf.DUMMYFUNCTION("IFERROR(VALUE(REGEXEXTRACT(I280, ""No\.? of [Ss]ubs:\s*(\d+)"")), 0) + IFERROR(VALUE(REGEXEXTRACT(I280, ""Affected Users(?:\s*\(From IM\))?:?\s*(\d+)"")), 0) + IFERROR(VALUE(REGEXEXTRACT(I280, ""Affected Clients:\s*(\d+)"")), 0)"),0.0)</f>
        <v>0</v>
      </c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33" t="str">
        <f>IFERROR(__xludf.DUMMYFUNCTION("LEN(REGEXREPLACE(REGEXREPLACE(REGEXEXTRACT(I281, ""(?s)Affected Nodes/Links(.*)""), ""https://[^\s]+"", """"), ""[^/]"", """")) / 2"),"#N/A")</f>
        <v>#N/A</v>
      </c>
      <c r="AC281" s="34">
        <f>IFERROR(__xludf.DUMMYFUNCTION("IFERROR(VALUE(REGEXEXTRACT(I281, ""No\.? of [Ss]ubs:\s*(\d+)"")), 0) + IFERROR(VALUE(REGEXEXTRACT(I281, ""Affected Users(?:\s*\(From IM\))?:?\s*(\d+)"")), 0) + IFERROR(VALUE(REGEXEXTRACT(I281, ""Affected Clients:\s*(\d+)"")), 0)"),0.0)</f>
        <v>0</v>
      </c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33" t="str">
        <f>IFERROR(__xludf.DUMMYFUNCTION("LEN(REGEXREPLACE(REGEXREPLACE(REGEXEXTRACT(I282, ""(?s)Affected Nodes/Links(.*)""), ""https://[^\s]+"", """"), ""[^/]"", """")) / 2"),"#N/A")</f>
        <v>#N/A</v>
      </c>
      <c r="AC282" s="34">
        <f>IFERROR(__xludf.DUMMYFUNCTION("IFERROR(VALUE(REGEXEXTRACT(I282, ""No\.? of [Ss]ubs:\s*(\d+)"")), 0) + IFERROR(VALUE(REGEXEXTRACT(I282, ""Affected Users(?:\s*\(From IM\))?:?\s*(\d+)"")), 0) + IFERROR(VALUE(REGEXEXTRACT(I282, ""Affected Clients:\s*(\d+)"")), 0)"),0.0)</f>
        <v>0</v>
      </c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33" t="str">
        <f>IFERROR(__xludf.DUMMYFUNCTION("LEN(REGEXREPLACE(REGEXREPLACE(REGEXEXTRACT(I283, ""(?s)Affected Nodes/Links(.*)""), ""https://[^\s]+"", """"), ""[^/]"", """")) / 2"),"#N/A")</f>
        <v>#N/A</v>
      </c>
      <c r="AC283" s="34">
        <f>IFERROR(__xludf.DUMMYFUNCTION("IFERROR(VALUE(REGEXEXTRACT(I283, ""No\.? of [Ss]ubs:\s*(\d+)"")), 0) + IFERROR(VALUE(REGEXEXTRACT(I283, ""Affected Users(?:\s*\(From IM\))?:?\s*(\d+)"")), 0) + IFERROR(VALUE(REGEXEXTRACT(I283, ""Affected Clients:\s*(\d+)"")), 0)"),0.0)</f>
        <v>0</v>
      </c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33" t="str">
        <f>IFERROR(__xludf.DUMMYFUNCTION("LEN(REGEXREPLACE(REGEXREPLACE(REGEXEXTRACT(I284, ""(?s)Affected Nodes/Links(.*)""), ""https://[^\s]+"", """"), ""[^/]"", """")) / 2"),"#N/A")</f>
        <v>#N/A</v>
      </c>
      <c r="AC284" s="34">
        <f>IFERROR(__xludf.DUMMYFUNCTION("IFERROR(VALUE(REGEXEXTRACT(I284, ""No\.? of [Ss]ubs:\s*(\d+)"")), 0) + IFERROR(VALUE(REGEXEXTRACT(I284, ""Affected Users(?:\s*\(From IM\))?:?\s*(\d+)"")), 0) + IFERROR(VALUE(REGEXEXTRACT(I284, ""Affected Clients:\s*(\d+)"")), 0)"),0.0)</f>
        <v>0</v>
      </c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33" t="str">
        <f>IFERROR(__xludf.DUMMYFUNCTION("LEN(REGEXREPLACE(REGEXREPLACE(REGEXEXTRACT(I285, ""(?s)Affected Nodes/Links(.*)""), ""https://[^\s]+"", """"), ""[^/]"", """")) / 2"),"#N/A")</f>
        <v>#N/A</v>
      </c>
      <c r="AC285" s="34">
        <f>IFERROR(__xludf.DUMMYFUNCTION("IFERROR(VALUE(REGEXEXTRACT(I285, ""No\.? of [Ss]ubs:\s*(\d+)"")), 0) + IFERROR(VALUE(REGEXEXTRACT(I285, ""Affected Users(?:\s*\(From IM\))?:?\s*(\d+)"")), 0) + IFERROR(VALUE(REGEXEXTRACT(I285, ""Affected Clients:\s*(\d+)"")), 0)"),0.0)</f>
        <v>0</v>
      </c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33" t="str">
        <f>IFERROR(__xludf.DUMMYFUNCTION("LEN(REGEXREPLACE(REGEXREPLACE(REGEXEXTRACT(I286, ""(?s)Affected Nodes/Links(.*)""), ""https://[^\s]+"", """"), ""[^/]"", """")) / 2"),"#N/A")</f>
        <v>#N/A</v>
      </c>
      <c r="AC286" s="34">
        <f>IFERROR(__xludf.DUMMYFUNCTION("IFERROR(VALUE(REGEXEXTRACT(I286, ""No\.? of [Ss]ubs:\s*(\d+)"")), 0) + IFERROR(VALUE(REGEXEXTRACT(I286, ""Affected Users(?:\s*\(From IM\))?:?\s*(\d+)"")), 0) + IFERROR(VALUE(REGEXEXTRACT(I286, ""Affected Clients:\s*(\d+)"")), 0)"),0.0)</f>
        <v>0</v>
      </c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33" t="str">
        <f>IFERROR(__xludf.DUMMYFUNCTION("LEN(REGEXREPLACE(REGEXREPLACE(REGEXEXTRACT(I287, ""(?s)Affected Nodes/Links(.*)""), ""https://[^\s]+"", """"), ""[^/]"", """")) / 2"),"#N/A")</f>
        <v>#N/A</v>
      </c>
      <c r="AC287" s="34">
        <f>IFERROR(__xludf.DUMMYFUNCTION("IFERROR(VALUE(REGEXEXTRACT(I287, ""No\.? of [Ss]ubs:\s*(\d+)"")), 0) + IFERROR(VALUE(REGEXEXTRACT(I287, ""Affected Users(?:\s*\(From IM\))?:?\s*(\d+)"")), 0) + IFERROR(VALUE(REGEXEXTRACT(I287, ""Affected Clients:\s*(\d+)"")), 0)"),0.0)</f>
        <v>0</v>
      </c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33" t="str">
        <f>IFERROR(__xludf.DUMMYFUNCTION("LEN(REGEXREPLACE(REGEXREPLACE(REGEXEXTRACT(I288, ""(?s)Affected Nodes/Links(.*)""), ""https://[^\s]+"", """"), ""[^/]"", """")) / 2"),"#N/A")</f>
        <v>#N/A</v>
      </c>
      <c r="AC288" s="34">
        <f>IFERROR(__xludf.DUMMYFUNCTION("IFERROR(VALUE(REGEXEXTRACT(I288, ""No\.? of [Ss]ubs:\s*(\d+)"")), 0) + IFERROR(VALUE(REGEXEXTRACT(I288, ""Affected Users(?:\s*\(From IM\))?:?\s*(\d+)"")), 0) + IFERROR(VALUE(REGEXEXTRACT(I288, ""Affected Clients:\s*(\d+)"")), 0)"),0.0)</f>
        <v>0</v>
      </c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33" t="str">
        <f>IFERROR(__xludf.DUMMYFUNCTION("LEN(REGEXREPLACE(REGEXREPLACE(REGEXEXTRACT(I289, ""(?s)Affected Nodes/Links(.*)""), ""https://[^\s]+"", """"), ""[^/]"", """")) / 2"),"#N/A")</f>
        <v>#N/A</v>
      </c>
      <c r="AC289" s="34">
        <f>IFERROR(__xludf.DUMMYFUNCTION("IFERROR(VALUE(REGEXEXTRACT(I289, ""No\.? of [Ss]ubs:\s*(\d+)"")), 0) + IFERROR(VALUE(REGEXEXTRACT(I289, ""Affected Users(?:\s*\(From IM\))?:?\s*(\d+)"")), 0) + IFERROR(VALUE(REGEXEXTRACT(I289, ""Affected Clients:\s*(\d+)"")), 0)"),0.0)</f>
        <v>0</v>
      </c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33" t="str">
        <f>IFERROR(__xludf.DUMMYFUNCTION("LEN(REGEXREPLACE(REGEXREPLACE(REGEXEXTRACT(I290, ""(?s)Affected Nodes/Links(.*)""), ""https://[^\s]+"", """"), ""[^/]"", """")) / 2"),"#N/A")</f>
        <v>#N/A</v>
      </c>
      <c r="AC290" s="34">
        <f>IFERROR(__xludf.DUMMYFUNCTION("IFERROR(VALUE(REGEXEXTRACT(I290, ""No\.? of [Ss]ubs:\s*(\d+)"")), 0) + IFERROR(VALUE(REGEXEXTRACT(I290, ""Affected Users(?:\s*\(From IM\))?:?\s*(\d+)"")), 0) + IFERROR(VALUE(REGEXEXTRACT(I290, ""Affected Clients:\s*(\d+)"")), 0)"),0.0)</f>
        <v>0</v>
      </c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33" t="str">
        <f>IFERROR(__xludf.DUMMYFUNCTION("LEN(REGEXREPLACE(REGEXREPLACE(REGEXEXTRACT(I291, ""(?s)Affected Nodes/Links(.*)""), ""https://[^\s]+"", """"), ""[^/]"", """")) / 2"),"#N/A")</f>
        <v>#N/A</v>
      </c>
      <c r="AC291" s="34">
        <f>IFERROR(__xludf.DUMMYFUNCTION("IFERROR(VALUE(REGEXEXTRACT(I291, ""No\.? of [Ss]ubs:\s*(\d+)"")), 0) + IFERROR(VALUE(REGEXEXTRACT(I291, ""Affected Users(?:\s*\(From IM\))?:?\s*(\d+)"")), 0) + IFERROR(VALUE(REGEXEXTRACT(I291, ""Affected Clients:\s*(\d+)"")), 0)"),0.0)</f>
        <v>0</v>
      </c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33" t="str">
        <f>IFERROR(__xludf.DUMMYFUNCTION("LEN(REGEXREPLACE(REGEXREPLACE(REGEXEXTRACT(I292, ""(?s)Affected Nodes/Links(.*)""), ""https://[^\s]+"", """"), ""[^/]"", """")) / 2"),"#N/A")</f>
        <v>#N/A</v>
      </c>
      <c r="AC292" s="34">
        <f>IFERROR(__xludf.DUMMYFUNCTION("IFERROR(VALUE(REGEXEXTRACT(I292, ""No\.? of [Ss]ubs:\s*(\d+)"")), 0) + IFERROR(VALUE(REGEXEXTRACT(I292, ""Affected Users(?:\s*\(From IM\))?:?\s*(\d+)"")), 0) + IFERROR(VALUE(REGEXEXTRACT(I292, ""Affected Clients:\s*(\d+)"")), 0)"),0.0)</f>
        <v>0</v>
      </c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33" t="str">
        <f>IFERROR(__xludf.DUMMYFUNCTION("LEN(REGEXREPLACE(REGEXREPLACE(REGEXEXTRACT(I293, ""(?s)Affected Nodes/Links(.*)""), ""https://[^\s]+"", """"), ""[^/]"", """")) / 2"),"#N/A")</f>
        <v>#N/A</v>
      </c>
      <c r="AC293" s="34">
        <f>IFERROR(__xludf.DUMMYFUNCTION("IFERROR(VALUE(REGEXEXTRACT(I293, ""No\.? of [Ss]ubs:\s*(\d+)"")), 0) + IFERROR(VALUE(REGEXEXTRACT(I293, ""Affected Users(?:\s*\(From IM\))?:?\s*(\d+)"")), 0) + IFERROR(VALUE(REGEXEXTRACT(I293, ""Affected Clients:\s*(\d+)"")), 0)"),0.0)</f>
        <v>0</v>
      </c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33" t="str">
        <f>IFERROR(__xludf.DUMMYFUNCTION("LEN(REGEXREPLACE(REGEXREPLACE(REGEXEXTRACT(I294, ""(?s)Affected Nodes/Links(.*)""), ""https://[^\s]+"", """"), ""[^/]"", """")) / 2"),"#N/A")</f>
        <v>#N/A</v>
      </c>
      <c r="AC294" s="34">
        <f>IFERROR(__xludf.DUMMYFUNCTION("IFERROR(VALUE(REGEXEXTRACT(I294, ""No\.? of [Ss]ubs:\s*(\d+)"")), 0) + IFERROR(VALUE(REGEXEXTRACT(I294, ""Affected Users(?:\s*\(From IM\))?:?\s*(\d+)"")), 0) + IFERROR(VALUE(REGEXEXTRACT(I294, ""Affected Clients:\s*(\d+)"")), 0)"),0.0)</f>
        <v>0</v>
      </c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33" t="str">
        <f>IFERROR(__xludf.DUMMYFUNCTION("LEN(REGEXREPLACE(REGEXREPLACE(REGEXEXTRACT(I295, ""(?s)Affected Nodes/Links(.*)""), ""https://[^\s]+"", """"), ""[^/]"", """")) / 2"),"#N/A")</f>
        <v>#N/A</v>
      </c>
      <c r="AC295" s="34">
        <f>IFERROR(__xludf.DUMMYFUNCTION("IFERROR(VALUE(REGEXEXTRACT(I295, ""No\.? of [Ss]ubs:\s*(\d+)"")), 0) + IFERROR(VALUE(REGEXEXTRACT(I295, ""Affected Users(?:\s*\(From IM\))?:?\s*(\d+)"")), 0) + IFERROR(VALUE(REGEXEXTRACT(I295, ""Affected Clients:\s*(\d+)"")), 0)"),0.0)</f>
        <v>0</v>
      </c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33" t="str">
        <f>IFERROR(__xludf.DUMMYFUNCTION("LEN(REGEXREPLACE(REGEXREPLACE(REGEXEXTRACT(I296, ""(?s)Affected Nodes/Links(.*)""), ""https://[^\s]+"", """"), ""[^/]"", """")) / 2"),"#N/A")</f>
        <v>#N/A</v>
      </c>
      <c r="AC296" s="34">
        <f>IFERROR(__xludf.DUMMYFUNCTION("IFERROR(VALUE(REGEXEXTRACT(I296, ""No\.? of [Ss]ubs:\s*(\d+)"")), 0) + IFERROR(VALUE(REGEXEXTRACT(I296, ""Affected Users(?:\s*\(From IM\))?:?\s*(\d+)"")), 0) + IFERROR(VALUE(REGEXEXTRACT(I296, ""Affected Clients:\s*(\d+)"")), 0)"),0.0)</f>
        <v>0</v>
      </c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33" t="str">
        <f>IFERROR(__xludf.DUMMYFUNCTION("LEN(REGEXREPLACE(REGEXREPLACE(REGEXEXTRACT(I297, ""(?s)Affected Nodes/Links(.*)""), ""https://[^\s]+"", """"), ""[^/]"", """")) / 2"),"#N/A")</f>
        <v>#N/A</v>
      </c>
      <c r="AC297" s="34">
        <f>IFERROR(__xludf.DUMMYFUNCTION("IFERROR(VALUE(REGEXEXTRACT(I297, ""No\.? of [Ss]ubs:\s*(\d+)"")), 0) + IFERROR(VALUE(REGEXEXTRACT(I297, ""Affected Users(?:\s*\(From IM\))?:?\s*(\d+)"")), 0) + IFERROR(VALUE(REGEXEXTRACT(I297, ""Affected Clients:\s*(\d+)"")), 0)"),0.0)</f>
        <v>0</v>
      </c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33" t="str">
        <f>IFERROR(__xludf.DUMMYFUNCTION("LEN(REGEXREPLACE(REGEXREPLACE(REGEXEXTRACT(I298, ""(?s)Affected Nodes/Links(.*)""), ""https://[^\s]+"", """"), ""[^/]"", """")) / 2"),"#N/A")</f>
        <v>#N/A</v>
      </c>
      <c r="AC298" s="34">
        <f>IFERROR(__xludf.DUMMYFUNCTION("IFERROR(VALUE(REGEXEXTRACT(I298, ""No\.? of [Ss]ubs:\s*(\d+)"")), 0) + IFERROR(VALUE(REGEXEXTRACT(I298, ""Affected Users(?:\s*\(From IM\))?:?\s*(\d+)"")), 0) + IFERROR(VALUE(REGEXEXTRACT(I298, ""Affected Clients:\s*(\d+)"")), 0)"),0.0)</f>
        <v>0</v>
      </c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33" t="str">
        <f>IFERROR(__xludf.DUMMYFUNCTION("LEN(REGEXREPLACE(REGEXREPLACE(REGEXEXTRACT(I299, ""(?s)Affected Nodes/Links(.*)""), ""https://[^\s]+"", """"), ""[^/]"", """")) / 2"),"#N/A")</f>
        <v>#N/A</v>
      </c>
      <c r="AC299" s="34">
        <f>IFERROR(__xludf.DUMMYFUNCTION("IFERROR(VALUE(REGEXEXTRACT(I299, ""No\.? of [Ss]ubs:\s*(\d+)"")), 0) + IFERROR(VALUE(REGEXEXTRACT(I299, ""Affected Users(?:\s*\(From IM\))?:?\s*(\d+)"")), 0) + IFERROR(VALUE(REGEXEXTRACT(I299, ""Affected Clients:\s*(\d+)"")), 0)"),0.0)</f>
        <v>0</v>
      </c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33" t="str">
        <f>IFERROR(__xludf.DUMMYFUNCTION("LEN(REGEXREPLACE(REGEXREPLACE(REGEXEXTRACT(I300, ""(?s)Affected Nodes/Links(.*)""), ""https://[^\s]+"", """"), ""[^/]"", """")) / 2"),"#N/A")</f>
        <v>#N/A</v>
      </c>
      <c r="AC300" s="34">
        <f>IFERROR(__xludf.DUMMYFUNCTION("IFERROR(VALUE(REGEXEXTRACT(I300, ""No\.? of [Ss]ubs:\s*(\d+)"")), 0) + IFERROR(VALUE(REGEXEXTRACT(I300, ""Affected Users(?:\s*\(From IM\))?:?\s*(\d+)"")), 0) + IFERROR(VALUE(REGEXEXTRACT(I300, ""Affected Clients:\s*(\d+)"")), 0)"),0.0)</f>
        <v>0</v>
      </c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33" t="str">
        <f>IFERROR(__xludf.DUMMYFUNCTION("LEN(REGEXREPLACE(REGEXREPLACE(REGEXEXTRACT(I301, ""(?s)Affected Nodes/Links(.*)""), ""https://[^\s]+"", """"), ""[^/]"", """")) / 2"),"#N/A")</f>
        <v>#N/A</v>
      </c>
      <c r="AC301" s="34">
        <f>IFERROR(__xludf.DUMMYFUNCTION("IFERROR(VALUE(REGEXEXTRACT(I301, ""No\.? of [Ss]ubs:\s*(\d+)"")), 0) + IFERROR(VALUE(REGEXEXTRACT(I301, ""Affected Users(?:\s*\(From IM\))?:?\s*(\d+)"")), 0) + IFERROR(VALUE(REGEXEXTRACT(I301, ""Affected Clients:\s*(\d+)"")), 0)"),0.0)</f>
        <v>0</v>
      </c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33" t="str">
        <f>IFERROR(__xludf.DUMMYFUNCTION("LEN(REGEXREPLACE(REGEXREPLACE(REGEXEXTRACT(I302, ""(?s)Affected Nodes/Links(.*)""), ""https://[^\s]+"", """"), ""[^/]"", """")) / 2"),"#N/A")</f>
        <v>#N/A</v>
      </c>
      <c r="AC302" s="34">
        <f>IFERROR(__xludf.DUMMYFUNCTION("IFERROR(VALUE(REGEXEXTRACT(I302, ""No\.? of [Ss]ubs:\s*(\d+)"")), 0) + IFERROR(VALUE(REGEXEXTRACT(I302, ""Affected Users(?:\s*\(From IM\))?:?\s*(\d+)"")), 0) + IFERROR(VALUE(REGEXEXTRACT(I302, ""Affected Clients:\s*(\d+)"")), 0)"),0.0)</f>
        <v>0</v>
      </c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33" t="str">
        <f>IFERROR(__xludf.DUMMYFUNCTION("LEN(REGEXREPLACE(REGEXREPLACE(REGEXEXTRACT(I303, ""(?s)Affected Nodes/Links(.*)""), ""https://[^\s]+"", """"), ""[^/]"", """")) / 2"),"#N/A")</f>
        <v>#N/A</v>
      </c>
      <c r="AC303" s="34">
        <f>IFERROR(__xludf.DUMMYFUNCTION("IFERROR(VALUE(REGEXEXTRACT(I303, ""No\.? of [Ss]ubs:\s*(\d+)"")), 0) + IFERROR(VALUE(REGEXEXTRACT(I303, ""Affected Users(?:\s*\(From IM\))?:?\s*(\d+)"")), 0) + IFERROR(VALUE(REGEXEXTRACT(I303, ""Affected Clients:\s*(\d+)"")), 0)"),0.0)</f>
        <v>0</v>
      </c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33" t="str">
        <f>IFERROR(__xludf.DUMMYFUNCTION("LEN(REGEXREPLACE(REGEXREPLACE(REGEXEXTRACT(I304, ""(?s)Affected Nodes/Links(.*)""), ""https://[^\s]+"", """"), ""[^/]"", """")) / 2"),"#N/A")</f>
        <v>#N/A</v>
      </c>
      <c r="AC304" s="34">
        <f>IFERROR(__xludf.DUMMYFUNCTION("IFERROR(VALUE(REGEXEXTRACT(I304, ""No\.? of [Ss]ubs:\s*(\d+)"")), 0) + IFERROR(VALUE(REGEXEXTRACT(I304, ""Affected Users(?:\s*\(From IM\))?:?\s*(\d+)"")), 0) + IFERROR(VALUE(REGEXEXTRACT(I304, ""Affected Clients:\s*(\d+)"")), 0)"),0.0)</f>
        <v>0</v>
      </c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33" t="str">
        <f>IFERROR(__xludf.DUMMYFUNCTION("LEN(REGEXREPLACE(REGEXREPLACE(REGEXEXTRACT(I305, ""(?s)Affected Nodes/Links(.*)""), ""https://[^\s]+"", """"), ""[^/]"", """")) / 2"),"#N/A")</f>
        <v>#N/A</v>
      </c>
      <c r="AC305" s="34">
        <f>IFERROR(__xludf.DUMMYFUNCTION("IFERROR(VALUE(REGEXEXTRACT(I305, ""No\.? of [Ss]ubs:\s*(\d+)"")), 0) + IFERROR(VALUE(REGEXEXTRACT(I305, ""Affected Users(?:\s*\(From IM\))?:?\s*(\d+)"")), 0) + IFERROR(VALUE(REGEXEXTRACT(I305, ""Affected Clients:\s*(\d+)"")), 0)"),0.0)</f>
        <v>0</v>
      </c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33" t="str">
        <f>IFERROR(__xludf.DUMMYFUNCTION("LEN(REGEXREPLACE(REGEXREPLACE(REGEXEXTRACT(I306, ""(?s)Affected Nodes/Links(.*)""), ""https://[^\s]+"", """"), ""[^/]"", """")) / 2"),"#N/A")</f>
        <v>#N/A</v>
      </c>
      <c r="AC306" s="34">
        <f>IFERROR(__xludf.DUMMYFUNCTION("IFERROR(VALUE(REGEXEXTRACT(I306, ""No\.? of [Ss]ubs:\s*(\d+)"")), 0) + IFERROR(VALUE(REGEXEXTRACT(I306, ""Affected Users(?:\s*\(From IM\))?:?\s*(\d+)"")), 0) + IFERROR(VALUE(REGEXEXTRACT(I306, ""Affected Clients:\s*(\d+)"")), 0)"),0.0)</f>
        <v>0</v>
      </c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33" t="str">
        <f>IFERROR(__xludf.DUMMYFUNCTION("LEN(REGEXREPLACE(REGEXREPLACE(REGEXEXTRACT(I307, ""(?s)Affected Nodes/Links(.*)""), ""https://[^\s]+"", """"), ""[^/]"", """")) / 2"),"#N/A")</f>
        <v>#N/A</v>
      </c>
      <c r="AC307" s="34">
        <f>IFERROR(__xludf.DUMMYFUNCTION("IFERROR(VALUE(REGEXEXTRACT(I307, ""No\.? of [Ss]ubs:\s*(\d+)"")), 0) + IFERROR(VALUE(REGEXEXTRACT(I307, ""Affected Users(?:\s*\(From IM\))?:?\s*(\d+)"")), 0) + IFERROR(VALUE(REGEXEXTRACT(I307, ""Affected Clients:\s*(\d+)"")), 0)"),0.0)</f>
        <v>0</v>
      </c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33" t="str">
        <f>IFERROR(__xludf.DUMMYFUNCTION("LEN(REGEXREPLACE(REGEXREPLACE(REGEXEXTRACT(I308, ""(?s)Affected Nodes/Links(.*)""), ""https://[^\s]+"", """"), ""[^/]"", """")) / 2"),"#N/A")</f>
        <v>#N/A</v>
      </c>
      <c r="AC308" s="34">
        <f>IFERROR(__xludf.DUMMYFUNCTION("IFERROR(VALUE(REGEXEXTRACT(I308, ""No\.? of [Ss]ubs:\s*(\d+)"")), 0) + IFERROR(VALUE(REGEXEXTRACT(I308, ""Affected Users(?:\s*\(From IM\))?:?\s*(\d+)"")), 0) + IFERROR(VALUE(REGEXEXTRACT(I308, ""Affected Clients:\s*(\d+)"")), 0)"),0.0)</f>
        <v>0</v>
      </c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33" t="str">
        <f>IFERROR(__xludf.DUMMYFUNCTION("LEN(REGEXREPLACE(REGEXREPLACE(REGEXEXTRACT(I309, ""(?s)Affected Nodes/Links(.*)""), ""https://[^\s]+"", """"), ""[^/]"", """")) / 2"),"#N/A")</f>
        <v>#N/A</v>
      </c>
      <c r="AC309" s="34">
        <f>IFERROR(__xludf.DUMMYFUNCTION("IFERROR(VALUE(REGEXEXTRACT(I309, ""No\.? of [Ss]ubs:\s*(\d+)"")), 0) + IFERROR(VALUE(REGEXEXTRACT(I309, ""Affected Users(?:\s*\(From IM\))?:?\s*(\d+)"")), 0) + IFERROR(VALUE(REGEXEXTRACT(I309, ""Affected Clients:\s*(\d+)"")), 0)"),0.0)</f>
        <v>0</v>
      </c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33" t="str">
        <f>IFERROR(__xludf.DUMMYFUNCTION("LEN(REGEXREPLACE(REGEXREPLACE(REGEXEXTRACT(I310, ""(?s)Affected Nodes/Links(.*)""), ""https://[^\s]+"", """"), ""[^/]"", """")) / 2"),"#N/A")</f>
        <v>#N/A</v>
      </c>
      <c r="AC310" s="34">
        <f>IFERROR(__xludf.DUMMYFUNCTION("IFERROR(VALUE(REGEXEXTRACT(I310, ""No\.? of [Ss]ubs:\s*(\d+)"")), 0) + IFERROR(VALUE(REGEXEXTRACT(I310, ""Affected Users(?:\s*\(From IM\))?:?\s*(\d+)"")), 0) + IFERROR(VALUE(REGEXEXTRACT(I310, ""Affected Clients:\s*(\d+)"")), 0)"),0.0)</f>
        <v>0</v>
      </c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33" t="str">
        <f>IFERROR(__xludf.DUMMYFUNCTION("LEN(REGEXREPLACE(REGEXREPLACE(REGEXEXTRACT(I311, ""(?s)Affected Nodes/Links(.*)""), ""https://[^\s]+"", """"), ""[^/]"", """")) / 2"),"#N/A")</f>
        <v>#N/A</v>
      </c>
      <c r="AC311" s="34">
        <f>IFERROR(__xludf.DUMMYFUNCTION("IFERROR(VALUE(REGEXEXTRACT(I311, ""No\.? of [Ss]ubs:\s*(\d+)"")), 0) + IFERROR(VALUE(REGEXEXTRACT(I311, ""Affected Users(?:\s*\(From IM\))?:?\s*(\d+)"")), 0) + IFERROR(VALUE(REGEXEXTRACT(I311, ""Affected Clients:\s*(\d+)"")), 0)"),0.0)</f>
        <v>0</v>
      </c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33" t="str">
        <f>IFERROR(__xludf.DUMMYFUNCTION("LEN(REGEXREPLACE(REGEXREPLACE(REGEXEXTRACT(I312, ""(?s)Affected Nodes/Links(.*)""), ""https://[^\s]+"", """"), ""[^/]"", """")) / 2"),"#N/A")</f>
        <v>#N/A</v>
      </c>
      <c r="AC312" s="34">
        <f>IFERROR(__xludf.DUMMYFUNCTION("IFERROR(VALUE(REGEXEXTRACT(I312, ""No\.? of [Ss]ubs:\s*(\d+)"")), 0) + IFERROR(VALUE(REGEXEXTRACT(I312, ""Affected Users(?:\s*\(From IM\))?:?\s*(\d+)"")), 0) + IFERROR(VALUE(REGEXEXTRACT(I312, ""Affected Clients:\s*(\d+)"")), 0)"),0.0)</f>
        <v>0</v>
      </c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33" t="str">
        <f>IFERROR(__xludf.DUMMYFUNCTION("LEN(REGEXREPLACE(REGEXREPLACE(REGEXEXTRACT(I313, ""(?s)Affected Nodes/Links(.*)""), ""https://[^\s]+"", """"), ""[^/]"", """")) / 2"),"#N/A")</f>
        <v>#N/A</v>
      </c>
      <c r="AC313" s="34">
        <f>IFERROR(__xludf.DUMMYFUNCTION("IFERROR(VALUE(REGEXEXTRACT(I313, ""No\.? of [Ss]ubs:\s*(\d+)"")), 0) + IFERROR(VALUE(REGEXEXTRACT(I313, ""Affected Users(?:\s*\(From IM\))?:?\s*(\d+)"")), 0) + IFERROR(VALUE(REGEXEXTRACT(I313, ""Affected Clients:\s*(\d+)"")), 0)"),0.0)</f>
        <v>0</v>
      </c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33" t="str">
        <f>IFERROR(__xludf.DUMMYFUNCTION("LEN(REGEXREPLACE(REGEXREPLACE(REGEXEXTRACT(I314, ""(?s)Affected Nodes/Links(.*)""), ""https://[^\s]+"", """"), ""[^/]"", """")) / 2"),"#N/A")</f>
        <v>#N/A</v>
      </c>
      <c r="AC314" s="34">
        <f>IFERROR(__xludf.DUMMYFUNCTION("IFERROR(VALUE(REGEXEXTRACT(I314, ""No\.? of [Ss]ubs:\s*(\d+)"")), 0) + IFERROR(VALUE(REGEXEXTRACT(I314, ""Affected Users(?:\s*\(From IM\))?:?\s*(\d+)"")), 0) + IFERROR(VALUE(REGEXEXTRACT(I314, ""Affected Clients:\s*(\d+)"")), 0)"),0.0)</f>
        <v>0</v>
      </c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33" t="str">
        <f>IFERROR(__xludf.DUMMYFUNCTION("LEN(REGEXREPLACE(REGEXREPLACE(REGEXEXTRACT(I315, ""(?s)Affected Nodes/Links(.*)""), ""https://[^\s]+"", """"), ""[^/]"", """")) / 2"),"#N/A")</f>
        <v>#N/A</v>
      </c>
      <c r="AC315" s="34">
        <f>IFERROR(__xludf.DUMMYFUNCTION("IFERROR(VALUE(REGEXEXTRACT(I315, ""No\.? of [Ss]ubs:\s*(\d+)"")), 0) + IFERROR(VALUE(REGEXEXTRACT(I315, ""Affected Users(?:\s*\(From IM\))?:?\s*(\d+)"")), 0) + IFERROR(VALUE(REGEXEXTRACT(I315, ""Affected Clients:\s*(\d+)"")), 0)"),0.0)</f>
        <v>0</v>
      </c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33" t="str">
        <f>IFERROR(__xludf.DUMMYFUNCTION("LEN(REGEXREPLACE(REGEXREPLACE(REGEXEXTRACT(I316, ""(?s)Affected Nodes/Links(.*)""), ""https://[^\s]+"", """"), ""[^/]"", """")) / 2"),"#N/A")</f>
        <v>#N/A</v>
      </c>
      <c r="AC316" s="34">
        <f>IFERROR(__xludf.DUMMYFUNCTION("IFERROR(VALUE(REGEXEXTRACT(I316, ""No\.? of [Ss]ubs:\s*(\d+)"")), 0) + IFERROR(VALUE(REGEXEXTRACT(I316, ""Affected Users(?:\s*\(From IM\))?:?\s*(\d+)"")), 0) + IFERROR(VALUE(REGEXEXTRACT(I316, ""Affected Clients:\s*(\d+)"")), 0)"),0.0)</f>
        <v>0</v>
      </c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33" t="str">
        <f>IFERROR(__xludf.DUMMYFUNCTION("LEN(REGEXREPLACE(REGEXREPLACE(REGEXEXTRACT(I317, ""(?s)Affected Nodes/Links(.*)""), ""https://[^\s]+"", """"), ""[^/]"", """")) / 2"),"#N/A")</f>
        <v>#N/A</v>
      </c>
      <c r="AC317" s="34">
        <f>IFERROR(__xludf.DUMMYFUNCTION("IFERROR(VALUE(REGEXEXTRACT(I317, ""No\.? of [Ss]ubs:\s*(\d+)"")), 0) + IFERROR(VALUE(REGEXEXTRACT(I317, ""Affected Users(?:\s*\(From IM\))?:?\s*(\d+)"")), 0) + IFERROR(VALUE(REGEXEXTRACT(I317, ""Affected Clients:\s*(\d+)"")), 0)"),0.0)</f>
        <v>0</v>
      </c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33" t="str">
        <f>IFERROR(__xludf.DUMMYFUNCTION("LEN(REGEXREPLACE(REGEXREPLACE(REGEXEXTRACT(I318, ""(?s)Affected Nodes/Links(.*)""), ""https://[^\s]+"", """"), ""[^/]"", """")) / 2"),"#N/A")</f>
        <v>#N/A</v>
      </c>
      <c r="AC318" s="34">
        <f>IFERROR(__xludf.DUMMYFUNCTION("IFERROR(VALUE(REGEXEXTRACT(I318, ""No\.? of [Ss]ubs:\s*(\d+)"")), 0) + IFERROR(VALUE(REGEXEXTRACT(I318, ""Affected Users(?:\s*\(From IM\))?:?\s*(\d+)"")), 0) + IFERROR(VALUE(REGEXEXTRACT(I318, ""Affected Clients:\s*(\d+)"")), 0)"),0.0)</f>
        <v>0</v>
      </c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33" t="str">
        <f>IFERROR(__xludf.DUMMYFUNCTION("LEN(REGEXREPLACE(REGEXREPLACE(REGEXEXTRACT(I319, ""(?s)Affected Nodes/Links(.*)""), ""https://[^\s]+"", """"), ""[^/]"", """")) / 2"),"#N/A")</f>
        <v>#N/A</v>
      </c>
      <c r="AC319" s="34">
        <f>IFERROR(__xludf.DUMMYFUNCTION("IFERROR(VALUE(REGEXEXTRACT(I319, ""No\.? of [Ss]ubs:\s*(\d+)"")), 0) + IFERROR(VALUE(REGEXEXTRACT(I319, ""Affected Users(?:\s*\(From IM\))?:?\s*(\d+)"")), 0) + IFERROR(VALUE(REGEXEXTRACT(I319, ""Affected Clients:\s*(\d+)"")), 0)"),0.0)</f>
        <v>0</v>
      </c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33" t="str">
        <f>IFERROR(__xludf.DUMMYFUNCTION("LEN(REGEXREPLACE(REGEXREPLACE(REGEXEXTRACT(I320, ""(?s)Affected Nodes/Links(.*)""), ""https://[^\s]+"", """"), ""[^/]"", """")) / 2"),"#N/A")</f>
        <v>#N/A</v>
      </c>
      <c r="AC320" s="34">
        <f>IFERROR(__xludf.DUMMYFUNCTION("IFERROR(VALUE(REGEXEXTRACT(I320, ""No\.? of [Ss]ubs:\s*(\d+)"")), 0) + IFERROR(VALUE(REGEXEXTRACT(I320, ""Affected Users(?:\s*\(From IM\))?:?\s*(\d+)"")), 0) + IFERROR(VALUE(REGEXEXTRACT(I320, ""Affected Clients:\s*(\d+)"")), 0)"),0.0)</f>
        <v>0</v>
      </c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33" t="str">
        <f>IFERROR(__xludf.DUMMYFUNCTION("LEN(REGEXREPLACE(REGEXREPLACE(REGEXEXTRACT(I321, ""(?s)Affected Nodes/Links(.*)""), ""https://[^\s]+"", """"), ""[^/]"", """")) / 2"),"#N/A")</f>
        <v>#N/A</v>
      </c>
      <c r="AC321" s="34">
        <f>IFERROR(__xludf.DUMMYFUNCTION("IFERROR(VALUE(REGEXEXTRACT(I321, ""No\.? of [Ss]ubs:\s*(\d+)"")), 0) + IFERROR(VALUE(REGEXEXTRACT(I321, ""Affected Users(?:\s*\(From IM\))?:?\s*(\d+)"")), 0) + IFERROR(VALUE(REGEXEXTRACT(I321, ""Affected Clients:\s*(\d+)"")), 0)"),0.0)</f>
        <v>0</v>
      </c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33" t="str">
        <f>IFERROR(__xludf.DUMMYFUNCTION("LEN(REGEXREPLACE(REGEXREPLACE(REGEXEXTRACT(I322, ""(?s)Affected Nodes/Links(.*)""), ""https://[^\s]+"", """"), ""[^/]"", """")) / 2"),"#N/A")</f>
        <v>#N/A</v>
      </c>
      <c r="AC322" s="34">
        <f>IFERROR(__xludf.DUMMYFUNCTION("IFERROR(VALUE(REGEXEXTRACT(I322, ""No\.? of [Ss]ubs:\s*(\d+)"")), 0) + IFERROR(VALUE(REGEXEXTRACT(I322, ""Affected Users(?:\s*\(From IM\))?:?\s*(\d+)"")), 0) + IFERROR(VALUE(REGEXEXTRACT(I322, ""Affected Clients:\s*(\d+)"")), 0)"),0.0)</f>
        <v>0</v>
      </c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33" t="str">
        <f>IFERROR(__xludf.DUMMYFUNCTION("LEN(REGEXREPLACE(REGEXREPLACE(REGEXEXTRACT(I323, ""(?s)Affected Nodes/Links(.*)""), ""https://[^\s]+"", """"), ""[^/]"", """")) / 2"),"#N/A")</f>
        <v>#N/A</v>
      </c>
      <c r="AC323" s="34">
        <f>IFERROR(__xludf.DUMMYFUNCTION("IFERROR(VALUE(REGEXEXTRACT(I323, ""No\.? of [Ss]ubs:\s*(\d+)"")), 0) + IFERROR(VALUE(REGEXEXTRACT(I323, ""Affected Users(?:\s*\(From IM\))?:?\s*(\d+)"")), 0) + IFERROR(VALUE(REGEXEXTRACT(I323, ""Affected Clients:\s*(\d+)"")), 0)"),0.0)</f>
        <v>0</v>
      </c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33" t="str">
        <f>IFERROR(__xludf.DUMMYFUNCTION("LEN(REGEXREPLACE(REGEXREPLACE(REGEXEXTRACT(I324, ""(?s)Affected Nodes/Links(.*)""), ""https://[^\s]+"", """"), ""[^/]"", """")) / 2"),"#N/A")</f>
        <v>#N/A</v>
      </c>
      <c r="AC324" s="34">
        <f>IFERROR(__xludf.DUMMYFUNCTION("IFERROR(VALUE(REGEXEXTRACT(I324, ""No\.? of [Ss]ubs:\s*(\d+)"")), 0) + IFERROR(VALUE(REGEXEXTRACT(I324, ""Affected Users(?:\s*\(From IM\))?:?\s*(\d+)"")), 0) + IFERROR(VALUE(REGEXEXTRACT(I324, ""Affected Clients:\s*(\d+)"")), 0)"),0.0)</f>
        <v>0</v>
      </c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33" t="str">
        <f>IFERROR(__xludf.DUMMYFUNCTION("LEN(REGEXREPLACE(REGEXREPLACE(REGEXEXTRACT(I325, ""(?s)Affected Nodes/Links(.*)""), ""https://[^\s]+"", """"), ""[^/]"", """")) / 2"),"#N/A")</f>
        <v>#N/A</v>
      </c>
      <c r="AC325" s="34">
        <f>IFERROR(__xludf.DUMMYFUNCTION("IFERROR(VALUE(REGEXEXTRACT(I325, ""No\.? of [Ss]ubs:\s*(\d+)"")), 0) + IFERROR(VALUE(REGEXEXTRACT(I325, ""Affected Users(?:\s*\(From IM\))?:?\s*(\d+)"")), 0) + IFERROR(VALUE(REGEXEXTRACT(I325, ""Affected Clients:\s*(\d+)"")), 0)"),0.0)</f>
        <v>0</v>
      </c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33" t="str">
        <f>IFERROR(__xludf.DUMMYFUNCTION("LEN(REGEXREPLACE(REGEXREPLACE(REGEXEXTRACT(I326, ""(?s)Affected Nodes/Links(.*)""), ""https://[^\s]+"", """"), ""[^/]"", """")) / 2"),"#N/A")</f>
        <v>#N/A</v>
      </c>
      <c r="AC326" s="34">
        <f>IFERROR(__xludf.DUMMYFUNCTION("IFERROR(VALUE(REGEXEXTRACT(I326, ""No\.? of [Ss]ubs:\s*(\d+)"")), 0) + IFERROR(VALUE(REGEXEXTRACT(I326, ""Affected Users(?:\s*\(From IM\))?:?\s*(\d+)"")), 0) + IFERROR(VALUE(REGEXEXTRACT(I326, ""Affected Clients:\s*(\d+)"")), 0)"),0.0)</f>
        <v>0</v>
      </c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33" t="str">
        <f>IFERROR(__xludf.DUMMYFUNCTION("LEN(REGEXREPLACE(REGEXREPLACE(REGEXEXTRACT(I327, ""(?s)Affected Nodes/Links(.*)""), ""https://[^\s]+"", """"), ""[^/]"", """")) / 2"),"#N/A")</f>
        <v>#N/A</v>
      </c>
      <c r="AC327" s="34">
        <f>IFERROR(__xludf.DUMMYFUNCTION("IFERROR(VALUE(REGEXEXTRACT(I327, ""No\.? of [Ss]ubs:\s*(\d+)"")), 0) + IFERROR(VALUE(REGEXEXTRACT(I327, ""Affected Users(?:\s*\(From IM\))?:?\s*(\d+)"")), 0) + IFERROR(VALUE(REGEXEXTRACT(I327, ""Affected Clients:\s*(\d+)"")), 0)"),0.0)</f>
        <v>0</v>
      </c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33" t="str">
        <f>IFERROR(__xludf.DUMMYFUNCTION("LEN(REGEXREPLACE(REGEXREPLACE(REGEXEXTRACT(I328, ""(?s)Affected Nodes/Links(.*)""), ""https://[^\s]+"", """"), ""[^/]"", """")) / 2"),"#N/A")</f>
        <v>#N/A</v>
      </c>
      <c r="AC328" s="34">
        <f>IFERROR(__xludf.DUMMYFUNCTION("IFERROR(VALUE(REGEXEXTRACT(I328, ""No\.? of [Ss]ubs:\s*(\d+)"")), 0) + IFERROR(VALUE(REGEXEXTRACT(I328, ""Affected Users(?:\s*\(From IM\))?:?\s*(\d+)"")), 0) + IFERROR(VALUE(REGEXEXTRACT(I328, ""Affected Clients:\s*(\d+)"")), 0)"),0.0)</f>
        <v>0</v>
      </c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33" t="str">
        <f>IFERROR(__xludf.DUMMYFUNCTION("LEN(REGEXREPLACE(REGEXREPLACE(REGEXEXTRACT(I329, ""(?s)Affected Nodes/Links(.*)""), ""https://[^\s]+"", """"), ""[^/]"", """")) / 2"),"#N/A")</f>
        <v>#N/A</v>
      </c>
      <c r="AC329" s="34">
        <f>IFERROR(__xludf.DUMMYFUNCTION("IFERROR(VALUE(REGEXEXTRACT(I329, ""No\.? of [Ss]ubs:\s*(\d+)"")), 0) + IFERROR(VALUE(REGEXEXTRACT(I329, ""Affected Users(?:\s*\(From IM\))?:?\s*(\d+)"")), 0) + IFERROR(VALUE(REGEXEXTRACT(I329, ""Affected Clients:\s*(\d+)"")), 0)"),0.0)</f>
        <v>0</v>
      </c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33" t="str">
        <f>IFERROR(__xludf.DUMMYFUNCTION("LEN(REGEXREPLACE(REGEXREPLACE(REGEXEXTRACT(I330, ""(?s)Affected Nodes/Links(.*)""), ""https://[^\s]+"", """"), ""[^/]"", """")) / 2"),"#N/A")</f>
        <v>#N/A</v>
      </c>
      <c r="AC330" s="34">
        <f>IFERROR(__xludf.DUMMYFUNCTION("IFERROR(VALUE(REGEXEXTRACT(I330, ""No\.? of [Ss]ubs:\s*(\d+)"")), 0) + IFERROR(VALUE(REGEXEXTRACT(I330, ""Affected Users(?:\s*\(From IM\))?:?\s*(\d+)"")), 0) + IFERROR(VALUE(REGEXEXTRACT(I330, ""Affected Clients:\s*(\d+)"")), 0)"),0.0)</f>
        <v>0</v>
      </c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33" t="str">
        <f>IFERROR(__xludf.DUMMYFUNCTION("LEN(REGEXREPLACE(REGEXREPLACE(REGEXEXTRACT(I331, ""(?s)Affected Nodes/Links(.*)""), ""https://[^\s]+"", """"), ""[^/]"", """")) / 2"),"#N/A")</f>
        <v>#N/A</v>
      </c>
      <c r="AC331" s="34">
        <f>IFERROR(__xludf.DUMMYFUNCTION("IFERROR(VALUE(REGEXEXTRACT(I331, ""No\.? of [Ss]ubs:\s*(\d+)"")), 0) + IFERROR(VALUE(REGEXEXTRACT(I331, ""Affected Users(?:\s*\(From IM\))?:?\s*(\d+)"")), 0) + IFERROR(VALUE(REGEXEXTRACT(I331, ""Affected Clients:\s*(\d+)"")), 0)"),0.0)</f>
        <v>0</v>
      </c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33" t="str">
        <f>IFERROR(__xludf.DUMMYFUNCTION("LEN(REGEXREPLACE(REGEXREPLACE(REGEXEXTRACT(I332, ""(?s)Affected Nodes/Links(.*)""), ""https://[^\s]+"", """"), ""[^/]"", """")) / 2"),"#N/A")</f>
        <v>#N/A</v>
      </c>
      <c r="AC332" s="34">
        <f>IFERROR(__xludf.DUMMYFUNCTION("IFERROR(VALUE(REGEXEXTRACT(I332, ""No\.? of [Ss]ubs:\s*(\d+)"")), 0) + IFERROR(VALUE(REGEXEXTRACT(I332, ""Affected Users(?:\s*\(From IM\))?:?\s*(\d+)"")), 0) + IFERROR(VALUE(REGEXEXTRACT(I332, ""Affected Clients:\s*(\d+)"")), 0)"),0.0)</f>
        <v>0</v>
      </c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33" t="str">
        <f>IFERROR(__xludf.DUMMYFUNCTION("LEN(REGEXREPLACE(REGEXREPLACE(REGEXEXTRACT(I333, ""(?s)Affected Nodes/Links(.*)""), ""https://[^\s]+"", """"), ""[^/]"", """")) / 2"),"#N/A")</f>
        <v>#N/A</v>
      </c>
      <c r="AC333" s="34">
        <f>IFERROR(__xludf.DUMMYFUNCTION("IFERROR(VALUE(REGEXEXTRACT(I333, ""No\.? of [Ss]ubs:\s*(\d+)"")), 0) + IFERROR(VALUE(REGEXEXTRACT(I333, ""Affected Users(?:\s*\(From IM\))?:?\s*(\d+)"")), 0) + IFERROR(VALUE(REGEXEXTRACT(I333, ""Affected Clients:\s*(\d+)"")), 0)"),0.0)</f>
        <v>0</v>
      </c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33" t="str">
        <f>IFERROR(__xludf.DUMMYFUNCTION("LEN(REGEXREPLACE(REGEXREPLACE(REGEXEXTRACT(I334, ""(?s)Affected Nodes/Links(.*)""), ""https://[^\s]+"", """"), ""[^/]"", """")) / 2"),"#N/A")</f>
        <v>#N/A</v>
      </c>
      <c r="AC334" s="34">
        <f>IFERROR(__xludf.DUMMYFUNCTION("IFERROR(VALUE(REGEXEXTRACT(I334, ""No\.? of [Ss]ubs:\s*(\d+)"")), 0) + IFERROR(VALUE(REGEXEXTRACT(I334, ""Affected Users(?:\s*\(From IM\))?:?\s*(\d+)"")), 0) + IFERROR(VALUE(REGEXEXTRACT(I334, ""Affected Clients:\s*(\d+)"")), 0)"),0.0)</f>
        <v>0</v>
      </c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33" t="str">
        <f>IFERROR(__xludf.DUMMYFUNCTION("LEN(REGEXREPLACE(REGEXREPLACE(REGEXEXTRACT(I335, ""(?s)Affected Nodes/Links(.*)""), ""https://[^\s]+"", """"), ""[^/]"", """")) / 2"),"#N/A")</f>
        <v>#N/A</v>
      </c>
      <c r="AC335" s="34">
        <f>IFERROR(__xludf.DUMMYFUNCTION("IFERROR(VALUE(REGEXEXTRACT(I335, ""No\.? of [Ss]ubs:\s*(\d+)"")), 0) + IFERROR(VALUE(REGEXEXTRACT(I335, ""Affected Users(?:\s*\(From IM\))?:?\s*(\d+)"")), 0) + IFERROR(VALUE(REGEXEXTRACT(I335, ""Affected Clients:\s*(\d+)"")), 0)"),0.0)</f>
        <v>0</v>
      </c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33" t="str">
        <f>IFERROR(__xludf.DUMMYFUNCTION("LEN(REGEXREPLACE(REGEXREPLACE(REGEXEXTRACT(I336, ""(?s)Affected Nodes/Links(.*)""), ""https://[^\s]+"", """"), ""[^/]"", """")) / 2"),"#N/A")</f>
        <v>#N/A</v>
      </c>
      <c r="AC336" s="34">
        <f>IFERROR(__xludf.DUMMYFUNCTION("IFERROR(VALUE(REGEXEXTRACT(I336, ""No\.? of [Ss]ubs:\s*(\d+)"")), 0) + IFERROR(VALUE(REGEXEXTRACT(I336, ""Affected Users(?:\s*\(From IM\))?:?\s*(\d+)"")), 0) + IFERROR(VALUE(REGEXEXTRACT(I336, ""Affected Clients:\s*(\d+)"")), 0)"),0.0)</f>
        <v>0</v>
      </c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33" t="str">
        <f>IFERROR(__xludf.DUMMYFUNCTION("LEN(REGEXREPLACE(REGEXREPLACE(REGEXEXTRACT(I337, ""(?s)Affected Nodes/Links(.*)""), ""https://[^\s]+"", """"), ""[^/]"", """")) / 2"),"#N/A")</f>
        <v>#N/A</v>
      </c>
      <c r="AC337" s="34">
        <f>IFERROR(__xludf.DUMMYFUNCTION("IFERROR(VALUE(REGEXEXTRACT(I337, ""No\.? of [Ss]ubs:\s*(\d+)"")), 0) + IFERROR(VALUE(REGEXEXTRACT(I337, ""Affected Users(?:\s*\(From IM\))?:?\s*(\d+)"")), 0) + IFERROR(VALUE(REGEXEXTRACT(I337, ""Affected Clients:\s*(\d+)"")), 0)"),0.0)</f>
        <v>0</v>
      </c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33" t="str">
        <f>IFERROR(__xludf.DUMMYFUNCTION("LEN(REGEXREPLACE(REGEXREPLACE(REGEXEXTRACT(I338, ""(?s)Affected Nodes/Links(.*)""), ""https://[^\s]+"", """"), ""[^/]"", """")) / 2"),"#N/A")</f>
        <v>#N/A</v>
      </c>
      <c r="AC338" s="34">
        <f>IFERROR(__xludf.DUMMYFUNCTION("IFERROR(VALUE(REGEXEXTRACT(I338, ""No\.? of [Ss]ubs:\s*(\d+)"")), 0) + IFERROR(VALUE(REGEXEXTRACT(I338, ""Affected Users(?:\s*\(From IM\))?:?\s*(\d+)"")), 0) + IFERROR(VALUE(REGEXEXTRACT(I338, ""Affected Clients:\s*(\d+)"")), 0)"),0.0)</f>
        <v>0</v>
      </c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33" t="str">
        <f>IFERROR(__xludf.DUMMYFUNCTION("LEN(REGEXREPLACE(REGEXREPLACE(REGEXEXTRACT(I339, ""(?s)Affected Nodes/Links(.*)""), ""https://[^\s]+"", """"), ""[^/]"", """")) / 2"),"#N/A")</f>
        <v>#N/A</v>
      </c>
      <c r="AC339" s="34">
        <f>IFERROR(__xludf.DUMMYFUNCTION("IFERROR(VALUE(REGEXEXTRACT(I339, ""No\.? of [Ss]ubs:\s*(\d+)"")), 0) + IFERROR(VALUE(REGEXEXTRACT(I339, ""Affected Users(?:\s*\(From IM\))?:?\s*(\d+)"")), 0) + IFERROR(VALUE(REGEXEXTRACT(I339, ""Affected Clients:\s*(\d+)"")), 0)"),0.0)</f>
        <v>0</v>
      </c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33" t="str">
        <f>IFERROR(__xludf.DUMMYFUNCTION("LEN(REGEXREPLACE(REGEXREPLACE(REGEXEXTRACT(I340, ""(?s)Affected Nodes/Links(.*)""), ""https://[^\s]+"", """"), ""[^/]"", """")) / 2"),"#N/A")</f>
        <v>#N/A</v>
      </c>
      <c r="AC340" s="34">
        <f>IFERROR(__xludf.DUMMYFUNCTION("IFERROR(VALUE(REGEXEXTRACT(I340, ""No\.? of [Ss]ubs:\s*(\d+)"")), 0) + IFERROR(VALUE(REGEXEXTRACT(I340, ""Affected Users(?:\s*\(From IM\))?:?\s*(\d+)"")), 0) + IFERROR(VALUE(REGEXEXTRACT(I340, ""Affected Clients:\s*(\d+)"")), 0)"),0.0)</f>
        <v>0</v>
      </c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33" t="str">
        <f>IFERROR(__xludf.DUMMYFUNCTION("LEN(REGEXREPLACE(REGEXREPLACE(REGEXEXTRACT(I341, ""(?s)Affected Nodes/Links(.*)""), ""https://[^\s]+"", """"), ""[^/]"", """")) / 2"),"#N/A")</f>
        <v>#N/A</v>
      </c>
      <c r="AC341" s="34">
        <f>IFERROR(__xludf.DUMMYFUNCTION("IFERROR(VALUE(REGEXEXTRACT(I341, ""No\.? of [Ss]ubs:\s*(\d+)"")), 0) + IFERROR(VALUE(REGEXEXTRACT(I341, ""Affected Users(?:\s*\(From IM\))?:?\s*(\d+)"")), 0) + IFERROR(VALUE(REGEXEXTRACT(I341, ""Affected Clients:\s*(\d+)"")), 0)"),0.0)</f>
        <v>0</v>
      </c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33" t="str">
        <f>IFERROR(__xludf.DUMMYFUNCTION("LEN(REGEXREPLACE(REGEXREPLACE(REGEXEXTRACT(I342, ""(?s)Affected Nodes/Links(.*)""), ""https://[^\s]+"", """"), ""[^/]"", """")) / 2"),"#N/A")</f>
        <v>#N/A</v>
      </c>
      <c r="AC342" s="34">
        <f>IFERROR(__xludf.DUMMYFUNCTION("IFERROR(VALUE(REGEXEXTRACT(I342, ""No\.? of [Ss]ubs:\s*(\d+)"")), 0) + IFERROR(VALUE(REGEXEXTRACT(I342, ""Affected Users(?:\s*\(From IM\))?:?\s*(\d+)"")), 0) + IFERROR(VALUE(REGEXEXTRACT(I342, ""Affected Clients:\s*(\d+)"")), 0)"),0.0)</f>
        <v>0</v>
      </c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33" t="str">
        <f>IFERROR(__xludf.DUMMYFUNCTION("LEN(REGEXREPLACE(REGEXREPLACE(REGEXEXTRACT(I343, ""(?s)Affected Nodes/Links(.*)""), ""https://[^\s]+"", """"), ""[^/]"", """")) / 2"),"#N/A")</f>
        <v>#N/A</v>
      </c>
      <c r="AC343" s="34">
        <f>IFERROR(__xludf.DUMMYFUNCTION("IFERROR(VALUE(REGEXEXTRACT(I343, ""No\.? of [Ss]ubs:\s*(\d+)"")), 0) + IFERROR(VALUE(REGEXEXTRACT(I343, ""Affected Users(?:\s*\(From IM\))?:?\s*(\d+)"")), 0) + IFERROR(VALUE(REGEXEXTRACT(I343, ""Affected Clients:\s*(\d+)"")), 0)"),0.0)</f>
        <v>0</v>
      </c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33" t="str">
        <f>IFERROR(__xludf.DUMMYFUNCTION("LEN(REGEXREPLACE(REGEXREPLACE(REGEXEXTRACT(I344, ""(?s)Affected Nodes/Links(.*)""), ""https://[^\s]+"", """"), ""[^/]"", """")) / 2"),"#N/A")</f>
        <v>#N/A</v>
      </c>
      <c r="AC344" s="34">
        <f>IFERROR(__xludf.DUMMYFUNCTION("IFERROR(VALUE(REGEXEXTRACT(I344, ""No\.? of [Ss]ubs:\s*(\d+)"")), 0) + IFERROR(VALUE(REGEXEXTRACT(I344, ""Affected Users(?:\s*\(From IM\))?:?\s*(\d+)"")), 0) + IFERROR(VALUE(REGEXEXTRACT(I344, ""Affected Clients:\s*(\d+)"")), 0)"),0.0)</f>
        <v>0</v>
      </c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33" t="str">
        <f>IFERROR(__xludf.DUMMYFUNCTION("LEN(REGEXREPLACE(REGEXREPLACE(REGEXEXTRACT(I345, ""(?s)Affected Nodes/Links(.*)""), ""https://[^\s]+"", """"), ""[^/]"", """")) / 2"),"#N/A")</f>
        <v>#N/A</v>
      </c>
      <c r="AC345" s="34">
        <f>IFERROR(__xludf.DUMMYFUNCTION("IFERROR(VALUE(REGEXEXTRACT(I345, ""No\.? of [Ss]ubs:\s*(\d+)"")), 0) + IFERROR(VALUE(REGEXEXTRACT(I345, ""Affected Users(?:\s*\(From IM\))?:?\s*(\d+)"")), 0) + IFERROR(VALUE(REGEXEXTRACT(I345, ""Affected Clients:\s*(\d+)"")), 0)"),0.0)</f>
        <v>0</v>
      </c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33" t="str">
        <f>IFERROR(__xludf.DUMMYFUNCTION("LEN(REGEXREPLACE(REGEXREPLACE(REGEXEXTRACT(I346, ""(?s)Affected Nodes/Links(.*)""), ""https://[^\s]+"", """"), ""[^/]"", """")) / 2"),"#N/A")</f>
        <v>#N/A</v>
      </c>
      <c r="AC346" s="34">
        <f>IFERROR(__xludf.DUMMYFUNCTION("IFERROR(VALUE(REGEXEXTRACT(I346, ""No\.? of [Ss]ubs:\s*(\d+)"")), 0) + IFERROR(VALUE(REGEXEXTRACT(I346, ""Affected Users(?:\s*\(From IM\))?:?\s*(\d+)"")), 0) + IFERROR(VALUE(REGEXEXTRACT(I346, ""Affected Clients:\s*(\d+)"")), 0)"),0.0)</f>
        <v>0</v>
      </c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33" t="str">
        <f>IFERROR(__xludf.DUMMYFUNCTION("LEN(REGEXREPLACE(REGEXREPLACE(REGEXEXTRACT(I347, ""(?s)Affected Nodes/Links(.*)""), ""https://[^\s]+"", """"), ""[^/]"", """")) / 2"),"#N/A")</f>
        <v>#N/A</v>
      </c>
      <c r="AC347" s="34">
        <f>IFERROR(__xludf.DUMMYFUNCTION("IFERROR(VALUE(REGEXEXTRACT(I347, ""No\.? of [Ss]ubs:\s*(\d+)"")), 0) + IFERROR(VALUE(REGEXEXTRACT(I347, ""Affected Users(?:\s*\(From IM\))?:?\s*(\d+)"")), 0) + IFERROR(VALUE(REGEXEXTRACT(I347, ""Affected Clients:\s*(\d+)"")), 0)"),0.0)</f>
        <v>0</v>
      </c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33" t="str">
        <f>IFERROR(__xludf.DUMMYFUNCTION("LEN(REGEXREPLACE(REGEXREPLACE(REGEXEXTRACT(I348, ""(?s)Affected Nodes/Links(.*)""), ""https://[^\s]+"", """"), ""[^/]"", """")) / 2"),"#N/A")</f>
        <v>#N/A</v>
      </c>
      <c r="AC348" s="34">
        <f>IFERROR(__xludf.DUMMYFUNCTION("IFERROR(VALUE(REGEXEXTRACT(I348, ""No\.? of [Ss]ubs:\s*(\d+)"")), 0) + IFERROR(VALUE(REGEXEXTRACT(I348, ""Affected Users(?:\s*\(From IM\))?:?\s*(\d+)"")), 0) + IFERROR(VALUE(REGEXEXTRACT(I348, ""Affected Clients:\s*(\d+)"")), 0)"),0.0)</f>
        <v>0</v>
      </c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33" t="str">
        <f>IFERROR(__xludf.DUMMYFUNCTION("LEN(REGEXREPLACE(REGEXREPLACE(REGEXEXTRACT(I349, ""(?s)Affected Nodes/Links(.*)""), ""https://[^\s]+"", """"), ""[^/]"", """")) / 2"),"#N/A")</f>
        <v>#N/A</v>
      </c>
      <c r="AC349" s="34">
        <f>IFERROR(__xludf.DUMMYFUNCTION("IFERROR(VALUE(REGEXEXTRACT(I349, ""No\.? of [Ss]ubs:\s*(\d+)"")), 0) + IFERROR(VALUE(REGEXEXTRACT(I349, ""Affected Users(?:\s*\(From IM\))?:?\s*(\d+)"")), 0) + IFERROR(VALUE(REGEXEXTRACT(I349, ""Affected Clients:\s*(\d+)"")), 0)"),0.0)</f>
        <v>0</v>
      </c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33" t="str">
        <f>IFERROR(__xludf.DUMMYFUNCTION("LEN(REGEXREPLACE(REGEXREPLACE(REGEXEXTRACT(I350, ""(?s)Affected Nodes/Links(.*)""), ""https://[^\s]+"", """"), ""[^/]"", """")) / 2"),"#N/A")</f>
        <v>#N/A</v>
      </c>
      <c r="AC350" s="34">
        <f>IFERROR(__xludf.DUMMYFUNCTION("IFERROR(VALUE(REGEXEXTRACT(I350, ""No\.? of [Ss]ubs:\s*(\d+)"")), 0) + IFERROR(VALUE(REGEXEXTRACT(I350, ""Affected Users(?:\s*\(From IM\))?:?\s*(\d+)"")), 0) + IFERROR(VALUE(REGEXEXTRACT(I350, ""Affected Clients:\s*(\d+)"")), 0)"),0.0)</f>
        <v>0</v>
      </c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33" t="str">
        <f>IFERROR(__xludf.DUMMYFUNCTION("LEN(REGEXREPLACE(REGEXREPLACE(REGEXEXTRACT(I351, ""(?s)Affected Nodes/Links(.*)""), ""https://[^\s]+"", """"), ""[^/]"", """")) / 2"),"#N/A")</f>
        <v>#N/A</v>
      </c>
      <c r="AC351" s="34">
        <f>IFERROR(__xludf.DUMMYFUNCTION("IFERROR(VALUE(REGEXEXTRACT(I351, ""No\.? of [Ss]ubs:\s*(\d+)"")), 0) + IFERROR(VALUE(REGEXEXTRACT(I351, ""Affected Users(?:\s*\(From IM\))?:?\s*(\d+)"")), 0) + IFERROR(VALUE(REGEXEXTRACT(I351, ""Affected Clients:\s*(\d+)"")), 0)"),0.0)</f>
        <v>0</v>
      </c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33" t="str">
        <f>IFERROR(__xludf.DUMMYFUNCTION("LEN(REGEXREPLACE(REGEXREPLACE(REGEXEXTRACT(I352, ""(?s)Affected Nodes/Links(.*)""), ""https://[^\s]+"", """"), ""[^/]"", """")) / 2"),"#N/A")</f>
        <v>#N/A</v>
      </c>
      <c r="AC352" s="34">
        <f>IFERROR(__xludf.DUMMYFUNCTION("IFERROR(VALUE(REGEXEXTRACT(I352, ""No\.? of [Ss]ubs:\s*(\d+)"")), 0) + IFERROR(VALUE(REGEXEXTRACT(I352, ""Affected Users(?:\s*\(From IM\))?:?\s*(\d+)"")), 0) + IFERROR(VALUE(REGEXEXTRACT(I352, ""Affected Clients:\s*(\d+)"")), 0)"),0.0)</f>
        <v>0</v>
      </c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33" t="str">
        <f>IFERROR(__xludf.DUMMYFUNCTION("LEN(REGEXREPLACE(REGEXREPLACE(REGEXEXTRACT(I353, ""(?s)Affected Nodes/Links(.*)""), ""https://[^\s]+"", """"), ""[^/]"", """")) / 2"),"#N/A")</f>
        <v>#N/A</v>
      </c>
      <c r="AC353" s="34">
        <f>IFERROR(__xludf.DUMMYFUNCTION("IFERROR(VALUE(REGEXEXTRACT(I353, ""No\.? of [Ss]ubs:\s*(\d+)"")), 0) + IFERROR(VALUE(REGEXEXTRACT(I353, ""Affected Users(?:\s*\(From IM\))?:?\s*(\d+)"")), 0) + IFERROR(VALUE(REGEXEXTRACT(I353, ""Affected Clients:\s*(\d+)"")), 0)"),0.0)</f>
        <v>0</v>
      </c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33" t="str">
        <f>IFERROR(__xludf.DUMMYFUNCTION("LEN(REGEXREPLACE(REGEXREPLACE(REGEXEXTRACT(I354, ""(?s)Affected Nodes/Links(.*)""), ""https://[^\s]+"", """"), ""[^/]"", """")) / 2"),"#N/A")</f>
        <v>#N/A</v>
      </c>
      <c r="AC354" s="34">
        <f>IFERROR(__xludf.DUMMYFUNCTION("IFERROR(VALUE(REGEXEXTRACT(I354, ""No\.? of [Ss]ubs:\s*(\d+)"")), 0) + IFERROR(VALUE(REGEXEXTRACT(I354, ""Affected Users(?:\s*\(From IM\))?:?\s*(\d+)"")), 0) + IFERROR(VALUE(REGEXEXTRACT(I354, ""Affected Clients:\s*(\d+)"")), 0)"),0.0)</f>
        <v>0</v>
      </c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33" t="str">
        <f>IFERROR(__xludf.DUMMYFUNCTION("LEN(REGEXREPLACE(REGEXREPLACE(REGEXEXTRACT(I355, ""(?s)Affected Nodes/Links(.*)""), ""https://[^\s]+"", """"), ""[^/]"", """")) / 2"),"#N/A")</f>
        <v>#N/A</v>
      </c>
      <c r="AC355" s="34">
        <f>IFERROR(__xludf.DUMMYFUNCTION("IFERROR(VALUE(REGEXEXTRACT(I355, ""No\.? of [Ss]ubs:\s*(\d+)"")), 0) + IFERROR(VALUE(REGEXEXTRACT(I355, ""Affected Users(?:\s*\(From IM\))?:?\s*(\d+)"")), 0) + IFERROR(VALUE(REGEXEXTRACT(I355, ""Affected Clients:\s*(\d+)"")), 0)"),0.0)</f>
        <v>0</v>
      </c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33" t="str">
        <f>IFERROR(__xludf.DUMMYFUNCTION("LEN(REGEXREPLACE(REGEXREPLACE(REGEXEXTRACT(I356, ""(?s)Affected Nodes/Links(.*)""), ""https://[^\s]+"", """"), ""[^/]"", """")) / 2"),"#N/A")</f>
        <v>#N/A</v>
      </c>
      <c r="AC356" s="34">
        <f>IFERROR(__xludf.DUMMYFUNCTION("IFERROR(VALUE(REGEXEXTRACT(I356, ""No\.? of [Ss]ubs:\s*(\d+)"")), 0) + IFERROR(VALUE(REGEXEXTRACT(I356, ""Affected Users(?:\s*\(From IM\))?:?\s*(\d+)"")), 0) + IFERROR(VALUE(REGEXEXTRACT(I356, ""Affected Clients:\s*(\d+)"")), 0)"),0.0)</f>
        <v>0</v>
      </c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33" t="str">
        <f>IFERROR(__xludf.DUMMYFUNCTION("LEN(REGEXREPLACE(REGEXREPLACE(REGEXEXTRACT(I357, ""(?s)Affected Nodes/Links(.*)""), ""https://[^\s]+"", """"), ""[^/]"", """")) / 2"),"#N/A")</f>
        <v>#N/A</v>
      </c>
      <c r="AC357" s="34">
        <f>IFERROR(__xludf.DUMMYFUNCTION("IFERROR(VALUE(REGEXEXTRACT(I357, ""No\.? of [Ss]ubs:\s*(\d+)"")), 0) + IFERROR(VALUE(REGEXEXTRACT(I357, ""Affected Users(?:\s*\(From IM\))?:?\s*(\d+)"")), 0) + IFERROR(VALUE(REGEXEXTRACT(I357, ""Affected Clients:\s*(\d+)"")), 0)"),0.0)</f>
        <v>0</v>
      </c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33" t="str">
        <f>IFERROR(__xludf.DUMMYFUNCTION("LEN(REGEXREPLACE(REGEXREPLACE(REGEXEXTRACT(I358, ""(?s)Affected Nodes/Links(.*)""), ""https://[^\s]+"", """"), ""[^/]"", """")) / 2"),"#N/A")</f>
        <v>#N/A</v>
      </c>
      <c r="AC358" s="34">
        <f>IFERROR(__xludf.DUMMYFUNCTION("IFERROR(VALUE(REGEXEXTRACT(I358, ""No\.? of [Ss]ubs:\s*(\d+)"")), 0) + IFERROR(VALUE(REGEXEXTRACT(I358, ""Affected Users(?:\s*\(From IM\))?:?\s*(\d+)"")), 0) + IFERROR(VALUE(REGEXEXTRACT(I358, ""Affected Clients:\s*(\d+)"")), 0)"),0.0)</f>
        <v>0</v>
      </c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33" t="str">
        <f>IFERROR(__xludf.DUMMYFUNCTION("LEN(REGEXREPLACE(REGEXREPLACE(REGEXEXTRACT(I359, ""(?s)Affected Nodes/Links(.*)""), ""https://[^\s]+"", """"), ""[^/]"", """")) / 2"),"#N/A")</f>
        <v>#N/A</v>
      </c>
      <c r="AC359" s="34">
        <f>IFERROR(__xludf.DUMMYFUNCTION("IFERROR(VALUE(REGEXEXTRACT(I359, ""No\.? of [Ss]ubs:\s*(\d+)"")), 0) + IFERROR(VALUE(REGEXEXTRACT(I359, ""Affected Users(?:\s*\(From IM\))?:?\s*(\d+)"")), 0) + IFERROR(VALUE(REGEXEXTRACT(I359, ""Affected Clients:\s*(\d+)"")), 0)"),0.0)</f>
        <v>0</v>
      </c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33" t="str">
        <f>IFERROR(__xludf.DUMMYFUNCTION("LEN(REGEXREPLACE(REGEXREPLACE(REGEXEXTRACT(I360, ""(?s)Affected Nodes/Links(.*)""), ""https://[^\s]+"", """"), ""[^/]"", """")) / 2"),"#N/A")</f>
        <v>#N/A</v>
      </c>
      <c r="AC360" s="34">
        <f>IFERROR(__xludf.DUMMYFUNCTION("IFERROR(VALUE(REGEXEXTRACT(I360, ""No\.? of [Ss]ubs:\s*(\d+)"")), 0) + IFERROR(VALUE(REGEXEXTRACT(I360, ""Affected Users(?:\s*\(From IM\))?:?\s*(\d+)"")), 0) + IFERROR(VALUE(REGEXEXTRACT(I360, ""Affected Clients:\s*(\d+)"")), 0)"),0.0)</f>
        <v>0</v>
      </c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33" t="str">
        <f>IFERROR(__xludf.DUMMYFUNCTION("LEN(REGEXREPLACE(REGEXREPLACE(REGEXEXTRACT(I361, ""(?s)Affected Nodes/Links(.*)""), ""https://[^\s]+"", """"), ""[^/]"", """")) / 2"),"#N/A")</f>
        <v>#N/A</v>
      </c>
      <c r="AC361" s="34">
        <f>IFERROR(__xludf.DUMMYFUNCTION("IFERROR(VALUE(REGEXEXTRACT(I361, ""No\.? of [Ss]ubs:\s*(\d+)"")), 0) + IFERROR(VALUE(REGEXEXTRACT(I361, ""Affected Users(?:\s*\(From IM\))?:?\s*(\d+)"")), 0) + IFERROR(VALUE(REGEXEXTRACT(I361, ""Affected Clients:\s*(\d+)"")), 0)"),0.0)</f>
        <v>0</v>
      </c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33" t="str">
        <f>IFERROR(__xludf.DUMMYFUNCTION("LEN(REGEXREPLACE(REGEXREPLACE(REGEXEXTRACT(I362, ""(?s)Affected Nodes/Links(.*)""), ""https://[^\s]+"", """"), ""[^/]"", """")) / 2"),"#N/A")</f>
        <v>#N/A</v>
      </c>
      <c r="AC362" s="34">
        <f>IFERROR(__xludf.DUMMYFUNCTION("IFERROR(VALUE(REGEXEXTRACT(I362, ""No\.? of [Ss]ubs:\s*(\d+)"")), 0) + IFERROR(VALUE(REGEXEXTRACT(I362, ""Affected Users(?:\s*\(From IM\))?:?\s*(\d+)"")), 0) + IFERROR(VALUE(REGEXEXTRACT(I362, ""Affected Clients:\s*(\d+)"")), 0)"),0.0)</f>
        <v>0</v>
      </c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33" t="str">
        <f>IFERROR(__xludf.DUMMYFUNCTION("LEN(REGEXREPLACE(REGEXREPLACE(REGEXEXTRACT(I363, ""(?s)Affected Nodes/Links(.*)""), ""https://[^\s]+"", """"), ""[^/]"", """")) / 2"),"#N/A")</f>
        <v>#N/A</v>
      </c>
      <c r="AC363" s="34">
        <f>IFERROR(__xludf.DUMMYFUNCTION("IFERROR(VALUE(REGEXEXTRACT(I363, ""No\.? of [Ss]ubs:\s*(\d+)"")), 0) + IFERROR(VALUE(REGEXEXTRACT(I363, ""Affected Users(?:\s*\(From IM\))?:?\s*(\d+)"")), 0) + IFERROR(VALUE(REGEXEXTRACT(I363, ""Affected Clients:\s*(\d+)"")), 0)"),0.0)</f>
        <v>0</v>
      </c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33" t="str">
        <f>IFERROR(__xludf.DUMMYFUNCTION("LEN(REGEXREPLACE(REGEXREPLACE(REGEXEXTRACT(I364, ""(?s)Affected Nodes/Links(.*)""), ""https://[^\s]+"", """"), ""[^/]"", """")) / 2"),"#N/A")</f>
        <v>#N/A</v>
      </c>
      <c r="AC364" s="34">
        <f>IFERROR(__xludf.DUMMYFUNCTION("IFERROR(VALUE(REGEXEXTRACT(I364, ""No\.? of [Ss]ubs:\s*(\d+)"")), 0) + IFERROR(VALUE(REGEXEXTRACT(I364, ""Affected Users(?:\s*\(From IM\))?:?\s*(\d+)"")), 0) + IFERROR(VALUE(REGEXEXTRACT(I364, ""Affected Clients:\s*(\d+)"")), 0)"),0.0)</f>
        <v>0</v>
      </c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33" t="str">
        <f>IFERROR(__xludf.DUMMYFUNCTION("LEN(REGEXREPLACE(REGEXREPLACE(REGEXEXTRACT(I365, ""(?s)Affected Nodes/Links(.*)""), ""https://[^\s]+"", """"), ""[^/]"", """")) / 2"),"#N/A")</f>
        <v>#N/A</v>
      </c>
      <c r="AC365" s="34">
        <f>IFERROR(__xludf.DUMMYFUNCTION("IFERROR(VALUE(REGEXEXTRACT(I365, ""No\.? of [Ss]ubs:\s*(\d+)"")), 0) + IFERROR(VALUE(REGEXEXTRACT(I365, ""Affected Users(?:\s*\(From IM\))?:?\s*(\d+)"")), 0) + IFERROR(VALUE(REGEXEXTRACT(I365, ""Affected Clients:\s*(\d+)"")), 0)"),0.0)</f>
        <v>0</v>
      </c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33" t="str">
        <f>IFERROR(__xludf.DUMMYFUNCTION("LEN(REGEXREPLACE(REGEXREPLACE(REGEXEXTRACT(I366, ""(?s)Affected Nodes/Links(.*)""), ""https://[^\s]+"", """"), ""[^/]"", """")) / 2"),"#N/A")</f>
        <v>#N/A</v>
      </c>
      <c r="AC366" s="34">
        <f>IFERROR(__xludf.DUMMYFUNCTION("IFERROR(VALUE(REGEXEXTRACT(I366, ""No\.? of [Ss]ubs:\s*(\d+)"")), 0) + IFERROR(VALUE(REGEXEXTRACT(I366, ""Affected Users(?:\s*\(From IM\))?:?\s*(\d+)"")), 0) + IFERROR(VALUE(REGEXEXTRACT(I366, ""Affected Clients:\s*(\d+)"")), 0)"),0.0)</f>
        <v>0</v>
      </c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33" t="str">
        <f>IFERROR(__xludf.DUMMYFUNCTION("LEN(REGEXREPLACE(REGEXREPLACE(REGEXEXTRACT(I367, ""(?s)Affected Nodes/Links(.*)""), ""https://[^\s]+"", """"), ""[^/]"", """")) / 2"),"#N/A")</f>
        <v>#N/A</v>
      </c>
      <c r="AC367" s="34">
        <f>IFERROR(__xludf.DUMMYFUNCTION("IFERROR(VALUE(REGEXEXTRACT(I367, ""No\.? of [Ss]ubs:\s*(\d+)"")), 0) + IFERROR(VALUE(REGEXEXTRACT(I367, ""Affected Users(?:\s*\(From IM\))?:?\s*(\d+)"")), 0) + IFERROR(VALUE(REGEXEXTRACT(I367, ""Affected Clients:\s*(\d+)"")), 0)"),0.0)</f>
        <v>0</v>
      </c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33" t="str">
        <f>IFERROR(__xludf.DUMMYFUNCTION("LEN(REGEXREPLACE(REGEXREPLACE(REGEXEXTRACT(I368, ""(?s)Affected Nodes/Links(.*)""), ""https://[^\s]+"", """"), ""[^/]"", """")) / 2"),"#N/A")</f>
        <v>#N/A</v>
      </c>
      <c r="AC368" s="34">
        <f>IFERROR(__xludf.DUMMYFUNCTION("IFERROR(VALUE(REGEXEXTRACT(I368, ""No\.? of [Ss]ubs:\s*(\d+)"")), 0) + IFERROR(VALUE(REGEXEXTRACT(I368, ""Affected Users(?:\s*\(From IM\))?:?\s*(\d+)"")), 0) + IFERROR(VALUE(REGEXEXTRACT(I368, ""Affected Clients:\s*(\d+)"")), 0)"),0.0)</f>
        <v>0</v>
      </c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33" t="str">
        <f>IFERROR(__xludf.DUMMYFUNCTION("LEN(REGEXREPLACE(REGEXREPLACE(REGEXEXTRACT(I369, ""(?s)Affected Nodes/Links(.*)""), ""https://[^\s]+"", """"), ""[^/]"", """")) / 2"),"#N/A")</f>
        <v>#N/A</v>
      </c>
      <c r="AC369" s="34">
        <f>IFERROR(__xludf.DUMMYFUNCTION("IFERROR(VALUE(REGEXEXTRACT(I369, ""No\.? of [Ss]ubs:\s*(\d+)"")), 0) + IFERROR(VALUE(REGEXEXTRACT(I369, ""Affected Users(?:\s*\(From IM\))?:?\s*(\d+)"")), 0) + IFERROR(VALUE(REGEXEXTRACT(I369, ""Affected Clients:\s*(\d+)"")), 0)"),0.0)</f>
        <v>0</v>
      </c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33" t="str">
        <f>IFERROR(__xludf.DUMMYFUNCTION("LEN(REGEXREPLACE(REGEXREPLACE(REGEXEXTRACT(I370, ""(?s)Affected Nodes/Links(.*)""), ""https://[^\s]+"", """"), ""[^/]"", """")) / 2"),"#N/A")</f>
        <v>#N/A</v>
      </c>
      <c r="AC370" s="34">
        <f>IFERROR(__xludf.DUMMYFUNCTION("IFERROR(VALUE(REGEXEXTRACT(I370, ""No\.? of [Ss]ubs:\s*(\d+)"")), 0) + IFERROR(VALUE(REGEXEXTRACT(I370, ""Affected Users(?:\s*\(From IM\))?:?\s*(\d+)"")), 0) + IFERROR(VALUE(REGEXEXTRACT(I370, ""Affected Clients:\s*(\d+)"")), 0)"),0.0)</f>
        <v>0</v>
      </c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33" t="str">
        <f>IFERROR(__xludf.DUMMYFUNCTION("LEN(REGEXREPLACE(REGEXREPLACE(REGEXEXTRACT(I371, ""(?s)Affected Nodes/Links(.*)""), ""https://[^\s]+"", """"), ""[^/]"", """")) / 2"),"#N/A")</f>
        <v>#N/A</v>
      </c>
      <c r="AC371" s="34">
        <f>IFERROR(__xludf.DUMMYFUNCTION("IFERROR(VALUE(REGEXEXTRACT(I371, ""No\.? of [Ss]ubs:\s*(\d+)"")), 0) + IFERROR(VALUE(REGEXEXTRACT(I371, ""Affected Users(?:\s*\(From IM\))?:?\s*(\d+)"")), 0) + IFERROR(VALUE(REGEXEXTRACT(I371, ""Affected Clients:\s*(\d+)"")), 0)"),0.0)</f>
        <v>0</v>
      </c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33" t="str">
        <f>IFERROR(__xludf.DUMMYFUNCTION("LEN(REGEXREPLACE(REGEXREPLACE(REGEXEXTRACT(I372, ""(?s)Affected Nodes/Links(.*)""), ""https://[^\s]+"", """"), ""[^/]"", """")) / 2"),"#N/A")</f>
        <v>#N/A</v>
      </c>
      <c r="AC372" s="34">
        <f>IFERROR(__xludf.DUMMYFUNCTION("IFERROR(VALUE(REGEXEXTRACT(I372, ""No\.? of [Ss]ubs:\s*(\d+)"")), 0) + IFERROR(VALUE(REGEXEXTRACT(I372, ""Affected Users(?:\s*\(From IM\))?:?\s*(\d+)"")), 0) + IFERROR(VALUE(REGEXEXTRACT(I372, ""Affected Clients:\s*(\d+)"")), 0)"),0.0)</f>
        <v>0</v>
      </c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33" t="str">
        <f>IFERROR(__xludf.DUMMYFUNCTION("LEN(REGEXREPLACE(REGEXREPLACE(REGEXEXTRACT(I373, ""(?s)Affected Nodes/Links(.*)""), ""https://[^\s]+"", """"), ""[^/]"", """")) / 2"),"#N/A")</f>
        <v>#N/A</v>
      </c>
      <c r="AC373" s="34">
        <f>IFERROR(__xludf.DUMMYFUNCTION("IFERROR(VALUE(REGEXEXTRACT(I373, ""No\.? of [Ss]ubs:\s*(\d+)"")), 0) + IFERROR(VALUE(REGEXEXTRACT(I373, ""Affected Users(?:\s*\(From IM\))?:?\s*(\d+)"")), 0) + IFERROR(VALUE(REGEXEXTRACT(I373, ""Affected Clients:\s*(\d+)"")), 0)"),0.0)</f>
        <v>0</v>
      </c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33" t="str">
        <f>IFERROR(__xludf.DUMMYFUNCTION("LEN(REGEXREPLACE(REGEXREPLACE(REGEXEXTRACT(I374, ""(?s)Affected Nodes/Links(.*)""), ""https://[^\s]+"", """"), ""[^/]"", """")) / 2"),"#N/A")</f>
        <v>#N/A</v>
      </c>
      <c r="AC374" s="34">
        <f>IFERROR(__xludf.DUMMYFUNCTION("IFERROR(VALUE(REGEXEXTRACT(I374, ""No\.? of [Ss]ubs:\s*(\d+)"")), 0) + IFERROR(VALUE(REGEXEXTRACT(I374, ""Affected Users(?:\s*\(From IM\))?:?\s*(\d+)"")), 0) + IFERROR(VALUE(REGEXEXTRACT(I374, ""Affected Clients:\s*(\d+)"")), 0)"),0.0)</f>
        <v>0</v>
      </c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33" t="str">
        <f>IFERROR(__xludf.DUMMYFUNCTION("LEN(REGEXREPLACE(REGEXREPLACE(REGEXEXTRACT(I375, ""(?s)Affected Nodes/Links(.*)""), ""https://[^\s]+"", """"), ""[^/]"", """")) / 2"),"#N/A")</f>
        <v>#N/A</v>
      </c>
      <c r="AC375" s="34">
        <f>IFERROR(__xludf.DUMMYFUNCTION("IFERROR(VALUE(REGEXEXTRACT(I375, ""No\.? of [Ss]ubs:\s*(\d+)"")), 0) + IFERROR(VALUE(REGEXEXTRACT(I375, ""Affected Users(?:\s*\(From IM\))?:?\s*(\d+)"")), 0) + IFERROR(VALUE(REGEXEXTRACT(I375, ""Affected Clients:\s*(\d+)"")), 0)"),0.0)</f>
        <v>0</v>
      </c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33" t="str">
        <f>IFERROR(__xludf.DUMMYFUNCTION("LEN(REGEXREPLACE(REGEXREPLACE(REGEXEXTRACT(I376, ""(?s)Affected Nodes/Links(.*)""), ""https://[^\s]+"", """"), ""[^/]"", """")) / 2"),"#N/A")</f>
        <v>#N/A</v>
      </c>
      <c r="AC376" s="34">
        <f>IFERROR(__xludf.DUMMYFUNCTION("IFERROR(VALUE(REGEXEXTRACT(I376, ""No\.? of [Ss]ubs:\s*(\d+)"")), 0) + IFERROR(VALUE(REGEXEXTRACT(I376, ""Affected Users(?:\s*\(From IM\))?:?\s*(\d+)"")), 0) + IFERROR(VALUE(REGEXEXTRACT(I376, ""Affected Clients:\s*(\d+)"")), 0)"),0.0)</f>
        <v>0</v>
      </c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33" t="str">
        <f>IFERROR(__xludf.DUMMYFUNCTION("LEN(REGEXREPLACE(REGEXREPLACE(REGEXEXTRACT(I377, ""(?s)Affected Nodes/Links(.*)""), ""https://[^\s]+"", """"), ""[^/]"", """")) / 2"),"#N/A")</f>
        <v>#N/A</v>
      </c>
      <c r="AC377" s="34">
        <f>IFERROR(__xludf.DUMMYFUNCTION("IFERROR(VALUE(REGEXEXTRACT(I377, ""No\.? of [Ss]ubs:\s*(\d+)"")), 0) + IFERROR(VALUE(REGEXEXTRACT(I377, ""Affected Users(?:\s*\(From IM\))?:?\s*(\d+)"")), 0) + IFERROR(VALUE(REGEXEXTRACT(I377, ""Affected Clients:\s*(\d+)"")), 0)"),0.0)</f>
        <v>0</v>
      </c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33" t="str">
        <f>IFERROR(__xludf.DUMMYFUNCTION("LEN(REGEXREPLACE(REGEXREPLACE(REGEXEXTRACT(I378, ""(?s)Affected Nodes/Links(.*)""), ""https://[^\s]+"", """"), ""[^/]"", """")) / 2"),"#N/A")</f>
        <v>#N/A</v>
      </c>
      <c r="AC378" s="34">
        <f>IFERROR(__xludf.DUMMYFUNCTION("IFERROR(VALUE(REGEXEXTRACT(I378, ""No\.? of [Ss]ubs:\s*(\d+)"")), 0) + IFERROR(VALUE(REGEXEXTRACT(I378, ""Affected Users(?:\s*\(From IM\))?:?\s*(\d+)"")), 0) + IFERROR(VALUE(REGEXEXTRACT(I378, ""Affected Clients:\s*(\d+)"")), 0)"),0.0)</f>
        <v>0</v>
      </c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33" t="str">
        <f>IFERROR(__xludf.DUMMYFUNCTION("LEN(REGEXREPLACE(REGEXREPLACE(REGEXEXTRACT(I379, ""(?s)Affected Nodes/Links(.*)""), ""https://[^\s]+"", """"), ""[^/]"", """")) / 2"),"#N/A")</f>
        <v>#N/A</v>
      </c>
      <c r="AC379" s="34">
        <f>IFERROR(__xludf.DUMMYFUNCTION("IFERROR(VALUE(REGEXEXTRACT(I379, ""No\.? of [Ss]ubs:\s*(\d+)"")), 0) + IFERROR(VALUE(REGEXEXTRACT(I379, ""Affected Users(?:\s*\(From IM\))?:?\s*(\d+)"")), 0) + IFERROR(VALUE(REGEXEXTRACT(I379, ""Affected Clients:\s*(\d+)"")), 0)"),0.0)</f>
        <v>0</v>
      </c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33" t="str">
        <f>IFERROR(__xludf.DUMMYFUNCTION("LEN(REGEXREPLACE(REGEXREPLACE(REGEXEXTRACT(I380, ""(?s)Affected Nodes/Links(.*)""), ""https://[^\s]+"", """"), ""[^/]"", """")) / 2"),"#N/A")</f>
        <v>#N/A</v>
      </c>
      <c r="AC380" s="34">
        <f>IFERROR(__xludf.DUMMYFUNCTION("IFERROR(VALUE(REGEXEXTRACT(I380, ""No\.? of [Ss]ubs:\s*(\d+)"")), 0) + IFERROR(VALUE(REGEXEXTRACT(I380, ""Affected Users(?:\s*\(From IM\))?:?\s*(\d+)"")), 0) + IFERROR(VALUE(REGEXEXTRACT(I380, ""Affected Clients:\s*(\d+)"")), 0)"),0.0)</f>
        <v>0</v>
      </c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33" t="str">
        <f>IFERROR(__xludf.DUMMYFUNCTION("LEN(REGEXREPLACE(REGEXREPLACE(REGEXEXTRACT(I381, ""(?s)Affected Nodes/Links(.*)""), ""https://[^\s]+"", """"), ""[^/]"", """")) / 2"),"#N/A")</f>
        <v>#N/A</v>
      </c>
      <c r="AC381" s="34">
        <f>IFERROR(__xludf.DUMMYFUNCTION("IFERROR(VALUE(REGEXEXTRACT(I381, ""No\.? of [Ss]ubs:\s*(\d+)"")), 0) + IFERROR(VALUE(REGEXEXTRACT(I381, ""Affected Users(?:\s*\(From IM\))?:?\s*(\d+)"")), 0) + IFERROR(VALUE(REGEXEXTRACT(I381, ""Affected Clients:\s*(\d+)"")), 0)"),0.0)</f>
        <v>0</v>
      </c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33" t="str">
        <f>IFERROR(__xludf.DUMMYFUNCTION("LEN(REGEXREPLACE(REGEXREPLACE(REGEXEXTRACT(I382, ""(?s)Affected Nodes/Links(.*)""), ""https://[^\s]+"", """"), ""[^/]"", """")) / 2"),"#N/A")</f>
        <v>#N/A</v>
      </c>
      <c r="AC382" s="34">
        <f>IFERROR(__xludf.DUMMYFUNCTION("IFERROR(VALUE(REGEXEXTRACT(I382, ""No\.? of [Ss]ubs:\s*(\d+)"")), 0) + IFERROR(VALUE(REGEXEXTRACT(I382, ""Affected Users(?:\s*\(From IM\))?:?\s*(\d+)"")), 0) + IFERROR(VALUE(REGEXEXTRACT(I382, ""Affected Clients:\s*(\d+)"")), 0)"),0.0)</f>
        <v>0</v>
      </c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33" t="str">
        <f>IFERROR(__xludf.DUMMYFUNCTION("LEN(REGEXREPLACE(REGEXREPLACE(REGEXEXTRACT(I383, ""(?s)Affected Nodes/Links(.*)""), ""https://[^\s]+"", """"), ""[^/]"", """")) / 2"),"#N/A")</f>
        <v>#N/A</v>
      </c>
      <c r="AC383" s="34">
        <f>IFERROR(__xludf.DUMMYFUNCTION("IFERROR(VALUE(REGEXEXTRACT(I383, ""No\.? of [Ss]ubs:\s*(\d+)"")), 0) + IFERROR(VALUE(REGEXEXTRACT(I383, ""Affected Users(?:\s*\(From IM\))?:?\s*(\d+)"")), 0) + IFERROR(VALUE(REGEXEXTRACT(I383, ""Affected Clients:\s*(\d+)"")), 0)"),0.0)</f>
        <v>0</v>
      </c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33" t="str">
        <f>IFERROR(__xludf.DUMMYFUNCTION("LEN(REGEXREPLACE(REGEXREPLACE(REGEXEXTRACT(I384, ""(?s)Affected Nodes/Links(.*)""), ""https://[^\s]+"", """"), ""[^/]"", """")) / 2"),"#N/A")</f>
        <v>#N/A</v>
      </c>
      <c r="AC384" s="34">
        <f>IFERROR(__xludf.DUMMYFUNCTION("IFERROR(VALUE(REGEXEXTRACT(I384, ""No\.? of [Ss]ubs:\s*(\d+)"")), 0) + IFERROR(VALUE(REGEXEXTRACT(I384, ""Affected Users(?:\s*\(From IM\))?:?\s*(\d+)"")), 0) + IFERROR(VALUE(REGEXEXTRACT(I384, ""Affected Clients:\s*(\d+)"")), 0)"),0.0)</f>
        <v>0</v>
      </c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33" t="str">
        <f>IFERROR(__xludf.DUMMYFUNCTION("LEN(REGEXREPLACE(REGEXREPLACE(REGEXEXTRACT(I385, ""(?s)Affected Nodes/Links(.*)""), ""https://[^\s]+"", """"), ""[^/]"", """")) / 2"),"#N/A")</f>
        <v>#N/A</v>
      </c>
      <c r="AC385" s="34">
        <f>IFERROR(__xludf.DUMMYFUNCTION("IFERROR(VALUE(REGEXEXTRACT(I385, ""No\.? of [Ss]ubs:\s*(\d+)"")), 0) + IFERROR(VALUE(REGEXEXTRACT(I385, ""Affected Users(?:\s*\(From IM\))?:?\s*(\d+)"")), 0) + IFERROR(VALUE(REGEXEXTRACT(I385, ""Affected Clients:\s*(\d+)"")), 0)"),0.0)</f>
        <v>0</v>
      </c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33" t="str">
        <f>IFERROR(__xludf.DUMMYFUNCTION("LEN(REGEXREPLACE(REGEXREPLACE(REGEXEXTRACT(I386, ""(?s)Affected Nodes/Links(.*)""), ""https://[^\s]+"", """"), ""[^/]"", """")) / 2"),"#N/A")</f>
        <v>#N/A</v>
      </c>
      <c r="AC386" s="34">
        <f>IFERROR(__xludf.DUMMYFUNCTION("IFERROR(VALUE(REGEXEXTRACT(I386, ""No\.? of [Ss]ubs:\s*(\d+)"")), 0) + IFERROR(VALUE(REGEXEXTRACT(I386, ""Affected Users(?:\s*\(From IM\))?:?\s*(\d+)"")), 0) + IFERROR(VALUE(REGEXEXTRACT(I386, ""Affected Clients:\s*(\d+)"")), 0)"),0.0)</f>
        <v>0</v>
      </c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33" t="str">
        <f>IFERROR(__xludf.DUMMYFUNCTION("LEN(REGEXREPLACE(REGEXREPLACE(REGEXEXTRACT(I387, ""(?s)Affected Nodes/Links(.*)""), ""https://[^\s]+"", """"), ""[^/]"", """")) / 2"),"#N/A")</f>
        <v>#N/A</v>
      </c>
      <c r="AC387" s="34">
        <f>IFERROR(__xludf.DUMMYFUNCTION("IFERROR(VALUE(REGEXEXTRACT(I387, ""No\.? of [Ss]ubs:\s*(\d+)"")), 0) + IFERROR(VALUE(REGEXEXTRACT(I387, ""Affected Users(?:\s*\(From IM\))?:?\s*(\d+)"")), 0) + IFERROR(VALUE(REGEXEXTRACT(I387, ""Affected Clients:\s*(\d+)"")), 0)"),0.0)</f>
        <v>0</v>
      </c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33" t="str">
        <f>IFERROR(__xludf.DUMMYFUNCTION("LEN(REGEXREPLACE(REGEXREPLACE(REGEXEXTRACT(I388, ""(?s)Affected Nodes/Links(.*)""), ""https://[^\s]+"", """"), ""[^/]"", """")) / 2"),"#N/A")</f>
        <v>#N/A</v>
      </c>
      <c r="AC388" s="34">
        <f>IFERROR(__xludf.DUMMYFUNCTION("IFERROR(VALUE(REGEXEXTRACT(I388, ""No\.? of [Ss]ubs:\s*(\d+)"")), 0) + IFERROR(VALUE(REGEXEXTRACT(I388, ""Affected Users(?:\s*\(From IM\))?:?\s*(\d+)"")), 0) + IFERROR(VALUE(REGEXEXTRACT(I388, ""Affected Clients:\s*(\d+)"")), 0)"),0.0)</f>
        <v>0</v>
      </c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33" t="str">
        <f>IFERROR(__xludf.DUMMYFUNCTION("LEN(REGEXREPLACE(REGEXREPLACE(REGEXEXTRACT(I389, ""(?s)Affected Nodes/Links(.*)""), ""https://[^\s]+"", """"), ""[^/]"", """")) / 2"),"#N/A")</f>
        <v>#N/A</v>
      </c>
      <c r="AC389" s="34">
        <f>IFERROR(__xludf.DUMMYFUNCTION("IFERROR(VALUE(REGEXEXTRACT(I389, ""No\.? of [Ss]ubs:\s*(\d+)"")), 0) + IFERROR(VALUE(REGEXEXTRACT(I389, ""Affected Users(?:\s*\(From IM\))?:?\s*(\d+)"")), 0) + IFERROR(VALUE(REGEXEXTRACT(I389, ""Affected Clients:\s*(\d+)"")), 0)"),0.0)</f>
        <v>0</v>
      </c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33" t="str">
        <f>IFERROR(__xludf.DUMMYFUNCTION("LEN(REGEXREPLACE(REGEXREPLACE(REGEXEXTRACT(I390, ""(?s)Affected Nodes/Links(.*)""), ""https://[^\s]+"", """"), ""[^/]"", """")) / 2"),"#N/A")</f>
        <v>#N/A</v>
      </c>
      <c r="AC390" s="34">
        <f>IFERROR(__xludf.DUMMYFUNCTION("IFERROR(VALUE(REGEXEXTRACT(I390, ""No\.? of [Ss]ubs:\s*(\d+)"")), 0) + IFERROR(VALUE(REGEXEXTRACT(I390, ""Affected Users(?:\s*\(From IM\))?:?\s*(\d+)"")), 0) + IFERROR(VALUE(REGEXEXTRACT(I390, ""Affected Clients:\s*(\d+)"")), 0)"),0.0)</f>
        <v>0</v>
      </c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33" t="str">
        <f>IFERROR(__xludf.DUMMYFUNCTION("LEN(REGEXREPLACE(REGEXREPLACE(REGEXEXTRACT(I391, ""(?s)Affected Nodes/Links(.*)""), ""https://[^\s]+"", """"), ""[^/]"", """")) / 2"),"#N/A")</f>
        <v>#N/A</v>
      </c>
      <c r="AC391" s="34">
        <f>IFERROR(__xludf.DUMMYFUNCTION("IFERROR(VALUE(REGEXEXTRACT(I391, ""No\.? of [Ss]ubs:\s*(\d+)"")), 0) + IFERROR(VALUE(REGEXEXTRACT(I391, ""Affected Users(?:\s*\(From IM\))?:?\s*(\d+)"")), 0) + IFERROR(VALUE(REGEXEXTRACT(I391, ""Affected Clients:\s*(\d+)"")), 0)"),0.0)</f>
        <v>0</v>
      </c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33" t="str">
        <f>IFERROR(__xludf.DUMMYFUNCTION("LEN(REGEXREPLACE(REGEXREPLACE(REGEXEXTRACT(I392, ""(?s)Affected Nodes/Links(.*)""), ""https://[^\s]+"", """"), ""[^/]"", """")) / 2"),"#N/A")</f>
        <v>#N/A</v>
      </c>
      <c r="AC392" s="34">
        <f>IFERROR(__xludf.DUMMYFUNCTION("IFERROR(VALUE(REGEXEXTRACT(I392, ""No\.? of [Ss]ubs:\s*(\d+)"")), 0) + IFERROR(VALUE(REGEXEXTRACT(I392, ""Affected Users(?:\s*\(From IM\))?:?\s*(\d+)"")), 0) + IFERROR(VALUE(REGEXEXTRACT(I392, ""Affected Clients:\s*(\d+)"")), 0)"),0.0)</f>
        <v>0</v>
      </c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33" t="str">
        <f>IFERROR(__xludf.DUMMYFUNCTION("LEN(REGEXREPLACE(REGEXREPLACE(REGEXEXTRACT(I393, ""(?s)Affected Nodes/Links(.*)""), ""https://[^\s]+"", """"), ""[^/]"", """")) / 2"),"#N/A")</f>
        <v>#N/A</v>
      </c>
      <c r="AC393" s="34">
        <f>IFERROR(__xludf.DUMMYFUNCTION("IFERROR(VALUE(REGEXEXTRACT(I393, ""No\.? of [Ss]ubs:\s*(\d+)"")), 0) + IFERROR(VALUE(REGEXEXTRACT(I393, ""Affected Users(?:\s*\(From IM\))?:?\s*(\d+)"")), 0) + IFERROR(VALUE(REGEXEXTRACT(I393, ""Affected Clients:\s*(\d+)"")), 0)"),0.0)</f>
        <v>0</v>
      </c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33" t="str">
        <f>IFERROR(__xludf.DUMMYFUNCTION("LEN(REGEXREPLACE(REGEXREPLACE(REGEXEXTRACT(I394, ""(?s)Affected Nodes/Links(.*)""), ""https://[^\s]+"", """"), ""[^/]"", """")) / 2"),"#N/A")</f>
        <v>#N/A</v>
      </c>
      <c r="AC394" s="34">
        <f>IFERROR(__xludf.DUMMYFUNCTION("IFERROR(VALUE(REGEXEXTRACT(I394, ""No\.? of [Ss]ubs:\s*(\d+)"")), 0) + IFERROR(VALUE(REGEXEXTRACT(I394, ""Affected Users(?:\s*\(From IM\))?:?\s*(\d+)"")), 0) + IFERROR(VALUE(REGEXEXTRACT(I394, ""Affected Clients:\s*(\d+)"")), 0)"),0.0)</f>
        <v>0</v>
      </c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33" t="str">
        <f>IFERROR(__xludf.DUMMYFUNCTION("LEN(REGEXREPLACE(REGEXREPLACE(REGEXEXTRACT(I395, ""(?s)Affected Nodes/Links(.*)""), ""https://[^\s]+"", """"), ""[^/]"", """")) / 2"),"#N/A")</f>
        <v>#N/A</v>
      </c>
      <c r="AC395" s="34">
        <f>IFERROR(__xludf.DUMMYFUNCTION("IFERROR(VALUE(REGEXEXTRACT(I395, ""No\.? of [Ss]ubs:\s*(\d+)"")), 0) + IFERROR(VALUE(REGEXEXTRACT(I395, ""Affected Users(?:\s*\(From IM\))?:?\s*(\d+)"")), 0) + IFERROR(VALUE(REGEXEXTRACT(I395, ""Affected Clients:\s*(\d+)"")), 0)"),0.0)</f>
        <v>0</v>
      </c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33" t="str">
        <f>IFERROR(__xludf.DUMMYFUNCTION("LEN(REGEXREPLACE(REGEXREPLACE(REGEXEXTRACT(I396, ""(?s)Affected Nodes/Links(.*)""), ""https://[^\s]+"", """"), ""[^/]"", """")) / 2"),"#N/A")</f>
        <v>#N/A</v>
      </c>
      <c r="AC396" s="34">
        <f>IFERROR(__xludf.DUMMYFUNCTION("IFERROR(VALUE(REGEXEXTRACT(I396, ""No\.? of [Ss]ubs:\s*(\d+)"")), 0) + IFERROR(VALUE(REGEXEXTRACT(I396, ""Affected Users(?:\s*\(From IM\))?:?\s*(\d+)"")), 0) + IFERROR(VALUE(REGEXEXTRACT(I396, ""Affected Clients:\s*(\d+)"")), 0)"),0.0)</f>
        <v>0</v>
      </c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33" t="str">
        <f>IFERROR(__xludf.DUMMYFUNCTION("LEN(REGEXREPLACE(REGEXREPLACE(REGEXEXTRACT(I397, ""(?s)Affected Nodes/Links(.*)""), ""https://[^\s]+"", """"), ""[^/]"", """")) / 2"),"#N/A")</f>
        <v>#N/A</v>
      </c>
      <c r="AC397" s="34">
        <f>IFERROR(__xludf.DUMMYFUNCTION("IFERROR(VALUE(REGEXEXTRACT(I397, ""No\.? of [Ss]ubs:\s*(\d+)"")), 0) + IFERROR(VALUE(REGEXEXTRACT(I397, ""Affected Users(?:\s*\(From IM\))?:?\s*(\d+)"")), 0) + IFERROR(VALUE(REGEXEXTRACT(I397, ""Affected Clients:\s*(\d+)"")), 0)"),0.0)</f>
        <v>0</v>
      </c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33" t="str">
        <f>IFERROR(__xludf.DUMMYFUNCTION("LEN(REGEXREPLACE(REGEXREPLACE(REGEXEXTRACT(I398, ""(?s)Affected Nodes/Links(.*)""), ""https://[^\s]+"", """"), ""[^/]"", """")) / 2"),"#N/A")</f>
        <v>#N/A</v>
      </c>
      <c r="AC398" s="34">
        <f>IFERROR(__xludf.DUMMYFUNCTION("IFERROR(VALUE(REGEXEXTRACT(I398, ""No\.? of [Ss]ubs:\s*(\d+)"")), 0) + IFERROR(VALUE(REGEXEXTRACT(I398, ""Affected Users(?:\s*\(From IM\))?:?\s*(\d+)"")), 0) + IFERROR(VALUE(REGEXEXTRACT(I398, ""Affected Clients:\s*(\d+)"")), 0)"),0.0)</f>
        <v>0</v>
      </c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33" t="str">
        <f>IFERROR(__xludf.DUMMYFUNCTION("LEN(REGEXREPLACE(REGEXREPLACE(REGEXEXTRACT(I399, ""(?s)Affected Nodes/Links(.*)""), ""https://[^\s]+"", """"), ""[^/]"", """")) / 2"),"#N/A")</f>
        <v>#N/A</v>
      </c>
      <c r="AC399" s="34">
        <f>IFERROR(__xludf.DUMMYFUNCTION("IFERROR(VALUE(REGEXEXTRACT(I399, ""No\.? of [Ss]ubs:\s*(\d+)"")), 0) + IFERROR(VALUE(REGEXEXTRACT(I399, ""Affected Users(?:\s*\(From IM\))?:?\s*(\d+)"")), 0) + IFERROR(VALUE(REGEXEXTRACT(I399, ""Affected Clients:\s*(\d+)"")), 0)"),0.0)</f>
        <v>0</v>
      </c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33" t="str">
        <f>IFERROR(__xludf.DUMMYFUNCTION("LEN(REGEXREPLACE(REGEXREPLACE(REGEXEXTRACT(I400, ""(?s)Affected Nodes/Links(.*)""), ""https://[^\s]+"", """"), ""[^/]"", """")) / 2"),"#N/A")</f>
        <v>#N/A</v>
      </c>
      <c r="AC400" s="34">
        <f>IFERROR(__xludf.DUMMYFUNCTION("IFERROR(VALUE(REGEXEXTRACT(I400, ""No\.? of [Ss]ubs:\s*(\d+)"")), 0) + IFERROR(VALUE(REGEXEXTRACT(I400, ""Affected Users(?:\s*\(From IM\))?:?\s*(\d+)"")), 0) + IFERROR(VALUE(REGEXEXTRACT(I400, ""Affected Clients:\s*(\d+)"")), 0)"),0.0)</f>
        <v>0</v>
      </c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33" t="str">
        <f>IFERROR(__xludf.DUMMYFUNCTION("LEN(REGEXREPLACE(REGEXREPLACE(REGEXEXTRACT(I401, ""(?s)Affected Nodes/Links(.*)""), ""https://[^\s]+"", """"), ""[^/]"", """")) / 2"),"#N/A")</f>
        <v>#N/A</v>
      </c>
      <c r="AC401" s="34">
        <f>IFERROR(__xludf.DUMMYFUNCTION("IFERROR(VALUE(REGEXEXTRACT(I401, ""No\.? of [Ss]ubs:\s*(\d+)"")), 0) + IFERROR(VALUE(REGEXEXTRACT(I401, ""Affected Users(?:\s*\(From IM\))?:?\s*(\d+)"")), 0) + IFERROR(VALUE(REGEXEXTRACT(I401, ""Affected Clients:\s*(\d+)"")), 0)"),0.0)</f>
        <v>0</v>
      </c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33" t="str">
        <f>IFERROR(__xludf.DUMMYFUNCTION("LEN(REGEXREPLACE(REGEXREPLACE(REGEXEXTRACT(I402, ""(?s)Affected Nodes/Links(.*)""), ""https://[^\s]+"", """"), ""[^/]"", """")) / 2"),"#N/A")</f>
        <v>#N/A</v>
      </c>
      <c r="AC402" s="34">
        <f>IFERROR(__xludf.DUMMYFUNCTION("IFERROR(VALUE(REGEXEXTRACT(I402, ""No\.? of [Ss]ubs:\s*(\d+)"")), 0) + IFERROR(VALUE(REGEXEXTRACT(I402, ""Affected Users(?:\s*\(From IM\))?:?\s*(\d+)"")), 0) + IFERROR(VALUE(REGEXEXTRACT(I402, ""Affected Clients:\s*(\d+)"")), 0)"),0.0)</f>
        <v>0</v>
      </c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33" t="str">
        <f>IFERROR(__xludf.DUMMYFUNCTION("LEN(REGEXREPLACE(REGEXREPLACE(REGEXEXTRACT(I403, ""(?s)Affected Nodes/Links(.*)""), ""https://[^\s]+"", """"), ""[^/]"", """")) / 2"),"#N/A")</f>
        <v>#N/A</v>
      </c>
      <c r="AC403" s="34">
        <f>IFERROR(__xludf.DUMMYFUNCTION("IFERROR(VALUE(REGEXEXTRACT(I403, ""No\.? of [Ss]ubs:\s*(\d+)"")), 0) + IFERROR(VALUE(REGEXEXTRACT(I403, ""Affected Users(?:\s*\(From IM\))?:?\s*(\d+)"")), 0) + IFERROR(VALUE(REGEXEXTRACT(I403, ""Affected Clients:\s*(\d+)"")), 0)"),0.0)</f>
        <v>0</v>
      </c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33" t="str">
        <f>IFERROR(__xludf.DUMMYFUNCTION("LEN(REGEXREPLACE(REGEXREPLACE(REGEXEXTRACT(I404, ""(?s)Affected Nodes/Links(.*)""), ""https://[^\s]+"", """"), ""[^/]"", """")) / 2"),"#N/A")</f>
        <v>#N/A</v>
      </c>
      <c r="AC404" s="34">
        <f>IFERROR(__xludf.DUMMYFUNCTION("IFERROR(VALUE(REGEXEXTRACT(I404, ""No\.? of [Ss]ubs:\s*(\d+)"")), 0) + IFERROR(VALUE(REGEXEXTRACT(I404, ""Affected Users(?:\s*\(From IM\))?:?\s*(\d+)"")), 0) + IFERROR(VALUE(REGEXEXTRACT(I404, ""Affected Clients:\s*(\d+)"")), 0)"),0.0)</f>
        <v>0</v>
      </c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33" t="str">
        <f>IFERROR(__xludf.DUMMYFUNCTION("LEN(REGEXREPLACE(REGEXREPLACE(REGEXEXTRACT(I405, ""(?s)Affected Nodes/Links(.*)""), ""https://[^\s]+"", """"), ""[^/]"", """")) / 2"),"#N/A")</f>
        <v>#N/A</v>
      </c>
      <c r="AC405" s="34">
        <f>IFERROR(__xludf.DUMMYFUNCTION("IFERROR(VALUE(REGEXEXTRACT(I405, ""No\.? of [Ss]ubs:\s*(\d+)"")), 0) + IFERROR(VALUE(REGEXEXTRACT(I405, ""Affected Users(?:\s*\(From IM\))?:?\s*(\d+)"")), 0) + IFERROR(VALUE(REGEXEXTRACT(I405, ""Affected Clients:\s*(\d+)"")), 0)"),0.0)</f>
        <v>0</v>
      </c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33" t="str">
        <f>IFERROR(__xludf.DUMMYFUNCTION("LEN(REGEXREPLACE(REGEXREPLACE(REGEXEXTRACT(I406, ""(?s)Affected Nodes/Links(.*)""), ""https://[^\s]+"", """"), ""[^/]"", """")) / 2"),"#N/A")</f>
        <v>#N/A</v>
      </c>
      <c r="AC406" s="34">
        <f>IFERROR(__xludf.DUMMYFUNCTION("IFERROR(VALUE(REGEXEXTRACT(I406, ""No\.? of [Ss]ubs:\s*(\d+)"")), 0) + IFERROR(VALUE(REGEXEXTRACT(I406, ""Affected Users(?:\s*\(From IM\))?:?\s*(\d+)"")), 0) + IFERROR(VALUE(REGEXEXTRACT(I406, ""Affected Clients:\s*(\d+)"")), 0)"),0.0)</f>
        <v>0</v>
      </c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33" t="str">
        <f>IFERROR(__xludf.DUMMYFUNCTION("LEN(REGEXREPLACE(REGEXREPLACE(REGEXEXTRACT(I407, ""(?s)Affected Nodes/Links(.*)""), ""https://[^\s]+"", """"), ""[^/]"", """")) / 2"),"#N/A")</f>
        <v>#N/A</v>
      </c>
      <c r="AC407" s="34">
        <f>IFERROR(__xludf.DUMMYFUNCTION("IFERROR(VALUE(REGEXEXTRACT(I407, ""No\.? of [Ss]ubs:\s*(\d+)"")), 0) + IFERROR(VALUE(REGEXEXTRACT(I407, ""Affected Users(?:\s*\(From IM\))?:?\s*(\d+)"")), 0) + IFERROR(VALUE(REGEXEXTRACT(I407, ""Affected Clients:\s*(\d+)"")), 0)"),0.0)</f>
        <v>0</v>
      </c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33" t="str">
        <f>IFERROR(__xludf.DUMMYFUNCTION("LEN(REGEXREPLACE(REGEXREPLACE(REGEXEXTRACT(I408, ""(?s)Affected Nodes/Links(.*)""), ""https://[^\s]+"", """"), ""[^/]"", """")) / 2"),"#N/A")</f>
        <v>#N/A</v>
      </c>
      <c r="AC408" s="34">
        <f>IFERROR(__xludf.DUMMYFUNCTION("IFERROR(VALUE(REGEXEXTRACT(I408, ""No\.? of [Ss]ubs:\s*(\d+)"")), 0) + IFERROR(VALUE(REGEXEXTRACT(I408, ""Affected Users(?:\s*\(From IM\))?:?\s*(\d+)"")), 0) + IFERROR(VALUE(REGEXEXTRACT(I408, ""Affected Clients:\s*(\d+)"")), 0)"),0.0)</f>
        <v>0</v>
      </c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33" t="str">
        <f>IFERROR(__xludf.DUMMYFUNCTION("LEN(REGEXREPLACE(REGEXREPLACE(REGEXEXTRACT(I409, ""(?s)Affected Nodes/Links(.*)""), ""https://[^\s]+"", """"), ""[^/]"", """")) / 2"),"#N/A")</f>
        <v>#N/A</v>
      </c>
      <c r="AC409" s="34">
        <f>IFERROR(__xludf.DUMMYFUNCTION("IFERROR(VALUE(REGEXEXTRACT(I409, ""No\.? of [Ss]ubs:\s*(\d+)"")), 0) + IFERROR(VALUE(REGEXEXTRACT(I409, ""Affected Users(?:\s*\(From IM\))?:?\s*(\d+)"")), 0) + IFERROR(VALUE(REGEXEXTRACT(I409, ""Affected Clients:\s*(\d+)"")), 0)"),0.0)</f>
        <v>0</v>
      </c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33" t="str">
        <f>IFERROR(__xludf.DUMMYFUNCTION("LEN(REGEXREPLACE(REGEXREPLACE(REGEXEXTRACT(I410, ""(?s)Affected Nodes/Links(.*)""), ""https://[^\s]+"", """"), ""[^/]"", """")) / 2"),"#N/A")</f>
        <v>#N/A</v>
      </c>
      <c r="AC410" s="34">
        <f>IFERROR(__xludf.DUMMYFUNCTION("IFERROR(VALUE(REGEXEXTRACT(I410, ""No\.? of [Ss]ubs:\s*(\d+)"")), 0) + IFERROR(VALUE(REGEXEXTRACT(I410, ""Affected Users(?:\s*\(From IM\))?:?\s*(\d+)"")), 0) + IFERROR(VALUE(REGEXEXTRACT(I410, ""Affected Clients:\s*(\d+)"")), 0)"),0.0)</f>
        <v>0</v>
      </c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33" t="str">
        <f>IFERROR(__xludf.DUMMYFUNCTION("LEN(REGEXREPLACE(REGEXREPLACE(REGEXEXTRACT(I411, ""(?s)Affected Nodes/Links(.*)""), ""https://[^\s]+"", """"), ""[^/]"", """")) / 2"),"#N/A")</f>
        <v>#N/A</v>
      </c>
      <c r="AC411" s="34">
        <f>IFERROR(__xludf.DUMMYFUNCTION("IFERROR(VALUE(REGEXEXTRACT(I411, ""No\.? of [Ss]ubs:\s*(\d+)"")), 0) + IFERROR(VALUE(REGEXEXTRACT(I411, ""Affected Users(?:\s*\(From IM\))?:?\s*(\d+)"")), 0) + IFERROR(VALUE(REGEXEXTRACT(I411, ""Affected Clients:\s*(\d+)"")), 0)"),0.0)</f>
        <v>0</v>
      </c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33" t="str">
        <f>IFERROR(__xludf.DUMMYFUNCTION("LEN(REGEXREPLACE(REGEXREPLACE(REGEXEXTRACT(I412, ""(?s)Affected Nodes/Links(.*)""), ""https://[^\s]+"", """"), ""[^/]"", """")) / 2"),"#N/A")</f>
        <v>#N/A</v>
      </c>
      <c r="AC412" s="34">
        <f>IFERROR(__xludf.DUMMYFUNCTION("IFERROR(VALUE(REGEXEXTRACT(I412, ""No\.? of [Ss]ubs:\s*(\d+)"")), 0) + IFERROR(VALUE(REGEXEXTRACT(I412, ""Affected Users(?:\s*\(From IM\))?:?\s*(\d+)"")), 0) + IFERROR(VALUE(REGEXEXTRACT(I412, ""Affected Clients:\s*(\d+)"")), 0)"),0.0)</f>
        <v>0</v>
      </c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33" t="str">
        <f>IFERROR(__xludf.DUMMYFUNCTION("LEN(REGEXREPLACE(REGEXREPLACE(REGEXEXTRACT(I413, ""(?s)Affected Nodes/Links(.*)""), ""https://[^\s]+"", """"), ""[^/]"", """")) / 2"),"#N/A")</f>
        <v>#N/A</v>
      </c>
      <c r="AC413" s="34">
        <f>IFERROR(__xludf.DUMMYFUNCTION("IFERROR(VALUE(REGEXEXTRACT(I413, ""No\.? of [Ss]ubs:\s*(\d+)"")), 0) + IFERROR(VALUE(REGEXEXTRACT(I413, ""Affected Users(?:\s*\(From IM\))?:?\s*(\d+)"")), 0) + IFERROR(VALUE(REGEXEXTRACT(I413, ""Affected Clients:\s*(\d+)"")), 0)"),0.0)</f>
        <v>0</v>
      </c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33" t="str">
        <f>IFERROR(__xludf.DUMMYFUNCTION("LEN(REGEXREPLACE(REGEXREPLACE(REGEXEXTRACT(I414, ""(?s)Affected Nodes/Links(.*)""), ""https://[^\s]+"", """"), ""[^/]"", """")) / 2"),"#N/A")</f>
        <v>#N/A</v>
      </c>
      <c r="AC414" s="34">
        <f>IFERROR(__xludf.DUMMYFUNCTION("IFERROR(VALUE(REGEXEXTRACT(I414, ""No\.? of [Ss]ubs:\s*(\d+)"")), 0) + IFERROR(VALUE(REGEXEXTRACT(I414, ""Affected Users(?:\s*\(From IM\))?:?\s*(\d+)"")), 0) + IFERROR(VALUE(REGEXEXTRACT(I414, ""Affected Clients:\s*(\d+)"")), 0)"),0.0)</f>
        <v>0</v>
      </c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33" t="str">
        <f>IFERROR(__xludf.DUMMYFUNCTION("LEN(REGEXREPLACE(REGEXREPLACE(REGEXEXTRACT(I415, ""(?s)Affected Nodes/Links(.*)""), ""https://[^\s]+"", """"), ""[^/]"", """")) / 2"),"#N/A")</f>
        <v>#N/A</v>
      </c>
      <c r="AC415" s="34">
        <f>IFERROR(__xludf.DUMMYFUNCTION("IFERROR(VALUE(REGEXEXTRACT(I415, ""No\.? of [Ss]ubs:\s*(\d+)"")), 0) + IFERROR(VALUE(REGEXEXTRACT(I415, ""Affected Users(?:\s*\(From IM\))?:?\s*(\d+)"")), 0) + IFERROR(VALUE(REGEXEXTRACT(I415, ""Affected Clients:\s*(\d+)"")), 0)"),0.0)</f>
        <v>0</v>
      </c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33" t="str">
        <f>IFERROR(__xludf.DUMMYFUNCTION("LEN(REGEXREPLACE(REGEXREPLACE(REGEXEXTRACT(I416, ""(?s)Affected Nodes/Links(.*)""), ""https://[^\s]+"", """"), ""[^/]"", """")) / 2"),"#N/A")</f>
        <v>#N/A</v>
      </c>
      <c r="AC416" s="34">
        <f>IFERROR(__xludf.DUMMYFUNCTION("IFERROR(VALUE(REGEXEXTRACT(I416, ""No\.? of [Ss]ubs:\s*(\d+)"")), 0) + IFERROR(VALUE(REGEXEXTRACT(I416, ""Affected Users(?:\s*\(From IM\))?:?\s*(\d+)"")), 0) + IFERROR(VALUE(REGEXEXTRACT(I416, ""Affected Clients:\s*(\d+)"")), 0)"),0.0)</f>
        <v>0</v>
      </c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33" t="str">
        <f>IFERROR(__xludf.DUMMYFUNCTION("LEN(REGEXREPLACE(REGEXREPLACE(REGEXEXTRACT(I417, ""(?s)Affected Nodes/Links(.*)""), ""https://[^\s]+"", """"), ""[^/]"", """")) / 2"),"#N/A")</f>
        <v>#N/A</v>
      </c>
      <c r="AC417" s="34">
        <f>IFERROR(__xludf.DUMMYFUNCTION("IFERROR(VALUE(REGEXEXTRACT(I417, ""No\.? of [Ss]ubs:\s*(\d+)"")), 0) + IFERROR(VALUE(REGEXEXTRACT(I417, ""Affected Users(?:\s*\(From IM\))?:?\s*(\d+)"")), 0) + IFERROR(VALUE(REGEXEXTRACT(I417, ""Affected Clients:\s*(\d+)"")), 0)"),0.0)</f>
        <v>0</v>
      </c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33" t="str">
        <f>IFERROR(__xludf.DUMMYFUNCTION("LEN(REGEXREPLACE(REGEXREPLACE(REGEXEXTRACT(I418, ""(?s)Affected Nodes/Links(.*)""), ""https://[^\s]+"", """"), ""[^/]"", """")) / 2"),"#N/A")</f>
        <v>#N/A</v>
      </c>
      <c r="AC418" s="34">
        <f>IFERROR(__xludf.DUMMYFUNCTION("IFERROR(VALUE(REGEXEXTRACT(I418, ""No\.? of [Ss]ubs:\s*(\d+)"")), 0) + IFERROR(VALUE(REGEXEXTRACT(I418, ""Affected Users(?:\s*\(From IM\))?:?\s*(\d+)"")), 0) + IFERROR(VALUE(REGEXEXTRACT(I418, ""Affected Clients:\s*(\d+)"")), 0)"),0.0)</f>
        <v>0</v>
      </c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33" t="str">
        <f>IFERROR(__xludf.DUMMYFUNCTION("LEN(REGEXREPLACE(REGEXREPLACE(REGEXEXTRACT(I419, ""(?s)Affected Nodes/Links(.*)""), ""https://[^\s]+"", """"), ""[^/]"", """")) / 2"),"#N/A")</f>
        <v>#N/A</v>
      </c>
      <c r="AC419" s="34">
        <f>IFERROR(__xludf.DUMMYFUNCTION("IFERROR(VALUE(REGEXEXTRACT(I419, ""No\.? of [Ss]ubs:\s*(\d+)"")), 0) + IFERROR(VALUE(REGEXEXTRACT(I419, ""Affected Users(?:\s*\(From IM\))?:?\s*(\d+)"")), 0) + IFERROR(VALUE(REGEXEXTRACT(I419, ""Affected Clients:\s*(\d+)"")), 0)"),0.0)</f>
        <v>0</v>
      </c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33" t="str">
        <f>IFERROR(__xludf.DUMMYFUNCTION("LEN(REGEXREPLACE(REGEXREPLACE(REGEXEXTRACT(I420, ""(?s)Affected Nodes/Links(.*)""), ""https://[^\s]+"", """"), ""[^/]"", """")) / 2"),"#N/A")</f>
        <v>#N/A</v>
      </c>
      <c r="AC420" s="34">
        <f>IFERROR(__xludf.DUMMYFUNCTION("IFERROR(VALUE(REGEXEXTRACT(I420, ""No\.? of [Ss]ubs:\s*(\d+)"")), 0) + IFERROR(VALUE(REGEXEXTRACT(I420, ""Affected Users(?:\s*\(From IM\))?:?\s*(\d+)"")), 0) + IFERROR(VALUE(REGEXEXTRACT(I420, ""Affected Clients:\s*(\d+)"")), 0)"),0.0)</f>
        <v>0</v>
      </c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33" t="str">
        <f>IFERROR(__xludf.DUMMYFUNCTION("LEN(REGEXREPLACE(REGEXREPLACE(REGEXEXTRACT(I421, ""(?s)Affected Nodes/Links(.*)""), ""https://[^\s]+"", """"), ""[^/]"", """")) / 2"),"#N/A")</f>
        <v>#N/A</v>
      </c>
      <c r="AC421" s="34">
        <f>IFERROR(__xludf.DUMMYFUNCTION("IFERROR(VALUE(REGEXEXTRACT(I421, ""No\.? of [Ss]ubs:\s*(\d+)"")), 0) + IFERROR(VALUE(REGEXEXTRACT(I421, ""Affected Users(?:\s*\(From IM\))?:?\s*(\d+)"")), 0) + IFERROR(VALUE(REGEXEXTRACT(I421, ""Affected Clients:\s*(\d+)"")), 0)"),0.0)</f>
        <v>0</v>
      </c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33" t="str">
        <f>IFERROR(__xludf.DUMMYFUNCTION("LEN(REGEXREPLACE(REGEXREPLACE(REGEXEXTRACT(I422, ""(?s)Affected Nodes/Links(.*)""), ""https://[^\s]+"", """"), ""[^/]"", """")) / 2"),"#N/A")</f>
        <v>#N/A</v>
      </c>
      <c r="AC422" s="34">
        <f>IFERROR(__xludf.DUMMYFUNCTION("IFERROR(VALUE(REGEXEXTRACT(I422, ""No\.? of [Ss]ubs:\s*(\d+)"")), 0) + IFERROR(VALUE(REGEXEXTRACT(I422, ""Affected Users(?:\s*\(From IM\))?:?\s*(\d+)"")), 0) + IFERROR(VALUE(REGEXEXTRACT(I422, ""Affected Clients:\s*(\d+)"")), 0)"),0.0)</f>
        <v>0</v>
      </c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33" t="str">
        <f>IFERROR(__xludf.DUMMYFUNCTION("LEN(REGEXREPLACE(REGEXREPLACE(REGEXEXTRACT(I423, ""(?s)Affected Nodes/Links(.*)""), ""https://[^\s]+"", """"), ""[^/]"", """")) / 2"),"#N/A")</f>
        <v>#N/A</v>
      </c>
      <c r="AC423" s="34">
        <f>IFERROR(__xludf.DUMMYFUNCTION("IFERROR(VALUE(REGEXEXTRACT(I423, ""No\.? of [Ss]ubs:\s*(\d+)"")), 0) + IFERROR(VALUE(REGEXEXTRACT(I423, ""Affected Users(?:\s*\(From IM\))?:?\s*(\d+)"")), 0) + IFERROR(VALUE(REGEXEXTRACT(I423, ""Affected Clients:\s*(\d+)"")), 0)"),0.0)</f>
        <v>0</v>
      </c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33" t="str">
        <f>IFERROR(__xludf.DUMMYFUNCTION("LEN(REGEXREPLACE(REGEXREPLACE(REGEXEXTRACT(I424, ""(?s)Affected Nodes/Links(.*)""), ""https://[^\s]+"", """"), ""[^/]"", """")) / 2"),"#N/A")</f>
        <v>#N/A</v>
      </c>
      <c r="AC424" s="34">
        <f>IFERROR(__xludf.DUMMYFUNCTION("IFERROR(VALUE(REGEXEXTRACT(I424, ""No\.? of [Ss]ubs:\s*(\d+)"")), 0) + IFERROR(VALUE(REGEXEXTRACT(I424, ""Affected Users(?:\s*\(From IM\))?:?\s*(\d+)"")), 0) + IFERROR(VALUE(REGEXEXTRACT(I424, ""Affected Clients:\s*(\d+)"")), 0)"),0.0)</f>
        <v>0</v>
      </c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33" t="str">
        <f>IFERROR(__xludf.DUMMYFUNCTION("LEN(REGEXREPLACE(REGEXREPLACE(REGEXEXTRACT(I425, ""(?s)Affected Nodes/Links(.*)""), ""https://[^\s]+"", """"), ""[^/]"", """")) / 2"),"#N/A")</f>
        <v>#N/A</v>
      </c>
      <c r="AC425" s="34">
        <f>IFERROR(__xludf.DUMMYFUNCTION("IFERROR(VALUE(REGEXEXTRACT(I425, ""No\.? of [Ss]ubs:\s*(\d+)"")), 0) + IFERROR(VALUE(REGEXEXTRACT(I425, ""Affected Users(?:\s*\(From IM\))?:?\s*(\d+)"")), 0) + IFERROR(VALUE(REGEXEXTRACT(I425, ""Affected Clients:\s*(\d+)"")), 0)"),0.0)</f>
        <v>0</v>
      </c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33" t="str">
        <f>IFERROR(__xludf.DUMMYFUNCTION("LEN(REGEXREPLACE(REGEXREPLACE(REGEXEXTRACT(I426, ""(?s)Affected Nodes/Links(.*)""), ""https://[^\s]+"", """"), ""[^/]"", """")) / 2"),"#N/A")</f>
        <v>#N/A</v>
      </c>
      <c r="AC426" s="34">
        <f>IFERROR(__xludf.DUMMYFUNCTION("IFERROR(VALUE(REGEXEXTRACT(I426, ""No\.? of [Ss]ubs:\s*(\d+)"")), 0) + IFERROR(VALUE(REGEXEXTRACT(I426, ""Affected Users(?:\s*\(From IM\))?:?\s*(\d+)"")), 0) + IFERROR(VALUE(REGEXEXTRACT(I426, ""Affected Clients:\s*(\d+)"")), 0)"),0.0)</f>
        <v>0</v>
      </c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33" t="str">
        <f>IFERROR(__xludf.DUMMYFUNCTION("LEN(REGEXREPLACE(REGEXREPLACE(REGEXEXTRACT(I427, ""(?s)Affected Nodes/Links(.*)""), ""https://[^\s]+"", """"), ""[^/]"", """")) / 2"),"#N/A")</f>
        <v>#N/A</v>
      </c>
      <c r="AC427" s="34">
        <f>IFERROR(__xludf.DUMMYFUNCTION("IFERROR(VALUE(REGEXEXTRACT(I427, ""No\.? of [Ss]ubs:\s*(\d+)"")), 0) + IFERROR(VALUE(REGEXEXTRACT(I427, ""Affected Users(?:\s*\(From IM\))?:?\s*(\d+)"")), 0) + IFERROR(VALUE(REGEXEXTRACT(I427, ""Affected Clients:\s*(\d+)"")), 0)"),0.0)</f>
        <v>0</v>
      </c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33" t="str">
        <f>IFERROR(__xludf.DUMMYFUNCTION("LEN(REGEXREPLACE(REGEXREPLACE(REGEXEXTRACT(I428, ""(?s)Affected Nodes/Links(.*)""), ""https://[^\s]+"", """"), ""[^/]"", """")) / 2"),"#N/A")</f>
        <v>#N/A</v>
      </c>
      <c r="AC428" s="34">
        <f>IFERROR(__xludf.DUMMYFUNCTION("IFERROR(VALUE(REGEXEXTRACT(I428, ""No\.? of [Ss]ubs:\s*(\d+)"")), 0) + IFERROR(VALUE(REGEXEXTRACT(I428, ""Affected Users(?:\s*\(From IM\))?:?\s*(\d+)"")), 0) + IFERROR(VALUE(REGEXEXTRACT(I428, ""Affected Clients:\s*(\d+)"")), 0)"),0.0)</f>
        <v>0</v>
      </c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33" t="str">
        <f>IFERROR(__xludf.DUMMYFUNCTION("LEN(REGEXREPLACE(REGEXREPLACE(REGEXEXTRACT(I429, ""(?s)Affected Nodes/Links(.*)""), ""https://[^\s]+"", """"), ""[^/]"", """")) / 2"),"#N/A")</f>
        <v>#N/A</v>
      </c>
      <c r="AC429" s="34">
        <f>IFERROR(__xludf.DUMMYFUNCTION("IFERROR(VALUE(REGEXEXTRACT(I429, ""No\.? of [Ss]ubs:\s*(\d+)"")), 0) + IFERROR(VALUE(REGEXEXTRACT(I429, ""Affected Users(?:\s*\(From IM\))?:?\s*(\d+)"")), 0) + IFERROR(VALUE(REGEXEXTRACT(I429, ""Affected Clients:\s*(\d+)"")), 0)"),0.0)</f>
        <v>0</v>
      </c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33" t="str">
        <f>IFERROR(__xludf.DUMMYFUNCTION("LEN(REGEXREPLACE(REGEXREPLACE(REGEXEXTRACT(I430, ""(?s)Affected Nodes/Links(.*)""), ""https://[^\s]+"", """"), ""[^/]"", """")) / 2"),"#N/A")</f>
        <v>#N/A</v>
      </c>
      <c r="AC430" s="34">
        <f>IFERROR(__xludf.DUMMYFUNCTION("IFERROR(VALUE(REGEXEXTRACT(I430, ""No\.? of [Ss]ubs:\s*(\d+)"")), 0) + IFERROR(VALUE(REGEXEXTRACT(I430, ""Affected Users(?:\s*\(From IM\))?:?\s*(\d+)"")), 0) + IFERROR(VALUE(REGEXEXTRACT(I430, ""Affected Clients:\s*(\d+)"")), 0)"),0.0)</f>
        <v>0</v>
      </c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33" t="str">
        <f>IFERROR(__xludf.DUMMYFUNCTION("LEN(REGEXREPLACE(REGEXREPLACE(REGEXEXTRACT(I431, ""(?s)Affected Nodes/Links(.*)""), ""https://[^\s]+"", """"), ""[^/]"", """")) / 2"),"#N/A")</f>
        <v>#N/A</v>
      </c>
      <c r="AC431" s="34">
        <f>IFERROR(__xludf.DUMMYFUNCTION("IFERROR(VALUE(REGEXEXTRACT(I431, ""No\.? of [Ss]ubs:\s*(\d+)"")), 0) + IFERROR(VALUE(REGEXEXTRACT(I431, ""Affected Users(?:\s*\(From IM\))?:?\s*(\d+)"")), 0) + IFERROR(VALUE(REGEXEXTRACT(I431, ""Affected Clients:\s*(\d+)"")), 0)"),0.0)</f>
        <v>0</v>
      </c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33" t="str">
        <f>IFERROR(__xludf.DUMMYFUNCTION("LEN(REGEXREPLACE(REGEXREPLACE(REGEXEXTRACT(I432, ""(?s)Affected Nodes/Links(.*)""), ""https://[^\s]+"", """"), ""[^/]"", """")) / 2"),"#N/A")</f>
        <v>#N/A</v>
      </c>
      <c r="AC432" s="34">
        <f>IFERROR(__xludf.DUMMYFUNCTION("IFERROR(VALUE(REGEXEXTRACT(I432, ""No\.? of [Ss]ubs:\s*(\d+)"")), 0) + IFERROR(VALUE(REGEXEXTRACT(I432, ""Affected Users(?:\s*\(From IM\))?:?\s*(\d+)"")), 0) + IFERROR(VALUE(REGEXEXTRACT(I432, ""Affected Clients:\s*(\d+)"")), 0)"),0.0)</f>
        <v>0</v>
      </c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33" t="str">
        <f>IFERROR(__xludf.DUMMYFUNCTION("LEN(REGEXREPLACE(REGEXREPLACE(REGEXEXTRACT(I433, ""(?s)Affected Nodes/Links(.*)""), ""https://[^\s]+"", """"), ""[^/]"", """")) / 2"),"#N/A")</f>
        <v>#N/A</v>
      </c>
      <c r="AC433" s="34">
        <f>IFERROR(__xludf.DUMMYFUNCTION("IFERROR(VALUE(REGEXEXTRACT(I433, ""No\.? of [Ss]ubs:\s*(\d+)"")), 0) + IFERROR(VALUE(REGEXEXTRACT(I433, ""Affected Users(?:\s*\(From IM\))?:?\s*(\d+)"")), 0) + IFERROR(VALUE(REGEXEXTRACT(I433, ""Affected Clients:\s*(\d+)"")), 0)"),0.0)</f>
        <v>0</v>
      </c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33" t="str">
        <f>IFERROR(__xludf.DUMMYFUNCTION("LEN(REGEXREPLACE(REGEXREPLACE(REGEXEXTRACT(I434, ""(?s)Affected Nodes/Links(.*)""), ""https://[^\s]+"", """"), ""[^/]"", """")) / 2"),"#N/A")</f>
        <v>#N/A</v>
      </c>
      <c r="AC434" s="34">
        <f>IFERROR(__xludf.DUMMYFUNCTION("IFERROR(VALUE(REGEXEXTRACT(I434, ""No\.? of [Ss]ubs:\s*(\d+)"")), 0) + IFERROR(VALUE(REGEXEXTRACT(I434, ""Affected Users(?:\s*\(From IM\))?:?\s*(\d+)"")), 0) + IFERROR(VALUE(REGEXEXTRACT(I434, ""Affected Clients:\s*(\d+)"")), 0)"),0.0)</f>
        <v>0</v>
      </c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33" t="str">
        <f>IFERROR(__xludf.DUMMYFUNCTION("LEN(REGEXREPLACE(REGEXREPLACE(REGEXEXTRACT(I435, ""(?s)Affected Nodes/Links(.*)""), ""https://[^\s]+"", """"), ""[^/]"", """")) / 2"),"#N/A")</f>
        <v>#N/A</v>
      </c>
      <c r="AC435" s="34">
        <f>IFERROR(__xludf.DUMMYFUNCTION("IFERROR(VALUE(REGEXEXTRACT(I435, ""No\.? of [Ss]ubs:\s*(\d+)"")), 0) + IFERROR(VALUE(REGEXEXTRACT(I435, ""Affected Users(?:\s*\(From IM\))?:?\s*(\d+)"")), 0) + IFERROR(VALUE(REGEXEXTRACT(I435, ""Affected Clients:\s*(\d+)"")), 0)"),0.0)</f>
        <v>0</v>
      </c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33" t="str">
        <f>IFERROR(__xludf.DUMMYFUNCTION("LEN(REGEXREPLACE(REGEXREPLACE(REGEXEXTRACT(I436, ""(?s)Affected Nodes/Links(.*)""), ""https://[^\s]+"", """"), ""[^/]"", """")) / 2"),"#N/A")</f>
        <v>#N/A</v>
      </c>
      <c r="AC436" s="34">
        <f>IFERROR(__xludf.DUMMYFUNCTION("IFERROR(VALUE(REGEXEXTRACT(I436, ""No\.? of [Ss]ubs:\s*(\d+)"")), 0) + IFERROR(VALUE(REGEXEXTRACT(I436, ""Affected Users(?:\s*\(From IM\))?:?\s*(\d+)"")), 0) + IFERROR(VALUE(REGEXEXTRACT(I436, ""Affected Clients:\s*(\d+)"")), 0)"),0.0)</f>
        <v>0</v>
      </c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33" t="str">
        <f>IFERROR(__xludf.DUMMYFUNCTION("LEN(REGEXREPLACE(REGEXREPLACE(REGEXEXTRACT(I437, ""(?s)Affected Nodes/Links(.*)""), ""https://[^\s]+"", """"), ""[^/]"", """")) / 2"),"#N/A")</f>
        <v>#N/A</v>
      </c>
      <c r="AC437" s="34">
        <f>IFERROR(__xludf.DUMMYFUNCTION("IFERROR(VALUE(REGEXEXTRACT(I437, ""No\.? of [Ss]ubs:\s*(\d+)"")), 0) + IFERROR(VALUE(REGEXEXTRACT(I437, ""Affected Users(?:\s*\(From IM\))?:?\s*(\d+)"")), 0) + IFERROR(VALUE(REGEXEXTRACT(I437, ""Affected Clients:\s*(\d+)"")), 0)"),0.0)</f>
        <v>0</v>
      </c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33" t="str">
        <f>IFERROR(__xludf.DUMMYFUNCTION("LEN(REGEXREPLACE(REGEXREPLACE(REGEXEXTRACT(I438, ""(?s)Affected Nodes/Links(.*)""), ""https://[^\s]+"", """"), ""[^/]"", """")) / 2"),"#N/A")</f>
        <v>#N/A</v>
      </c>
      <c r="AC438" s="34">
        <f>IFERROR(__xludf.DUMMYFUNCTION("IFERROR(VALUE(REGEXEXTRACT(I438, ""No\.? of [Ss]ubs:\s*(\d+)"")), 0) + IFERROR(VALUE(REGEXEXTRACT(I438, ""Affected Users(?:\s*\(From IM\))?:?\s*(\d+)"")), 0) + IFERROR(VALUE(REGEXEXTRACT(I438, ""Affected Clients:\s*(\d+)"")), 0)"),0.0)</f>
        <v>0</v>
      </c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33" t="str">
        <f>IFERROR(__xludf.DUMMYFUNCTION("LEN(REGEXREPLACE(REGEXREPLACE(REGEXEXTRACT(I439, ""(?s)Affected Nodes/Links(.*)""), ""https://[^\s]+"", """"), ""[^/]"", """")) / 2"),"#N/A")</f>
        <v>#N/A</v>
      </c>
      <c r="AC439" s="34">
        <f>IFERROR(__xludf.DUMMYFUNCTION("IFERROR(VALUE(REGEXEXTRACT(I439, ""No\.? of [Ss]ubs:\s*(\d+)"")), 0) + IFERROR(VALUE(REGEXEXTRACT(I439, ""Affected Users(?:\s*\(From IM\))?:?\s*(\d+)"")), 0) + IFERROR(VALUE(REGEXEXTRACT(I439, ""Affected Clients:\s*(\d+)"")), 0)"),0.0)</f>
        <v>0</v>
      </c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33" t="str">
        <f>IFERROR(__xludf.DUMMYFUNCTION("LEN(REGEXREPLACE(REGEXREPLACE(REGEXEXTRACT(I440, ""(?s)Affected Nodes/Links(.*)""), ""https://[^\s]+"", """"), ""[^/]"", """")) / 2"),"#N/A")</f>
        <v>#N/A</v>
      </c>
      <c r="AC440" s="34">
        <f>IFERROR(__xludf.DUMMYFUNCTION("IFERROR(VALUE(REGEXEXTRACT(I440, ""No\.? of [Ss]ubs:\s*(\d+)"")), 0) + IFERROR(VALUE(REGEXEXTRACT(I440, ""Affected Users(?:\s*\(From IM\))?:?\s*(\d+)"")), 0) + IFERROR(VALUE(REGEXEXTRACT(I440, ""Affected Clients:\s*(\d+)"")), 0)"),0.0)</f>
        <v>0</v>
      </c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33" t="str">
        <f>IFERROR(__xludf.DUMMYFUNCTION("LEN(REGEXREPLACE(REGEXREPLACE(REGEXEXTRACT(I441, ""(?s)Affected Nodes/Links(.*)""), ""https://[^\s]+"", """"), ""[^/]"", """")) / 2"),"#N/A")</f>
        <v>#N/A</v>
      </c>
      <c r="AC441" s="34">
        <f>IFERROR(__xludf.DUMMYFUNCTION("IFERROR(VALUE(REGEXEXTRACT(I441, ""No\.? of [Ss]ubs:\s*(\d+)"")), 0) + IFERROR(VALUE(REGEXEXTRACT(I441, ""Affected Users(?:\s*\(From IM\))?:?\s*(\d+)"")), 0) + IFERROR(VALUE(REGEXEXTRACT(I441, ""Affected Clients:\s*(\d+)"")), 0)"),0.0)</f>
        <v>0</v>
      </c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33" t="str">
        <f>IFERROR(__xludf.DUMMYFUNCTION("LEN(REGEXREPLACE(REGEXREPLACE(REGEXEXTRACT(I442, ""(?s)Affected Nodes/Links(.*)""), ""https://[^\s]+"", """"), ""[^/]"", """")) / 2"),"#N/A")</f>
        <v>#N/A</v>
      </c>
      <c r="AC442" s="34">
        <f>IFERROR(__xludf.DUMMYFUNCTION("IFERROR(VALUE(REGEXEXTRACT(I442, ""No\.? of [Ss]ubs:\s*(\d+)"")), 0) + IFERROR(VALUE(REGEXEXTRACT(I442, ""Affected Users(?:\s*\(From IM\))?:?\s*(\d+)"")), 0) + IFERROR(VALUE(REGEXEXTRACT(I442, ""Affected Clients:\s*(\d+)"")), 0)"),0.0)</f>
        <v>0</v>
      </c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33" t="str">
        <f>IFERROR(__xludf.DUMMYFUNCTION("LEN(REGEXREPLACE(REGEXREPLACE(REGEXEXTRACT(I443, ""(?s)Affected Nodes/Links(.*)""), ""https://[^\s]+"", """"), ""[^/]"", """")) / 2"),"#N/A")</f>
        <v>#N/A</v>
      </c>
      <c r="AC443" s="34">
        <f>IFERROR(__xludf.DUMMYFUNCTION("IFERROR(VALUE(REGEXEXTRACT(I443, ""No\.? of [Ss]ubs:\s*(\d+)"")), 0) + IFERROR(VALUE(REGEXEXTRACT(I443, ""Affected Users(?:\s*\(From IM\))?:?\s*(\d+)"")), 0) + IFERROR(VALUE(REGEXEXTRACT(I443, ""Affected Clients:\s*(\d+)"")), 0)"),0.0)</f>
        <v>0</v>
      </c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33" t="str">
        <f>IFERROR(__xludf.DUMMYFUNCTION("LEN(REGEXREPLACE(REGEXREPLACE(REGEXEXTRACT(I444, ""(?s)Affected Nodes/Links(.*)""), ""https://[^\s]+"", """"), ""[^/]"", """")) / 2"),"#N/A")</f>
        <v>#N/A</v>
      </c>
      <c r="AC444" s="34">
        <f>IFERROR(__xludf.DUMMYFUNCTION("IFERROR(VALUE(REGEXEXTRACT(I444, ""No\.? of [Ss]ubs:\s*(\d+)"")), 0) + IFERROR(VALUE(REGEXEXTRACT(I444, ""Affected Users(?:\s*\(From IM\))?:?\s*(\d+)"")), 0) + IFERROR(VALUE(REGEXEXTRACT(I444, ""Affected Clients:\s*(\d+)"")), 0)"),0.0)</f>
        <v>0</v>
      </c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33" t="str">
        <f>IFERROR(__xludf.DUMMYFUNCTION("LEN(REGEXREPLACE(REGEXREPLACE(REGEXEXTRACT(I445, ""(?s)Affected Nodes/Links(.*)""), ""https://[^\s]+"", """"), ""[^/]"", """")) / 2"),"#N/A")</f>
        <v>#N/A</v>
      </c>
      <c r="AC445" s="34">
        <f>IFERROR(__xludf.DUMMYFUNCTION("IFERROR(VALUE(REGEXEXTRACT(I445, ""No\.? of [Ss]ubs:\s*(\d+)"")), 0) + IFERROR(VALUE(REGEXEXTRACT(I445, ""Affected Users(?:\s*\(From IM\))?:?\s*(\d+)"")), 0) + IFERROR(VALUE(REGEXEXTRACT(I445, ""Affected Clients:\s*(\d+)"")), 0)"),0.0)</f>
        <v>0</v>
      </c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33" t="str">
        <f>IFERROR(__xludf.DUMMYFUNCTION("LEN(REGEXREPLACE(REGEXREPLACE(REGEXEXTRACT(I446, ""(?s)Affected Nodes/Links(.*)""), ""https://[^\s]+"", """"), ""[^/]"", """")) / 2"),"#N/A")</f>
        <v>#N/A</v>
      </c>
      <c r="AC446" s="34">
        <f>IFERROR(__xludf.DUMMYFUNCTION("IFERROR(VALUE(REGEXEXTRACT(I446, ""No\.? of [Ss]ubs:\s*(\d+)"")), 0) + IFERROR(VALUE(REGEXEXTRACT(I446, ""Affected Users(?:\s*\(From IM\))?:?\s*(\d+)"")), 0) + IFERROR(VALUE(REGEXEXTRACT(I446, ""Affected Clients:\s*(\d+)"")), 0)"),0.0)</f>
        <v>0</v>
      </c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33" t="str">
        <f>IFERROR(__xludf.DUMMYFUNCTION("LEN(REGEXREPLACE(REGEXREPLACE(REGEXEXTRACT(I447, ""(?s)Affected Nodes/Links(.*)""), ""https://[^\s]+"", """"), ""[^/]"", """")) / 2"),"#N/A")</f>
        <v>#N/A</v>
      </c>
      <c r="AC447" s="34">
        <f>IFERROR(__xludf.DUMMYFUNCTION("IFERROR(VALUE(REGEXEXTRACT(I447, ""No\.? of [Ss]ubs:\s*(\d+)"")), 0) + IFERROR(VALUE(REGEXEXTRACT(I447, ""Affected Users(?:\s*\(From IM\))?:?\s*(\d+)"")), 0) + IFERROR(VALUE(REGEXEXTRACT(I447, ""Affected Clients:\s*(\d+)"")), 0)"),0.0)</f>
        <v>0</v>
      </c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33" t="str">
        <f>IFERROR(__xludf.DUMMYFUNCTION("LEN(REGEXREPLACE(REGEXREPLACE(REGEXEXTRACT(I448, ""(?s)Affected Nodes/Links(.*)""), ""https://[^\s]+"", """"), ""[^/]"", """")) / 2"),"#N/A")</f>
        <v>#N/A</v>
      </c>
      <c r="AC448" s="34">
        <f>IFERROR(__xludf.DUMMYFUNCTION("IFERROR(VALUE(REGEXEXTRACT(I448, ""No\.? of [Ss]ubs:\s*(\d+)"")), 0) + IFERROR(VALUE(REGEXEXTRACT(I448, ""Affected Users(?:\s*\(From IM\))?:?\s*(\d+)"")), 0) + IFERROR(VALUE(REGEXEXTRACT(I448, ""Affected Clients:\s*(\d+)"")), 0)"),0.0)</f>
        <v>0</v>
      </c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33" t="str">
        <f>IFERROR(__xludf.DUMMYFUNCTION("LEN(REGEXREPLACE(REGEXREPLACE(REGEXEXTRACT(I449, ""(?s)Affected Nodes/Links(.*)""), ""https://[^\s]+"", """"), ""[^/]"", """")) / 2"),"#N/A")</f>
        <v>#N/A</v>
      </c>
      <c r="AC449" s="34">
        <f>IFERROR(__xludf.DUMMYFUNCTION("IFERROR(VALUE(REGEXEXTRACT(I449, ""No\.? of [Ss]ubs:\s*(\d+)"")), 0) + IFERROR(VALUE(REGEXEXTRACT(I449, ""Affected Users(?:\s*\(From IM\))?:?\s*(\d+)"")), 0) + IFERROR(VALUE(REGEXEXTRACT(I449, ""Affected Clients:\s*(\d+)"")), 0)"),0.0)</f>
        <v>0</v>
      </c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33" t="str">
        <f>IFERROR(__xludf.DUMMYFUNCTION("LEN(REGEXREPLACE(REGEXREPLACE(REGEXEXTRACT(I450, ""(?s)Affected Nodes/Links(.*)""), ""https://[^\s]+"", """"), ""[^/]"", """")) / 2"),"#N/A")</f>
        <v>#N/A</v>
      </c>
      <c r="AC450" s="34">
        <f>IFERROR(__xludf.DUMMYFUNCTION("IFERROR(VALUE(REGEXEXTRACT(I450, ""No\.? of [Ss]ubs:\s*(\d+)"")), 0) + IFERROR(VALUE(REGEXEXTRACT(I450, ""Affected Users(?:\s*\(From IM\))?:?\s*(\d+)"")), 0) + IFERROR(VALUE(REGEXEXTRACT(I450, ""Affected Clients:\s*(\d+)"")), 0)"),0.0)</f>
        <v>0</v>
      </c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33" t="str">
        <f>IFERROR(__xludf.DUMMYFUNCTION("LEN(REGEXREPLACE(REGEXREPLACE(REGEXEXTRACT(I451, ""(?s)Affected Nodes/Links(.*)""), ""https://[^\s]+"", """"), ""[^/]"", """")) / 2"),"#N/A")</f>
        <v>#N/A</v>
      </c>
      <c r="AC451" s="34">
        <f>IFERROR(__xludf.DUMMYFUNCTION("IFERROR(VALUE(REGEXEXTRACT(I451, ""No\.? of [Ss]ubs:\s*(\d+)"")), 0) + IFERROR(VALUE(REGEXEXTRACT(I451, ""Affected Users(?:\s*\(From IM\))?:?\s*(\d+)"")), 0) + IFERROR(VALUE(REGEXEXTRACT(I451, ""Affected Clients:\s*(\d+)"")), 0)"),0.0)</f>
        <v>0</v>
      </c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33" t="str">
        <f>IFERROR(__xludf.DUMMYFUNCTION("LEN(REGEXREPLACE(REGEXREPLACE(REGEXEXTRACT(I452, ""(?s)Affected Nodes/Links(.*)""), ""https://[^\s]+"", """"), ""[^/]"", """")) / 2"),"#N/A")</f>
        <v>#N/A</v>
      </c>
      <c r="AC452" s="34">
        <f>IFERROR(__xludf.DUMMYFUNCTION("IFERROR(VALUE(REGEXEXTRACT(I452, ""No\.? of [Ss]ubs:\s*(\d+)"")), 0) + IFERROR(VALUE(REGEXEXTRACT(I452, ""Affected Users(?:\s*\(From IM\))?:?\s*(\d+)"")), 0) + IFERROR(VALUE(REGEXEXTRACT(I452, ""Affected Clients:\s*(\d+)"")), 0)"),0.0)</f>
        <v>0</v>
      </c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33" t="str">
        <f>IFERROR(__xludf.DUMMYFUNCTION("LEN(REGEXREPLACE(REGEXREPLACE(REGEXEXTRACT(I453, ""(?s)Affected Nodes/Links(.*)""), ""https://[^\s]+"", """"), ""[^/]"", """")) / 2"),"#N/A")</f>
        <v>#N/A</v>
      </c>
      <c r="AC453" s="34">
        <f>IFERROR(__xludf.DUMMYFUNCTION("IFERROR(VALUE(REGEXEXTRACT(I453, ""No\.? of [Ss]ubs:\s*(\d+)"")), 0) + IFERROR(VALUE(REGEXEXTRACT(I453, ""Affected Users(?:\s*\(From IM\))?:?\s*(\d+)"")), 0) + IFERROR(VALUE(REGEXEXTRACT(I453, ""Affected Clients:\s*(\d+)"")), 0)"),0.0)</f>
        <v>0</v>
      </c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33" t="str">
        <f>IFERROR(__xludf.DUMMYFUNCTION("LEN(REGEXREPLACE(REGEXREPLACE(REGEXEXTRACT(I454, ""(?s)Affected Nodes/Links(.*)""), ""https://[^\s]+"", """"), ""[^/]"", """")) / 2"),"#N/A")</f>
        <v>#N/A</v>
      </c>
      <c r="AC454" s="34">
        <f>IFERROR(__xludf.DUMMYFUNCTION("IFERROR(VALUE(REGEXEXTRACT(I454, ""No\.? of [Ss]ubs:\s*(\d+)"")), 0) + IFERROR(VALUE(REGEXEXTRACT(I454, ""Affected Users(?:\s*\(From IM\))?:?\s*(\d+)"")), 0) + IFERROR(VALUE(REGEXEXTRACT(I454, ""Affected Clients:\s*(\d+)"")), 0)"),0.0)</f>
        <v>0</v>
      </c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33" t="str">
        <f>IFERROR(__xludf.DUMMYFUNCTION("LEN(REGEXREPLACE(REGEXREPLACE(REGEXEXTRACT(I455, ""(?s)Affected Nodes/Links(.*)""), ""https://[^\s]+"", """"), ""[^/]"", """")) / 2"),"#N/A")</f>
        <v>#N/A</v>
      </c>
      <c r="AC455" s="34">
        <f>IFERROR(__xludf.DUMMYFUNCTION("IFERROR(VALUE(REGEXEXTRACT(I455, ""No\.? of [Ss]ubs:\s*(\d+)"")), 0) + IFERROR(VALUE(REGEXEXTRACT(I455, ""Affected Users(?:\s*\(From IM\))?:?\s*(\d+)"")), 0) + IFERROR(VALUE(REGEXEXTRACT(I455, ""Affected Clients:\s*(\d+)"")), 0)"),0.0)</f>
        <v>0</v>
      </c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33" t="str">
        <f>IFERROR(__xludf.DUMMYFUNCTION("LEN(REGEXREPLACE(REGEXREPLACE(REGEXEXTRACT(I456, ""(?s)Affected Nodes/Links(.*)""), ""https://[^\s]+"", """"), ""[^/]"", """")) / 2"),"#N/A")</f>
        <v>#N/A</v>
      </c>
      <c r="AC456" s="34">
        <f>IFERROR(__xludf.DUMMYFUNCTION("IFERROR(VALUE(REGEXEXTRACT(I456, ""No\.? of [Ss]ubs:\s*(\d+)"")), 0) + IFERROR(VALUE(REGEXEXTRACT(I456, ""Affected Users(?:\s*\(From IM\))?:?\s*(\d+)"")), 0) + IFERROR(VALUE(REGEXEXTRACT(I456, ""Affected Clients:\s*(\d+)"")), 0)"),0.0)</f>
        <v>0</v>
      </c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33" t="str">
        <f>IFERROR(__xludf.DUMMYFUNCTION("LEN(REGEXREPLACE(REGEXREPLACE(REGEXEXTRACT(I457, ""(?s)Affected Nodes/Links(.*)""), ""https://[^\s]+"", """"), ""[^/]"", """")) / 2"),"#N/A")</f>
        <v>#N/A</v>
      </c>
      <c r="AC457" s="34">
        <f>IFERROR(__xludf.DUMMYFUNCTION("IFERROR(VALUE(REGEXEXTRACT(I457, ""No\.? of [Ss]ubs:\s*(\d+)"")), 0) + IFERROR(VALUE(REGEXEXTRACT(I457, ""Affected Users(?:\s*\(From IM\))?:?\s*(\d+)"")), 0) + IFERROR(VALUE(REGEXEXTRACT(I457, ""Affected Clients:\s*(\d+)"")), 0)"),0.0)</f>
        <v>0</v>
      </c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33" t="str">
        <f>IFERROR(__xludf.DUMMYFUNCTION("LEN(REGEXREPLACE(REGEXREPLACE(REGEXEXTRACT(I458, ""(?s)Affected Nodes/Links(.*)""), ""https://[^\s]+"", """"), ""[^/]"", """")) / 2"),"#N/A")</f>
        <v>#N/A</v>
      </c>
      <c r="AC458" s="34">
        <f>IFERROR(__xludf.DUMMYFUNCTION("IFERROR(VALUE(REGEXEXTRACT(I458, ""No\.? of [Ss]ubs:\s*(\d+)"")), 0) + IFERROR(VALUE(REGEXEXTRACT(I458, ""Affected Users(?:\s*\(From IM\))?:?\s*(\d+)"")), 0) + IFERROR(VALUE(REGEXEXTRACT(I458, ""Affected Clients:\s*(\d+)"")), 0)"),0.0)</f>
        <v>0</v>
      </c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33" t="str">
        <f>IFERROR(__xludf.DUMMYFUNCTION("LEN(REGEXREPLACE(REGEXREPLACE(REGEXEXTRACT(I459, ""(?s)Affected Nodes/Links(.*)""), ""https://[^\s]+"", """"), ""[^/]"", """")) / 2"),"#N/A")</f>
        <v>#N/A</v>
      </c>
      <c r="AC459" s="34">
        <f>IFERROR(__xludf.DUMMYFUNCTION("IFERROR(VALUE(REGEXEXTRACT(I459, ""No\.? of [Ss]ubs:\s*(\d+)"")), 0) + IFERROR(VALUE(REGEXEXTRACT(I459, ""Affected Users(?:\s*\(From IM\))?:?\s*(\d+)"")), 0) + IFERROR(VALUE(REGEXEXTRACT(I459, ""Affected Clients:\s*(\d+)"")), 0)"),0.0)</f>
        <v>0</v>
      </c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33" t="str">
        <f>IFERROR(__xludf.DUMMYFUNCTION("LEN(REGEXREPLACE(REGEXREPLACE(REGEXEXTRACT(I460, ""(?s)Affected Nodes/Links(.*)""), ""https://[^\s]+"", """"), ""[^/]"", """")) / 2"),"#N/A")</f>
        <v>#N/A</v>
      </c>
      <c r="AC460" s="34">
        <f>IFERROR(__xludf.DUMMYFUNCTION("IFERROR(VALUE(REGEXEXTRACT(I460, ""No\.? of [Ss]ubs:\s*(\d+)"")), 0) + IFERROR(VALUE(REGEXEXTRACT(I460, ""Affected Users(?:\s*\(From IM\))?:?\s*(\d+)"")), 0) + IFERROR(VALUE(REGEXEXTRACT(I460, ""Affected Clients:\s*(\d+)"")), 0)"),0.0)</f>
        <v>0</v>
      </c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33" t="str">
        <f>IFERROR(__xludf.DUMMYFUNCTION("LEN(REGEXREPLACE(REGEXREPLACE(REGEXEXTRACT(I461, ""(?s)Affected Nodes/Links(.*)""), ""https://[^\s]+"", """"), ""[^/]"", """")) / 2"),"#N/A")</f>
        <v>#N/A</v>
      </c>
      <c r="AC461" s="34">
        <f>IFERROR(__xludf.DUMMYFUNCTION("IFERROR(VALUE(REGEXEXTRACT(I461, ""No\.? of [Ss]ubs:\s*(\d+)"")), 0) + IFERROR(VALUE(REGEXEXTRACT(I461, ""Affected Users(?:\s*\(From IM\))?:?\s*(\d+)"")), 0) + IFERROR(VALUE(REGEXEXTRACT(I461, ""Affected Clients:\s*(\d+)"")), 0)"),0.0)</f>
        <v>0</v>
      </c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33" t="str">
        <f>IFERROR(__xludf.DUMMYFUNCTION("LEN(REGEXREPLACE(REGEXREPLACE(REGEXEXTRACT(I462, ""(?s)Affected Nodes/Links(.*)""), ""https://[^\s]+"", """"), ""[^/]"", """")) / 2"),"#N/A")</f>
        <v>#N/A</v>
      </c>
      <c r="AC462" s="34">
        <f>IFERROR(__xludf.DUMMYFUNCTION("IFERROR(VALUE(REGEXEXTRACT(I462, ""No\.? of [Ss]ubs:\s*(\d+)"")), 0) + IFERROR(VALUE(REGEXEXTRACT(I462, ""Affected Users(?:\s*\(From IM\))?:?\s*(\d+)"")), 0) + IFERROR(VALUE(REGEXEXTRACT(I462, ""Affected Clients:\s*(\d+)"")), 0)"),0.0)</f>
        <v>0</v>
      </c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33" t="str">
        <f>IFERROR(__xludf.DUMMYFUNCTION("LEN(REGEXREPLACE(REGEXREPLACE(REGEXEXTRACT(I463, ""(?s)Affected Nodes/Links(.*)""), ""https://[^\s]+"", """"), ""[^/]"", """")) / 2"),"#N/A")</f>
        <v>#N/A</v>
      </c>
      <c r="AC463" s="34">
        <f>IFERROR(__xludf.DUMMYFUNCTION("IFERROR(VALUE(REGEXEXTRACT(I463, ""No\.? of [Ss]ubs:\s*(\d+)"")), 0) + IFERROR(VALUE(REGEXEXTRACT(I463, ""Affected Users(?:\s*\(From IM\))?:?\s*(\d+)"")), 0) + IFERROR(VALUE(REGEXEXTRACT(I463, ""Affected Clients:\s*(\d+)"")), 0)"),0.0)</f>
        <v>0</v>
      </c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33" t="str">
        <f>IFERROR(__xludf.DUMMYFUNCTION("LEN(REGEXREPLACE(REGEXREPLACE(REGEXEXTRACT(I464, ""(?s)Affected Nodes/Links(.*)""), ""https://[^\s]+"", """"), ""[^/]"", """")) / 2"),"#N/A")</f>
        <v>#N/A</v>
      </c>
      <c r="AC464" s="34">
        <f>IFERROR(__xludf.DUMMYFUNCTION("IFERROR(VALUE(REGEXEXTRACT(I464, ""No\.? of [Ss]ubs:\s*(\d+)"")), 0) + IFERROR(VALUE(REGEXEXTRACT(I464, ""Affected Users(?:\s*\(From IM\))?:?\s*(\d+)"")), 0) + IFERROR(VALUE(REGEXEXTRACT(I464, ""Affected Clients:\s*(\d+)"")), 0)"),0.0)</f>
        <v>0</v>
      </c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33" t="str">
        <f>IFERROR(__xludf.DUMMYFUNCTION("LEN(REGEXREPLACE(REGEXREPLACE(REGEXEXTRACT(I465, ""(?s)Affected Nodes/Links(.*)""), ""https://[^\s]+"", """"), ""[^/]"", """")) / 2"),"#N/A")</f>
        <v>#N/A</v>
      </c>
      <c r="AC465" s="34">
        <f>IFERROR(__xludf.DUMMYFUNCTION("IFERROR(VALUE(REGEXEXTRACT(I465, ""No\.? of [Ss]ubs:\s*(\d+)"")), 0) + IFERROR(VALUE(REGEXEXTRACT(I465, ""Affected Users(?:\s*\(From IM\))?:?\s*(\d+)"")), 0) + IFERROR(VALUE(REGEXEXTRACT(I465, ""Affected Clients:\s*(\d+)"")), 0)"),0.0)</f>
        <v>0</v>
      </c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33" t="str">
        <f>IFERROR(__xludf.DUMMYFUNCTION("LEN(REGEXREPLACE(REGEXREPLACE(REGEXEXTRACT(I466, ""(?s)Affected Nodes/Links(.*)""), ""https://[^\s]+"", """"), ""[^/]"", """")) / 2"),"#N/A")</f>
        <v>#N/A</v>
      </c>
      <c r="AC466" s="34">
        <f>IFERROR(__xludf.DUMMYFUNCTION("IFERROR(VALUE(REGEXEXTRACT(I466, ""No\.? of [Ss]ubs:\s*(\d+)"")), 0) + IFERROR(VALUE(REGEXEXTRACT(I466, ""Affected Users(?:\s*\(From IM\))?:?\s*(\d+)"")), 0) + IFERROR(VALUE(REGEXEXTRACT(I466, ""Affected Clients:\s*(\d+)"")), 0)"),0.0)</f>
        <v>0</v>
      </c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33" t="str">
        <f>IFERROR(__xludf.DUMMYFUNCTION("LEN(REGEXREPLACE(REGEXREPLACE(REGEXEXTRACT(I467, ""(?s)Affected Nodes/Links(.*)""), ""https://[^\s]+"", """"), ""[^/]"", """")) / 2"),"#N/A")</f>
        <v>#N/A</v>
      </c>
      <c r="AC467" s="34">
        <f>IFERROR(__xludf.DUMMYFUNCTION("IFERROR(VALUE(REGEXEXTRACT(I467, ""No\.? of [Ss]ubs:\s*(\d+)"")), 0) + IFERROR(VALUE(REGEXEXTRACT(I467, ""Affected Users(?:\s*\(From IM\))?:?\s*(\d+)"")), 0) + IFERROR(VALUE(REGEXEXTRACT(I467, ""Affected Clients:\s*(\d+)"")), 0)"),0.0)</f>
        <v>0</v>
      </c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33" t="str">
        <f>IFERROR(__xludf.DUMMYFUNCTION("LEN(REGEXREPLACE(REGEXREPLACE(REGEXEXTRACT(I468, ""(?s)Affected Nodes/Links(.*)""), ""https://[^\s]+"", """"), ""[^/]"", """")) / 2"),"#N/A")</f>
        <v>#N/A</v>
      </c>
      <c r="AC468" s="34">
        <f>IFERROR(__xludf.DUMMYFUNCTION("IFERROR(VALUE(REGEXEXTRACT(I468, ""No\.? of [Ss]ubs:\s*(\d+)"")), 0) + IFERROR(VALUE(REGEXEXTRACT(I468, ""Affected Users(?:\s*\(From IM\))?:?\s*(\d+)"")), 0) + IFERROR(VALUE(REGEXEXTRACT(I468, ""Affected Clients:\s*(\d+)"")), 0)"),0.0)</f>
        <v>0</v>
      </c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33" t="str">
        <f>IFERROR(__xludf.DUMMYFUNCTION("LEN(REGEXREPLACE(REGEXREPLACE(REGEXEXTRACT(I469, ""(?s)Affected Nodes/Links(.*)""), ""https://[^\s]+"", """"), ""[^/]"", """")) / 2"),"#N/A")</f>
        <v>#N/A</v>
      </c>
      <c r="AC469" s="34">
        <f>IFERROR(__xludf.DUMMYFUNCTION("IFERROR(VALUE(REGEXEXTRACT(I469, ""No\.? of [Ss]ubs:\s*(\d+)"")), 0) + IFERROR(VALUE(REGEXEXTRACT(I469, ""Affected Users(?:\s*\(From IM\))?:?\s*(\d+)"")), 0) + IFERROR(VALUE(REGEXEXTRACT(I469, ""Affected Clients:\s*(\d+)"")), 0)"),0.0)</f>
        <v>0</v>
      </c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33" t="str">
        <f>IFERROR(__xludf.DUMMYFUNCTION("LEN(REGEXREPLACE(REGEXREPLACE(REGEXEXTRACT(I470, ""(?s)Affected Nodes/Links(.*)""), ""https://[^\s]+"", """"), ""[^/]"", """")) / 2"),"#N/A")</f>
        <v>#N/A</v>
      </c>
      <c r="AC470" s="34">
        <f>IFERROR(__xludf.DUMMYFUNCTION("IFERROR(VALUE(REGEXEXTRACT(I470, ""No\.? of [Ss]ubs:\s*(\d+)"")), 0) + IFERROR(VALUE(REGEXEXTRACT(I470, ""Affected Users(?:\s*\(From IM\))?:?\s*(\d+)"")), 0) + IFERROR(VALUE(REGEXEXTRACT(I470, ""Affected Clients:\s*(\d+)"")), 0)"),0.0)</f>
        <v>0</v>
      </c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33" t="str">
        <f>IFERROR(__xludf.DUMMYFUNCTION("LEN(REGEXREPLACE(REGEXREPLACE(REGEXEXTRACT(I471, ""(?s)Affected Nodes/Links(.*)""), ""https://[^\s]+"", """"), ""[^/]"", """")) / 2"),"#N/A")</f>
        <v>#N/A</v>
      </c>
      <c r="AC471" s="34">
        <f>IFERROR(__xludf.DUMMYFUNCTION("IFERROR(VALUE(REGEXEXTRACT(I471, ""No\.? of [Ss]ubs:\s*(\d+)"")), 0) + IFERROR(VALUE(REGEXEXTRACT(I471, ""Affected Users(?:\s*\(From IM\))?:?\s*(\d+)"")), 0) + IFERROR(VALUE(REGEXEXTRACT(I471, ""Affected Clients:\s*(\d+)"")), 0)"),0.0)</f>
        <v>0</v>
      </c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33" t="str">
        <f>IFERROR(__xludf.DUMMYFUNCTION("LEN(REGEXREPLACE(REGEXREPLACE(REGEXEXTRACT(I472, ""(?s)Affected Nodes/Links(.*)""), ""https://[^\s]+"", """"), ""[^/]"", """")) / 2"),"#N/A")</f>
        <v>#N/A</v>
      </c>
      <c r="AC472" s="34">
        <f>IFERROR(__xludf.DUMMYFUNCTION("IFERROR(VALUE(REGEXEXTRACT(I472, ""No\.? of [Ss]ubs:\s*(\d+)"")), 0) + IFERROR(VALUE(REGEXEXTRACT(I472, ""Affected Users(?:\s*\(From IM\))?:?\s*(\d+)"")), 0) + IFERROR(VALUE(REGEXEXTRACT(I472, ""Affected Clients:\s*(\d+)"")), 0)"),0.0)</f>
        <v>0</v>
      </c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33" t="str">
        <f>IFERROR(__xludf.DUMMYFUNCTION("LEN(REGEXREPLACE(REGEXREPLACE(REGEXEXTRACT(I473, ""(?s)Affected Nodes/Links(.*)""), ""https://[^\s]+"", """"), ""[^/]"", """")) / 2"),"#N/A")</f>
        <v>#N/A</v>
      </c>
      <c r="AC473" s="34">
        <f>IFERROR(__xludf.DUMMYFUNCTION("IFERROR(VALUE(REGEXEXTRACT(I473, ""No\.? of [Ss]ubs:\s*(\d+)"")), 0) + IFERROR(VALUE(REGEXEXTRACT(I473, ""Affected Users(?:\s*\(From IM\))?:?\s*(\d+)"")), 0) + IFERROR(VALUE(REGEXEXTRACT(I473, ""Affected Clients:\s*(\d+)"")), 0)"),0.0)</f>
        <v>0</v>
      </c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33" t="str">
        <f>IFERROR(__xludf.DUMMYFUNCTION("LEN(REGEXREPLACE(REGEXREPLACE(REGEXEXTRACT(I474, ""(?s)Affected Nodes/Links(.*)""), ""https://[^\s]+"", """"), ""[^/]"", """")) / 2"),"#N/A")</f>
        <v>#N/A</v>
      </c>
      <c r="AC474" s="34">
        <f>IFERROR(__xludf.DUMMYFUNCTION("IFERROR(VALUE(REGEXEXTRACT(I474, ""No\.? of [Ss]ubs:\s*(\d+)"")), 0) + IFERROR(VALUE(REGEXEXTRACT(I474, ""Affected Users(?:\s*\(From IM\))?:?\s*(\d+)"")), 0) + IFERROR(VALUE(REGEXEXTRACT(I474, ""Affected Clients:\s*(\d+)"")), 0)"),0.0)</f>
        <v>0</v>
      </c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33" t="str">
        <f>IFERROR(__xludf.DUMMYFUNCTION("LEN(REGEXREPLACE(REGEXREPLACE(REGEXEXTRACT(I475, ""(?s)Affected Nodes/Links(.*)""), ""https://[^\s]+"", """"), ""[^/]"", """")) / 2"),"#N/A")</f>
        <v>#N/A</v>
      </c>
      <c r="AC475" s="34">
        <f>IFERROR(__xludf.DUMMYFUNCTION("IFERROR(VALUE(REGEXEXTRACT(I475, ""No\.? of [Ss]ubs:\s*(\d+)"")), 0) + IFERROR(VALUE(REGEXEXTRACT(I475, ""Affected Users(?:\s*\(From IM\))?:?\s*(\d+)"")), 0) + IFERROR(VALUE(REGEXEXTRACT(I475, ""Affected Clients:\s*(\d+)"")), 0)"),0.0)</f>
        <v>0</v>
      </c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33" t="str">
        <f>IFERROR(__xludf.DUMMYFUNCTION("LEN(REGEXREPLACE(REGEXREPLACE(REGEXEXTRACT(I476, ""(?s)Affected Nodes/Links(.*)""), ""https://[^\s]+"", """"), ""[^/]"", """")) / 2"),"#N/A")</f>
        <v>#N/A</v>
      </c>
      <c r="AC476" s="34">
        <f>IFERROR(__xludf.DUMMYFUNCTION("IFERROR(VALUE(REGEXEXTRACT(I476, ""No\.? of [Ss]ubs:\s*(\d+)"")), 0) + IFERROR(VALUE(REGEXEXTRACT(I476, ""Affected Users(?:\s*\(From IM\))?:?\s*(\d+)"")), 0) + IFERROR(VALUE(REGEXEXTRACT(I476, ""Affected Clients:\s*(\d+)"")), 0)"),0.0)</f>
        <v>0</v>
      </c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33" t="str">
        <f>IFERROR(__xludf.DUMMYFUNCTION("LEN(REGEXREPLACE(REGEXREPLACE(REGEXEXTRACT(I477, ""(?s)Affected Nodes/Links(.*)""), ""https://[^\s]+"", """"), ""[^/]"", """")) / 2"),"#N/A")</f>
        <v>#N/A</v>
      </c>
      <c r="AC477" s="34">
        <f>IFERROR(__xludf.DUMMYFUNCTION("IFERROR(VALUE(REGEXEXTRACT(I477, ""No\.? of [Ss]ubs:\s*(\d+)"")), 0) + IFERROR(VALUE(REGEXEXTRACT(I477, ""Affected Users(?:\s*\(From IM\))?:?\s*(\d+)"")), 0) + IFERROR(VALUE(REGEXEXTRACT(I477, ""Affected Clients:\s*(\d+)"")), 0)"),0.0)</f>
        <v>0</v>
      </c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33" t="str">
        <f>IFERROR(__xludf.DUMMYFUNCTION("LEN(REGEXREPLACE(REGEXREPLACE(REGEXEXTRACT(I478, ""(?s)Affected Nodes/Links(.*)""), ""https://[^\s]+"", """"), ""[^/]"", """")) / 2"),"#N/A")</f>
        <v>#N/A</v>
      </c>
      <c r="AC478" s="34">
        <f>IFERROR(__xludf.DUMMYFUNCTION("IFERROR(VALUE(REGEXEXTRACT(I478, ""No\.? of [Ss]ubs:\s*(\d+)"")), 0) + IFERROR(VALUE(REGEXEXTRACT(I478, ""Affected Users(?:\s*\(From IM\))?:?\s*(\d+)"")), 0) + IFERROR(VALUE(REGEXEXTRACT(I478, ""Affected Clients:\s*(\d+)"")), 0)"),0.0)</f>
        <v>0</v>
      </c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33" t="str">
        <f>IFERROR(__xludf.DUMMYFUNCTION("LEN(REGEXREPLACE(REGEXREPLACE(REGEXEXTRACT(I479, ""(?s)Affected Nodes/Links(.*)""), ""https://[^\s]+"", """"), ""[^/]"", """")) / 2"),"#N/A")</f>
        <v>#N/A</v>
      </c>
      <c r="AC479" s="34">
        <f>IFERROR(__xludf.DUMMYFUNCTION("IFERROR(VALUE(REGEXEXTRACT(I479, ""No\.? of [Ss]ubs:\s*(\d+)"")), 0) + IFERROR(VALUE(REGEXEXTRACT(I479, ""Affected Users(?:\s*\(From IM\))?:?\s*(\d+)"")), 0) + IFERROR(VALUE(REGEXEXTRACT(I479, ""Affected Clients:\s*(\d+)"")), 0)"),0.0)</f>
        <v>0</v>
      </c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33" t="str">
        <f>IFERROR(__xludf.DUMMYFUNCTION("LEN(REGEXREPLACE(REGEXREPLACE(REGEXEXTRACT(I480, ""(?s)Affected Nodes/Links(.*)""), ""https://[^\s]+"", """"), ""[^/]"", """")) / 2"),"#N/A")</f>
        <v>#N/A</v>
      </c>
      <c r="AC480" s="34">
        <f>IFERROR(__xludf.DUMMYFUNCTION("IFERROR(VALUE(REGEXEXTRACT(I480, ""No\.? of [Ss]ubs:\s*(\d+)"")), 0) + IFERROR(VALUE(REGEXEXTRACT(I480, ""Affected Users(?:\s*\(From IM\))?:?\s*(\d+)"")), 0) + IFERROR(VALUE(REGEXEXTRACT(I480, ""Affected Clients:\s*(\d+)"")), 0)"),0.0)</f>
        <v>0</v>
      </c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33" t="str">
        <f>IFERROR(__xludf.DUMMYFUNCTION("LEN(REGEXREPLACE(REGEXREPLACE(REGEXEXTRACT(I481, ""(?s)Affected Nodes/Links(.*)""), ""https://[^\s]+"", """"), ""[^/]"", """")) / 2"),"#N/A")</f>
        <v>#N/A</v>
      </c>
      <c r="AC481" s="34">
        <f>IFERROR(__xludf.DUMMYFUNCTION("IFERROR(VALUE(REGEXEXTRACT(I481, ""No\.? of [Ss]ubs:\s*(\d+)"")), 0) + IFERROR(VALUE(REGEXEXTRACT(I481, ""Affected Users(?:\s*\(From IM\))?:?\s*(\d+)"")), 0) + IFERROR(VALUE(REGEXEXTRACT(I481, ""Affected Clients:\s*(\d+)"")), 0)"),0.0)</f>
        <v>0</v>
      </c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33" t="str">
        <f>IFERROR(__xludf.DUMMYFUNCTION("LEN(REGEXREPLACE(REGEXREPLACE(REGEXEXTRACT(I482, ""(?s)Affected Nodes/Links(.*)""), ""https://[^\s]+"", """"), ""[^/]"", """")) / 2"),"#N/A")</f>
        <v>#N/A</v>
      </c>
      <c r="AC482" s="34">
        <f>IFERROR(__xludf.DUMMYFUNCTION("IFERROR(VALUE(REGEXEXTRACT(I482, ""No\.? of [Ss]ubs:\s*(\d+)"")), 0) + IFERROR(VALUE(REGEXEXTRACT(I482, ""Affected Users(?:\s*\(From IM\))?:?\s*(\d+)"")), 0) + IFERROR(VALUE(REGEXEXTRACT(I482, ""Affected Clients:\s*(\d+)"")), 0)"),0.0)</f>
        <v>0</v>
      </c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33" t="str">
        <f>IFERROR(__xludf.DUMMYFUNCTION("LEN(REGEXREPLACE(REGEXREPLACE(REGEXEXTRACT(I483, ""(?s)Affected Nodes/Links(.*)""), ""https://[^\s]+"", """"), ""[^/]"", """")) / 2"),"#N/A")</f>
        <v>#N/A</v>
      </c>
      <c r="AC483" s="34">
        <f>IFERROR(__xludf.DUMMYFUNCTION("IFERROR(VALUE(REGEXEXTRACT(I483, ""No\.? of [Ss]ubs:\s*(\d+)"")), 0) + IFERROR(VALUE(REGEXEXTRACT(I483, ""Affected Users(?:\s*\(From IM\))?:?\s*(\d+)"")), 0) + IFERROR(VALUE(REGEXEXTRACT(I483, ""Affected Clients:\s*(\d+)"")), 0)"),0.0)</f>
        <v>0</v>
      </c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33" t="str">
        <f>IFERROR(__xludf.DUMMYFUNCTION("LEN(REGEXREPLACE(REGEXREPLACE(REGEXEXTRACT(I484, ""(?s)Affected Nodes/Links(.*)""), ""https://[^\s]+"", """"), ""[^/]"", """")) / 2"),"#N/A")</f>
        <v>#N/A</v>
      </c>
      <c r="AC484" s="34">
        <f>IFERROR(__xludf.DUMMYFUNCTION("IFERROR(VALUE(REGEXEXTRACT(I484, ""No\.? of [Ss]ubs:\s*(\d+)"")), 0) + IFERROR(VALUE(REGEXEXTRACT(I484, ""Affected Users(?:\s*\(From IM\))?:?\s*(\d+)"")), 0) + IFERROR(VALUE(REGEXEXTRACT(I484, ""Affected Clients:\s*(\d+)"")), 0)"),0.0)</f>
        <v>0</v>
      </c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33" t="str">
        <f>IFERROR(__xludf.DUMMYFUNCTION("LEN(REGEXREPLACE(REGEXREPLACE(REGEXEXTRACT(I485, ""(?s)Affected Nodes/Links(.*)""), ""https://[^\s]+"", """"), ""[^/]"", """")) / 2"),"#N/A")</f>
        <v>#N/A</v>
      </c>
      <c r="AC485" s="34">
        <f>IFERROR(__xludf.DUMMYFUNCTION("IFERROR(VALUE(REGEXEXTRACT(I485, ""No\.? of [Ss]ubs:\s*(\d+)"")), 0) + IFERROR(VALUE(REGEXEXTRACT(I485, ""Affected Users(?:\s*\(From IM\))?:?\s*(\d+)"")), 0) + IFERROR(VALUE(REGEXEXTRACT(I485, ""Affected Clients:\s*(\d+)"")), 0)"),0.0)</f>
        <v>0</v>
      </c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33" t="str">
        <f>IFERROR(__xludf.DUMMYFUNCTION("LEN(REGEXREPLACE(REGEXREPLACE(REGEXEXTRACT(I486, ""(?s)Affected Nodes/Links(.*)""), ""https://[^\s]+"", """"), ""[^/]"", """")) / 2"),"#N/A")</f>
        <v>#N/A</v>
      </c>
      <c r="AC486" s="34">
        <f>IFERROR(__xludf.DUMMYFUNCTION("IFERROR(VALUE(REGEXEXTRACT(I486, ""No\.? of [Ss]ubs:\s*(\d+)"")), 0) + IFERROR(VALUE(REGEXEXTRACT(I486, ""Affected Users(?:\s*\(From IM\))?:?\s*(\d+)"")), 0) + IFERROR(VALUE(REGEXEXTRACT(I486, ""Affected Clients:\s*(\d+)"")), 0)"),0.0)</f>
        <v>0</v>
      </c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33" t="str">
        <f>IFERROR(__xludf.DUMMYFUNCTION("LEN(REGEXREPLACE(REGEXREPLACE(REGEXEXTRACT(I487, ""(?s)Affected Nodes/Links(.*)""), ""https://[^\s]+"", """"), ""[^/]"", """")) / 2"),"#N/A")</f>
        <v>#N/A</v>
      </c>
      <c r="AC487" s="34">
        <f>IFERROR(__xludf.DUMMYFUNCTION("IFERROR(VALUE(REGEXEXTRACT(I487, ""No\.? of [Ss]ubs:\s*(\d+)"")), 0) + IFERROR(VALUE(REGEXEXTRACT(I487, ""Affected Users(?:\s*\(From IM\))?:?\s*(\d+)"")), 0) + IFERROR(VALUE(REGEXEXTRACT(I487, ""Affected Clients:\s*(\d+)"")), 0)"),0.0)</f>
        <v>0</v>
      </c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33" t="str">
        <f>IFERROR(__xludf.DUMMYFUNCTION("LEN(REGEXREPLACE(REGEXREPLACE(REGEXEXTRACT(I488, ""(?s)Affected Nodes/Links(.*)""), ""https://[^\s]+"", """"), ""[^/]"", """")) / 2"),"#N/A")</f>
        <v>#N/A</v>
      </c>
      <c r="AC488" s="34">
        <f>IFERROR(__xludf.DUMMYFUNCTION("IFERROR(VALUE(REGEXEXTRACT(I488, ""No\.? of [Ss]ubs:\s*(\d+)"")), 0) + IFERROR(VALUE(REGEXEXTRACT(I488, ""Affected Users(?:\s*\(From IM\))?:?\s*(\d+)"")), 0) + IFERROR(VALUE(REGEXEXTRACT(I488, ""Affected Clients:\s*(\d+)"")), 0)"),0.0)</f>
        <v>0</v>
      </c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33" t="str">
        <f>IFERROR(__xludf.DUMMYFUNCTION("LEN(REGEXREPLACE(REGEXREPLACE(REGEXEXTRACT(I489, ""(?s)Affected Nodes/Links(.*)""), ""https://[^\s]+"", """"), ""[^/]"", """")) / 2"),"#N/A")</f>
        <v>#N/A</v>
      </c>
      <c r="AC489" s="34">
        <f>IFERROR(__xludf.DUMMYFUNCTION("IFERROR(VALUE(REGEXEXTRACT(I489, ""No\.? of [Ss]ubs:\s*(\d+)"")), 0) + IFERROR(VALUE(REGEXEXTRACT(I489, ""Affected Users(?:\s*\(From IM\))?:?\s*(\d+)"")), 0) + IFERROR(VALUE(REGEXEXTRACT(I489, ""Affected Clients:\s*(\d+)"")), 0)"),0.0)</f>
        <v>0</v>
      </c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33" t="str">
        <f>IFERROR(__xludf.DUMMYFUNCTION("LEN(REGEXREPLACE(REGEXREPLACE(REGEXEXTRACT(I490, ""(?s)Affected Nodes/Links(.*)""), ""https://[^\s]+"", """"), ""[^/]"", """")) / 2"),"#N/A")</f>
        <v>#N/A</v>
      </c>
      <c r="AC490" s="34">
        <f>IFERROR(__xludf.DUMMYFUNCTION("IFERROR(VALUE(REGEXEXTRACT(I490, ""No\.? of [Ss]ubs:\s*(\d+)"")), 0) + IFERROR(VALUE(REGEXEXTRACT(I490, ""Affected Users(?:\s*\(From IM\))?:?\s*(\d+)"")), 0) + IFERROR(VALUE(REGEXEXTRACT(I490, ""Affected Clients:\s*(\d+)"")), 0)"),0.0)</f>
        <v>0</v>
      </c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33" t="str">
        <f>IFERROR(__xludf.DUMMYFUNCTION("LEN(REGEXREPLACE(REGEXREPLACE(REGEXEXTRACT(I491, ""(?s)Affected Nodes/Links(.*)""), ""https://[^\s]+"", """"), ""[^/]"", """")) / 2"),"#N/A")</f>
        <v>#N/A</v>
      </c>
      <c r="AC491" s="34">
        <f>IFERROR(__xludf.DUMMYFUNCTION("IFERROR(VALUE(REGEXEXTRACT(I491, ""No\.? of [Ss]ubs:\s*(\d+)"")), 0) + IFERROR(VALUE(REGEXEXTRACT(I491, ""Affected Users(?:\s*\(From IM\))?:?\s*(\d+)"")), 0) + IFERROR(VALUE(REGEXEXTRACT(I491, ""Affected Clients:\s*(\d+)"")), 0)"),0.0)</f>
        <v>0</v>
      </c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33" t="str">
        <f>IFERROR(__xludf.DUMMYFUNCTION("LEN(REGEXREPLACE(REGEXREPLACE(REGEXEXTRACT(I492, ""(?s)Affected Nodes/Links(.*)""), ""https://[^\s]+"", """"), ""[^/]"", """")) / 2"),"#N/A")</f>
        <v>#N/A</v>
      </c>
      <c r="AC492" s="34">
        <f>IFERROR(__xludf.DUMMYFUNCTION("IFERROR(VALUE(REGEXEXTRACT(I492, ""No\.? of [Ss]ubs:\s*(\d+)"")), 0) + IFERROR(VALUE(REGEXEXTRACT(I492, ""Affected Users(?:\s*\(From IM\))?:?\s*(\d+)"")), 0) + IFERROR(VALUE(REGEXEXTRACT(I492, ""Affected Clients:\s*(\d+)"")), 0)"),0.0)</f>
        <v>0</v>
      </c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33" t="str">
        <f>IFERROR(__xludf.DUMMYFUNCTION("LEN(REGEXREPLACE(REGEXREPLACE(REGEXEXTRACT(I493, ""(?s)Affected Nodes/Links(.*)""), ""https://[^\s]+"", """"), ""[^/]"", """")) / 2"),"#N/A")</f>
        <v>#N/A</v>
      </c>
      <c r="AC493" s="34">
        <f>IFERROR(__xludf.DUMMYFUNCTION("IFERROR(VALUE(REGEXEXTRACT(I493, ""No\.? of [Ss]ubs:\s*(\d+)"")), 0) + IFERROR(VALUE(REGEXEXTRACT(I493, ""Affected Users(?:\s*\(From IM\))?:?\s*(\d+)"")), 0) + IFERROR(VALUE(REGEXEXTRACT(I493, ""Affected Clients:\s*(\d+)"")), 0)"),0.0)</f>
        <v>0</v>
      </c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33" t="str">
        <f>IFERROR(__xludf.DUMMYFUNCTION("LEN(REGEXREPLACE(REGEXREPLACE(REGEXEXTRACT(I494, ""(?s)Affected Nodes/Links(.*)""), ""https://[^\s]+"", """"), ""[^/]"", """")) / 2"),"#N/A")</f>
        <v>#N/A</v>
      </c>
      <c r="AC494" s="34">
        <f>IFERROR(__xludf.DUMMYFUNCTION("IFERROR(VALUE(REGEXEXTRACT(I494, ""No\.? of [Ss]ubs:\s*(\d+)"")), 0) + IFERROR(VALUE(REGEXEXTRACT(I494, ""Affected Users(?:\s*\(From IM\))?:?\s*(\d+)"")), 0) + IFERROR(VALUE(REGEXEXTRACT(I494, ""Affected Clients:\s*(\d+)"")), 0)"),0.0)</f>
        <v>0</v>
      </c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33" t="str">
        <f>IFERROR(__xludf.DUMMYFUNCTION("LEN(REGEXREPLACE(REGEXREPLACE(REGEXEXTRACT(I495, ""(?s)Affected Nodes/Links(.*)""), ""https://[^\s]+"", """"), ""[^/]"", """")) / 2"),"#N/A")</f>
        <v>#N/A</v>
      </c>
      <c r="AC495" s="34">
        <f>IFERROR(__xludf.DUMMYFUNCTION("IFERROR(VALUE(REGEXEXTRACT(I495, ""No\.? of [Ss]ubs:\s*(\d+)"")), 0) + IFERROR(VALUE(REGEXEXTRACT(I495, ""Affected Users(?:\s*\(From IM\))?:?\s*(\d+)"")), 0) + IFERROR(VALUE(REGEXEXTRACT(I495, ""Affected Clients:\s*(\d+)"")), 0)"),0.0)</f>
        <v>0</v>
      </c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33" t="str">
        <f>IFERROR(__xludf.DUMMYFUNCTION("LEN(REGEXREPLACE(REGEXREPLACE(REGEXEXTRACT(I496, ""(?s)Affected Nodes/Links(.*)""), ""https://[^\s]+"", """"), ""[^/]"", """")) / 2"),"#N/A")</f>
        <v>#N/A</v>
      </c>
      <c r="AC496" s="34">
        <f>IFERROR(__xludf.DUMMYFUNCTION("IFERROR(VALUE(REGEXEXTRACT(I496, ""No\.? of [Ss]ubs:\s*(\d+)"")), 0) + IFERROR(VALUE(REGEXEXTRACT(I496, ""Affected Users(?:\s*\(From IM\))?:?\s*(\d+)"")), 0) + IFERROR(VALUE(REGEXEXTRACT(I496, ""Affected Clients:\s*(\d+)"")), 0)"),0.0)</f>
        <v>0</v>
      </c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33" t="str">
        <f>IFERROR(__xludf.DUMMYFUNCTION("LEN(REGEXREPLACE(REGEXREPLACE(REGEXEXTRACT(I497, ""(?s)Affected Nodes/Links(.*)""), ""https://[^\s]+"", """"), ""[^/]"", """")) / 2"),"#N/A")</f>
        <v>#N/A</v>
      </c>
      <c r="AC497" s="34">
        <f>IFERROR(__xludf.DUMMYFUNCTION("IFERROR(VALUE(REGEXEXTRACT(I497, ""No\.? of [Ss]ubs:\s*(\d+)"")), 0) + IFERROR(VALUE(REGEXEXTRACT(I497, ""Affected Users(?:\s*\(From IM\))?:?\s*(\d+)"")), 0) + IFERROR(VALUE(REGEXEXTRACT(I497, ""Affected Clients:\s*(\d+)"")), 0)"),0.0)</f>
        <v>0</v>
      </c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33" t="str">
        <f>IFERROR(__xludf.DUMMYFUNCTION("LEN(REGEXREPLACE(REGEXREPLACE(REGEXEXTRACT(I498, ""(?s)Affected Nodes/Links(.*)""), ""https://[^\s]+"", """"), ""[^/]"", """")) / 2"),"#N/A")</f>
        <v>#N/A</v>
      </c>
      <c r="AC498" s="34">
        <f>IFERROR(__xludf.DUMMYFUNCTION("IFERROR(VALUE(REGEXEXTRACT(I498, ""No\.? of [Ss]ubs:\s*(\d+)"")), 0) + IFERROR(VALUE(REGEXEXTRACT(I498, ""Affected Users(?:\s*\(From IM\))?:?\s*(\d+)"")), 0) + IFERROR(VALUE(REGEXEXTRACT(I498, ""Affected Clients:\s*(\d+)"")), 0)"),0.0)</f>
        <v>0</v>
      </c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33" t="str">
        <f>IFERROR(__xludf.DUMMYFUNCTION("LEN(REGEXREPLACE(REGEXREPLACE(REGEXEXTRACT(I499, ""(?s)Affected Nodes/Links(.*)""), ""https://[^\s]+"", """"), ""[^/]"", """")) / 2"),"#N/A")</f>
        <v>#N/A</v>
      </c>
      <c r="AC499" s="34">
        <f>IFERROR(__xludf.DUMMYFUNCTION("IFERROR(VALUE(REGEXEXTRACT(I499, ""No\.? of [Ss]ubs:\s*(\d+)"")), 0) + IFERROR(VALUE(REGEXEXTRACT(I499, ""Affected Users(?:\s*\(From IM\))?:?\s*(\d+)"")), 0) + IFERROR(VALUE(REGEXEXTRACT(I499, ""Affected Clients:\s*(\d+)"")), 0)"),0.0)</f>
        <v>0</v>
      </c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33" t="str">
        <f>IFERROR(__xludf.DUMMYFUNCTION("LEN(REGEXREPLACE(REGEXREPLACE(REGEXEXTRACT(I500, ""(?s)Affected Nodes/Links(.*)""), ""https://[^\s]+"", """"), ""[^/]"", """")) / 2"),"#N/A")</f>
        <v>#N/A</v>
      </c>
      <c r="AC500" s="34">
        <f>IFERROR(__xludf.DUMMYFUNCTION("IFERROR(VALUE(REGEXEXTRACT(I500, ""No\.? of [Ss]ubs:\s*(\d+)"")), 0) + IFERROR(VALUE(REGEXEXTRACT(I500, ""Affected Users(?:\s*\(From IM\))?:?\s*(\d+)"")), 0) + IFERROR(VALUE(REGEXEXTRACT(I500, ""Affected Clients:\s*(\d+)"")), 0)"),0.0)</f>
        <v>0</v>
      </c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33" t="str">
        <f>IFERROR(__xludf.DUMMYFUNCTION("LEN(REGEXREPLACE(REGEXREPLACE(REGEXEXTRACT(I501, ""(?s)Affected Nodes/Links(.*)""), ""https://[^\s]+"", """"), ""[^/]"", """")) / 2"),"#N/A")</f>
        <v>#N/A</v>
      </c>
      <c r="AC501" s="34">
        <f>IFERROR(__xludf.DUMMYFUNCTION("IFERROR(VALUE(REGEXEXTRACT(I501, ""No\.? of [Ss]ubs:\s*(\d+)"")), 0) + IFERROR(VALUE(REGEXEXTRACT(I501, ""Affected Users(?:\s*\(From IM\))?:?\s*(\d+)"")), 0) + IFERROR(VALUE(REGEXEXTRACT(I501, ""Affected Clients:\s*(\d+)"")), 0)"),0.0)</f>
        <v>0</v>
      </c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33" t="str">
        <f>IFERROR(__xludf.DUMMYFUNCTION("LEN(REGEXREPLACE(REGEXREPLACE(REGEXEXTRACT(I502, ""(?s)Affected Nodes/Links(.*)""), ""https://[^\s]+"", """"), ""[^/]"", """")) / 2"),"#N/A")</f>
        <v>#N/A</v>
      </c>
      <c r="AC502" s="34">
        <f>IFERROR(__xludf.DUMMYFUNCTION("IFERROR(VALUE(REGEXEXTRACT(I502, ""No\.? of [Ss]ubs:\s*(\d+)"")), 0) + IFERROR(VALUE(REGEXEXTRACT(I502, ""Affected Users(?:\s*\(From IM\))?:?\s*(\d+)"")), 0) + IFERROR(VALUE(REGEXEXTRACT(I502, ""Affected Clients:\s*(\d+)"")), 0)"),0.0)</f>
        <v>0</v>
      </c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33" t="str">
        <f>IFERROR(__xludf.DUMMYFUNCTION("LEN(REGEXREPLACE(REGEXREPLACE(REGEXEXTRACT(I503, ""(?s)Affected Nodes/Links(.*)""), ""https://[^\s]+"", """"), ""[^/]"", """")) / 2"),"#N/A")</f>
        <v>#N/A</v>
      </c>
      <c r="AC503" s="34">
        <f>IFERROR(__xludf.DUMMYFUNCTION("IFERROR(VALUE(REGEXEXTRACT(I503, ""No\.? of [Ss]ubs:\s*(\d+)"")), 0) + IFERROR(VALUE(REGEXEXTRACT(I503, ""Affected Users(?:\s*\(From IM\))?:?\s*(\d+)"")), 0) + IFERROR(VALUE(REGEXEXTRACT(I503, ""Affected Clients:\s*(\d+)"")), 0)"),0.0)</f>
        <v>0</v>
      </c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33" t="str">
        <f>IFERROR(__xludf.DUMMYFUNCTION("LEN(REGEXREPLACE(REGEXREPLACE(REGEXEXTRACT(I504, ""(?s)Affected Nodes/Links(.*)""), ""https://[^\s]+"", """"), ""[^/]"", """")) / 2"),"#N/A")</f>
        <v>#N/A</v>
      </c>
      <c r="AC504" s="34">
        <f>IFERROR(__xludf.DUMMYFUNCTION("IFERROR(VALUE(REGEXEXTRACT(I504, ""No\.? of [Ss]ubs:\s*(\d+)"")), 0) + IFERROR(VALUE(REGEXEXTRACT(I504, ""Affected Users(?:\s*\(From IM\))?:?\s*(\d+)"")), 0) + IFERROR(VALUE(REGEXEXTRACT(I504, ""Affected Clients:\s*(\d+)"")), 0)"),0.0)</f>
        <v>0</v>
      </c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33" t="str">
        <f>IFERROR(__xludf.DUMMYFUNCTION("LEN(REGEXREPLACE(REGEXREPLACE(REGEXEXTRACT(I505, ""(?s)Affected Nodes/Links(.*)""), ""https://[^\s]+"", """"), ""[^/]"", """")) / 2"),"#N/A")</f>
        <v>#N/A</v>
      </c>
      <c r="AC505" s="34">
        <f>IFERROR(__xludf.DUMMYFUNCTION("IFERROR(VALUE(REGEXEXTRACT(I505, ""No\.? of [Ss]ubs:\s*(\d+)"")), 0) + IFERROR(VALUE(REGEXEXTRACT(I505, ""Affected Users(?:\s*\(From IM\))?:?\s*(\d+)"")), 0) + IFERROR(VALUE(REGEXEXTRACT(I505, ""Affected Clients:\s*(\d+)"")), 0)"),0.0)</f>
        <v>0</v>
      </c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33" t="str">
        <f>IFERROR(__xludf.DUMMYFUNCTION("LEN(REGEXREPLACE(REGEXREPLACE(REGEXEXTRACT(I506, ""(?s)Affected Nodes/Links(.*)""), ""https://[^\s]+"", """"), ""[^/]"", """")) / 2"),"#N/A")</f>
        <v>#N/A</v>
      </c>
      <c r="AC506" s="34">
        <f>IFERROR(__xludf.DUMMYFUNCTION("IFERROR(VALUE(REGEXEXTRACT(I506, ""No\.? of [Ss]ubs:\s*(\d+)"")), 0) + IFERROR(VALUE(REGEXEXTRACT(I506, ""Affected Users(?:\s*\(From IM\))?:?\s*(\d+)"")), 0) + IFERROR(VALUE(REGEXEXTRACT(I506, ""Affected Clients:\s*(\d+)"")), 0)"),0.0)</f>
        <v>0</v>
      </c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33" t="str">
        <f>IFERROR(__xludf.DUMMYFUNCTION("LEN(REGEXREPLACE(REGEXREPLACE(REGEXEXTRACT(I507, ""(?s)Affected Nodes/Links(.*)""), ""https://[^\s]+"", """"), ""[^/]"", """")) / 2"),"#N/A")</f>
        <v>#N/A</v>
      </c>
      <c r="AC507" s="34">
        <f>IFERROR(__xludf.DUMMYFUNCTION("IFERROR(VALUE(REGEXEXTRACT(I507, ""No\.? of [Ss]ubs:\s*(\d+)"")), 0) + IFERROR(VALUE(REGEXEXTRACT(I507, ""Affected Users(?:\s*\(From IM\))?:?\s*(\d+)"")), 0) + IFERROR(VALUE(REGEXEXTRACT(I507, ""Affected Clients:\s*(\d+)"")), 0)"),0.0)</f>
        <v>0</v>
      </c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33" t="str">
        <f>IFERROR(__xludf.DUMMYFUNCTION("LEN(REGEXREPLACE(REGEXREPLACE(REGEXEXTRACT(I508, ""(?s)Affected Nodes/Links(.*)""), ""https://[^\s]+"", """"), ""[^/]"", """")) / 2"),"#N/A")</f>
        <v>#N/A</v>
      </c>
      <c r="AC508" s="34">
        <f>IFERROR(__xludf.DUMMYFUNCTION("IFERROR(VALUE(REGEXEXTRACT(I508, ""No\.? of [Ss]ubs:\s*(\d+)"")), 0) + IFERROR(VALUE(REGEXEXTRACT(I508, ""Affected Users(?:\s*\(From IM\))?:?\s*(\d+)"")), 0) + IFERROR(VALUE(REGEXEXTRACT(I508, ""Affected Clients:\s*(\d+)"")), 0)"),0.0)</f>
        <v>0</v>
      </c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33" t="str">
        <f>IFERROR(__xludf.DUMMYFUNCTION("LEN(REGEXREPLACE(REGEXREPLACE(REGEXEXTRACT(I509, ""(?s)Affected Nodes/Links(.*)""), ""https://[^\s]+"", """"), ""[^/]"", """")) / 2"),"#N/A")</f>
        <v>#N/A</v>
      </c>
      <c r="AC509" s="34">
        <f>IFERROR(__xludf.DUMMYFUNCTION("IFERROR(VALUE(REGEXEXTRACT(I509, ""No\.? of [Ss]ubs:\s*(\d+)"")), 0) + IFERROR(VALUE(REGEXEXTRACT(I509, ""Affected Users(?:\s*\(From IM\))?:?\s*(\d+)"")), 0) + IFERROR(VALUE(REGEXEXTRACT(I509, ""Affected Clients:\s*(\d+)"")), 0)"),0.0)</f>
        <v>0</v>
      </c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33" t="str">
        <f>IFERROR(__xludf.DUMMYFUNCTION("LEN(REGEXREPLACE(REGEXREPLACE(REGEXEXTRACT(I510, ""(?s)Affected Nodes/Links(.*)""), ""https://[^\s]+"", """"), ""[^/]"", """")) / 2"),"#N/A")</f>
        <v>#N/A</v>
      </c>
      <c r="AC510" s="34">
        <f>IFERROR(__xludf.DUMMYFUNCTION("IFERROR(VALUE(REGEXEXTRACT(I510, ""No\.? of [Ss]ubs:\s*(\d+)"")), 0) + IFERROR(VALUE(REGEXEXTRACT(I510, ""Affected Users(?:\s*\(From IM\))?:?\s*(\d+)"")), 0) + IFERROR(VALUE(REGEXEXTRACT(I510, ""Affected Clients:\s*(\d+)"")), 0)"),0.0)</f>
        <v>0</v>
      </c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33" t="str">
        <f>IFERROR(__xludf.DUMMYFUNCTION("LEN(REGEXREPLACE(REGEXREPLACE(REGEXEXTRACT(I511, ""(?s)Affected Nodes/Links(.*)""), ""https://[^\s]+"", """"), ""[^/]"", """")) / 2"),"#N/A")</f>
        <v>#N/A</v>
      </c>
      <c r="AC511" s="34">
        <f>IFERROR(__xludf.DUMMYFUNCTION("IFERROR(VALUE(REGEXEXTRACT(I511, ""No\.? of [Ss]ubs:\s*(\d+)"")), 0) + IFERROR(VALUE(REGEXEXTRACT(I511, ""Affected Users(?:\s*\(From IM\))?:?\s*(\d+)"")), 0) + IFERROR(VALUE(REGEXEXTRACT(I511, ""Affected Clients:\s*(\d+)"")), 0)"),0.0)</f>
        <v>0</v>
      </c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33" t="str">
        <f>IFERROR(__xludf.DUMMYFUNCTION("LEN(REGEXREPLACE(REGEXREPLACE(REGEXEXTRACT(I512, ""(?s)Affected Nodes/Links(.*)""), ""https://[^\s]+"", """"), ""[^/]"", """")) / 2"),"#N/A")</f>
        <v>#N/A</v>
      </c>
      <c r="AC512" s="34">
        <f>IFERROR(__xludf.DUMMYFUNCTION("IFERROR(VALUE(REGEXEXTRACT(I512, ""No\.? of [Ss]ubs:\s*(\d+)"")), 0) + IFERROR(VALUE(REGEXEXTRACT(I512, ""Affected Users(?:\s*\(From IM\))?:?\s*(\d+)"")), 0) + IFERROR(VALUE(REGEXEXTRACT(I512, ""Affected Clients:\s*(\d+)"")), 0)"),0.0)</f>
        <v>0</v>
      </c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33" t="str">
        <f>IFERROR(__xludf.DUMMYFUNCTION("LEN(REGEXREPLACE(REGEXREPLACE(REGEXEXTRACT(I513, ""(?s)Affected Nodes/Links(.*)""), ""https://[^\s]+"", """"), ""[^/]"", """")) / 2"),"#N/A")</f>
        <v>#N/A</v>
      </c>
      <c r="AC513" s="34">
        <f>IFERROR(__xludf.DUMMYFUNCTION("IFERROR(VALUE(REGEXEXTRACT(I513, ""No\.? of [Ss]ubs:\s*(\d+)"")), 0) + IFERROR(VALUE(REGEXEXTRACT(I513, ""Affected Users(?:\s*\(From IM\))?:?\s*(\d+)"")), 0) + IFERROR(VALUE(REGEXEXTRACT(I513, ""Affected Clients:\s*(\d+)"")), 0)"),0.0)</f>
        <v>0</v>
      </c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33" t="str">
        <f>IFERROR(__xludf.DUMMYFUNCTION("LEN(REGEXREPLACE(REGEXREPLACE(REGEXEXTRACT(I514, ""(?s)Affected Nodes/Links(.*)""), ""https://[^\s]+"", """"), ""[^/]"", """")) / 2"),"#N/A")</f>
        <v>#N/A</v>
      </c>
      <c r="AC514" s="34">
        <f>IFERROR(__xludf.DUMMYFUNCTION("IFERROR(VALUE(REGEXEXTRACT(I514, ""No\.? of [Ss]ubs:\s*(\d+)"")), 0) + IFERROR(VALUE(REGEXEXTRACT(I514, ""Affected Users(?:\s*\(From IM\))?:?\s*(\d+)"")), 0) + IFERROR(VALUE(REGEXEXTRACT(I514, ""Affected Clients:\s*(\d+)"")), 0)"),0.0)</f>
        <v>0</v>
      </c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33" t="str">
        <f>IFERROR(__xludf.DUMMYFUNCTION("LEN(REGEXREPLACE(REGEXREPLACE(REGEXEXTRACT(I515, ""(?s)Affected Nodes/Links(.*)""), ""https://[^\s]+"", """"), ""[^/]"", """")) / 2"),"#N/A")</f>
        <v>#N/A</v>
      </c>
      <c r="AC515" s="34">
        <f>IFERROR(__xludf.DUMMYFUNCTION("IFERROR(VALUE(REGEXEXTRACT(I515, ""No\.? of [Ss]ubs:\s*(\d+)"")), 0) + IFERROR(VALUE(REGEXEXTRACT(I515, ""Affected Users(?:\s*\(From IM\))?:?\s*(\d+)"")), 0) + IFERROR(VALUE(REGEXEXTRACT(I515, ""Affected Clients:\s*(\d+)"")), 0)"),0.0)</f>
        <v>0</v>
      </c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33" t="str">
        <f>IFERROR(__xludf.DUMMYFUNCTION("LEN(REGEXREPLACE(REGEXREPLACE(REGEXEXTRACT(I516, ""(?s)Affected Nodes/Links(.*)""), ""https://[^\s]+"", """"), ""[^/]"", """")) / 2"),"#N/A")</f>
        <v>#N/A</v>
      </c>
      <c r="AC516" s="34">
        <f>IFERROR(__xludf.DUMMYFUNCTION("IFERROR(VALUE(REGEXEXTRACT(I516, ""No\.? of [Ss]ubs:\s*(\d+)"")), 0) + IFERROR(VALUE(REGEXEXTRACT(I516, ""Affected Users(?:\s*\(From IM\))?:?\s*(\d+)"")), 0) + IFERROR(VALUE(REGEXEXTRACT(I516, ""Affected Clients:\s*(\d+)"")), 0)"),0.0)</f>
        <v>0</v>
      </c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33" t="str">
        <f>IFERROR(__xludf.DUMMYFUNCTION("LEN(REGEXREPLACE(REGEXREPLACE(REGEXEXTRACT(I517, ""(?s)Affected Nodes/Links(.*)""), ""https://[^\s]+"", """"), ""[^/]"", """")) / 2"),"#N/A")</f>
        <v>#N/A</v>
      </c>
      <c r="AC517" s="34">
        <f>IFERROR(__xludf.DUMMYFUNCTION("IFERROR(VALUE(REGEXEXTRACT(I517, ""No\.? of [Ss]ubs:\s*(\d+)"")), 0) + IFERROR(VALUE(REGEXEXTRACT(I517, ""Affected Users(?:\s*\(From IM\))?:?\s*(\d+)"")), 0) + IFERROR(VALUE(REGEXEXTRACT(I517, ""Affected Clients:\s*(\d+)"")), 0)"),0.0)</f>
        <v>0</v>
      </c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33" t="str">
        <f>IFERROR(__xludf.DUMMYFUNCTION("LEN(REGEXREPLACE(REGEXREPLACE(REGEXEXTRACT(I518, ""(?s)Affected Nodes/Links(.*)""), ""https://[^\s]+"", """"), ""[^/]"", """")) / 2"),"#N/A")</f>
        <v>#N/A</v>
      </c>
      <c r="AC518" s="34">
        <f>IFERROR(__xludf.DUMMYFUNCTION("IFERROR(VALUE(REGEXEXTRACT(I518, ""No\.? of [Ss]ubs:\s*(\d+)"")), 0) + IFERROR(VALUE(REGEXEXTRACT(I518, ""Affected Users(?:\s*\(From IM\))?:?\s*(\d+)"")), 0) + IFERROR(VALUE(REGEXEXTRACT(I518, ""Affected Clients:\s*(\d+)"")), 0)"),0.0)</f>
        <v>0</v>
      </c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33" t="str">
        <f>IFERROR(__xludf.DUMMYFUNCTION("LEN(REGEXREPLACE(REGEXREPLACE(REGEXEXTRACT(I519, ""(?s)Affected Nodes/Links(.*)""), ""https://[^\s]+"", """"), ""[^/]"", """")) / 2"),"#N/A")</f>
        <v>#N/A</v>
      </c>
      <c r="AC519" s="34">
        <f>IFERROR(__xludf.DUMMYFUNCTION("IFERROR(VALUE(REGEXEXTRACT(I519, ""No\.? of [Ss]ubs:\s*(\d+)"")), 0) + IFERROR(VALUE(REGEXEXTRACT(I519, ""Affected Users(?:\s*\(From IM\))?:?\s*(\d+)"")), 0) + IFERROR(VALUE(REGEXEXTRACT(I519, ""Affected Clients:\s*(\d+)"")), 0)"),0.0)</f>
        <v>0</v>
      </c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33" t="str">
        <f>IFERROR(__xludf.DUMMYFUNCTION("LEN(REGEXREPLACE(REGEXREPLACE(REGEXEXTRACT(I520, ""(?s)Affected Nodes/Links(.*)""), ""https://[^\s]+"", """"), ""[^/]"", """")) / 2"),"#N/A")</f>
        <v>#N/A</v>
      </c>
      <c r="AC520" s="34">
        <f>IFERROR(__xludf.DUMMYFUNCTION("IFERROR(VALUE(REGEXEXTRACT(I520, ""No\.? of [Ss]ubs:\s*(\d+)"")), 0) + IFERROR(VALUE(REGEXEXTRACT(I520, ""Affected Users(?:\s*\(From IM\))?:?\s*(\d+)"")), 0) + IFERROR(VALUE(REGEXEXTRACT(I520, ""Affected Clients:\s*(\d+)"")), 0)"),0.0)</f>
        <v>0</v>
      </c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33" t="str">
        <f>IFERROR(__xludf.DUMMYFUNCTION("LEN(REGEXREPLACE(REGEXREPLACE(REGEXEXTRACT(I521, ""(?s)Affected Nodes/Links(.*)""), ""https://[^\s]+"", """"), ""[^/]"", """")) / 2"),"#N/A")</f>
        <v>#N/A</v>
      </c>
      <c r="AC521" s="34">
        <f>IFERROR(__xludf.DUMMYFUNCTION("IFERROR(VALUE(REGEXEXTRACT(I521, ""No\.? of [Ss]ubs:\s*(\d+)"")), 0) + IFERROR(VALUE(REGEXEXTRACT(I521, ""Affected Users(?:\s*\(From IM\))?:?\s*(\d+)"")), 0) + IFERROR(VALUE(REGEXEXTRACT(I521, ""Affected Clients:\s*(\d+)"")), 0)"),0.0)</f>
        <v>0</v>
      </c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33" t="str">
        <f>IFERROR(__xludf.DUMMYFUNCTION("LEN(REGEXREPLACE(REGEXREPLACE(REGEXEXTRACT(I522, ""(?s)Affected Nodes/Links(.*)""), ""https://[^\s]+"", """"), ""[^/]"", """")) / 2"),"#N/A")</f>
        <v>#N/A</v>
      </c>
      <c r="AC522" s="34">
        <f>IFERROR(__xludf.DUMMYFUNCTION("IFERROR(VALUE(REGEXEXTRACT(I522, ""No\.? of [Ss]ubs:\s*(\d+)"")), 0) + IFERROR(VALUE(REGEXEXTRACT(I522, ""Affected Users(?:\s*\(From IM\))?:?\s*(\d+)"")), 0) + IFERROR(VALUE(REGEXEXTRACT(I522, ""Affected Clients:\s*(\d+)"")), 0)"),0.0)</f>
        <v>0</v>
      </c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33" t="str">
        <f>IFERROR(__xludf.DUMMYFUNCTION("LEN(REGEXREPLACE(REGEXREPLACE(REGEXEXTRACT(I523, ""(?s)Affected Nodes/Links(.*)""), ""https://[^\s]+"", """"), ""[^/]"", """")) / 2"),"#N/A")</f>
        <v>#N/A</v>
      </c>
      <c r="AC523" s="34">
        <f>IFERROR(__xludf.DUMMYFUNCTION("IFERROR(VALUE(REGEXEXTRACT(I523, ""No\.? of [Ss]ubs:\s*(\d+)"")), 0) + IFERROR(VALUE(REGEXEXTRACT(I523, ""Affected Users(?:\s*\(From IM\))?:?\s*(\d+)"")), 0) + IFERROR(VALUE(REGEXEXTRACT(I523, ""Affected Clients:\s*(\d+)"")), 0)"),0.0)</f>
        <v>0</v>
      </c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33" t="str">
        <f>IFERROR(__xludf.DUMMYFUNCTION("LEN(REGEXREPLACE(REGEXREPLACE(REGEXEXTRACT(I524, ""(?s)Affected Nodes/Links(.*)""), ""https://[^\s]+"", """"), ""[^/]"", """")) / 2"),"#N/A")</f>
        <v>#N/A</v>
      </c>
      <c r="AC524" s="34">
        <f>IFERROR(__xludf.DUMMYFUNCTION("IFERROR(VALUE(REGEXEXTRACT(I524, ""No\.? of [Ss]ubs:\s*(\d+)"")), 0) + IFERROR(VALUE(REGEXEXTRACT(I524, ""Affected Users(?:\s*\(From IM\))?:?\s*(\d+)"")), 0) + IFERROR(VALUE(REGEXEXTRACT(I524, ""Affected Clients:\s*(\d+)"")), 0)"),0.0)</f>
        <v>0</v>
      </c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33" t="str">
        <f>IFERROR(__xludf.DUMMYFUNCTION("LEN(REGEXREPLACE(REGEXREPLACE(REGEXEXTRACT(I525, ""(?s)Affected Nodes/Links(.*)""), ""https://[^\s]+"", """"), ""[^/]"", """")) / 2"),"#N/A")</f>
        <v>#N/A</v>
      </c>
      <c r="AC525" s="34">
        <f>IFERROR(__xludf.DUMMYFUNCTION("IFERROR(VALUE(REGEXEXTRACT(I525, ""No\.? of [Ss]ubs:\s*(\d+)"")), 0) + IFERROR(VALUE(REGEXEXTRACT(I525, ""Affected Users(?:\s*\(From IM\))?:?\s*(\d+)"")), 0) + IFERROR(VALUE(REGEXEXTRACT(I525, ""Affected Clients:\s*(\d+)"")), 0)"),0.0)</f>
        <v>0</v>
      </c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33" t="str">
        <f>IFERROR(__xludf.DUMMYFUNCTION("LEN(REGEXREPLACE(REGEXREPLACE(REGEXEXTRACT(I526, ""(?s)Affected Nodes/Links(.*)""), ""https://[^\s]+"", """"), ""[^/]"", """")) / 2"),"#N/A")</f>
        <v>#N/A</v>
      </c>
      <c r="AC526" s="34">
        <f>IFERROR(__xludf.DUMMYFUNCTION("IFERROR(VALUE(REGEXEXTRACT(I526, ""No\.? of [Ss]ubs:\s*(\d+)"")), 0) + IFERROR(VALUE(REGEXEXTRACT(I526, ""Affected Users(?:\s*\(From IM\))?:?\s*(\d+)"")), 0) + IFERROR(VALUE(REGEXEXTRACT(I526, ""Affected Clients:\s*(\d+)"")), 0)"),0.0)</f>
        <v>0</v>
      </c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33" t="str">
        <f>IFERROR(__xludf.DUMMYFUNCTION("LEN(REGEXREPLACE(REGEXREPLACE(REGEXEXTRACT(I527, ""(?s)Affected Nodes/Links(.*)""), ""https://[^\s]+"", """"), ""[^/]"", """")) / 2"),"#N/A")</f>
        <v>#N/A</v>
      </c>
      <c r="AC527" s="34">
        <f>IFERROR(__xludf.DUMMYFUNCTION("IFERROR(VALUE(REGEXEXTRACT(I527, ""No\.? of [Ss]ubs:\s*(\d+)"")), 0) + IFERROR(VALUE(REGEXEXTRACT(I527, ""Affected Users(?:\s*\(From IM\))?:?\s*(\d+)"")), 0) + IFERROR(VALUE(REGEXEXTRACT(I527, ""Affected Clients:\s*(\d+)"")), 0)"),0.0)</f>
        <v>0</v>
      </c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33" t="str">
        <f>IFERROR(__xludf.DUMMYFUNCTION("LEN(REGEXREPLACE(REGEXREPLACE(REGEXEXTRACT(I528, ""(?s)Affected Nodes/Links(.*)""), ""https://[^\s]+"", """"), ""[^/]"", """")) / 2"),"#N/A")</f>
        <v>#N/A</v>
      </c>
      <c r="AC528" s="34">
        <f>IFERROR(__xludf.DUMMYFUNCTION("IFERROR(VALUE(REGEXEXTRACT(I528, ""No\.? of [Ss]ubs:\s*(\d+)"")), 0) + IFERROR(VALUE(REGEXEXTRACT(I528, ""Affected Users(?:\s*\(From IM\))?:?\s*(\d+)"")), 0) + IFERROR(VALUE(REGEXEXTRACT(I528, ""Affected Clients:\s*(\d+)"")), 0)"),0.0)</f>
        <v>0</v>
      </c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33" t="str">
        <f>IFERROR(__xludf.DUMMYFUNCTION("LEN(REGEXREPLACE(REGEXREPLACE(REGEXEXTRACT(I529, ""(?s)Affected Nodes/Links(.*)""), ""https://[^\s]+"", """"), ""[^/]"", """")) / 2"),"#N/A")</f>
        <v>#N/A</v>
      </c>
      <c r="AC529" s="34">
        <f>IFERROR(__xludf.DUMMYFUNCTION("IFERROR(VALUE(REGEXEXTRACT(I529, ""No\.? of [Ss]ubs:\s*(\d+)"")), 0) + IFERROR(VALUE(REGEXEXTRACT(I529, ""Affected Users(?:\s*\(From IM\))?:?\s*(\d+)"")), 0) + IFERROR(VALUE(REGEXEXTRACT(I529, ""Affected Clients:\s*(\d+)"")), 0)"),0.0)</f>
        <v>0</v>
      </c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33" t="str">
        <f>IFERROR(__xludf.DUMMYFUNCTION("LEN(REGEXREPLACE(REGEXREPLACE(REGEXEXTRACT(I530, ""(?s)Affected Nodes/Links(.*)""), ""https://[^\s]+"", """"), ""[^/]"", """")) / 2"),"#N/A")</f>
        <v>#N/A</v>
      </c>
      <c r="AC530" s="34">
        <f>IFERROR(__xludf.DUMMYFUNCTION("IFERROR(VALUE(REGEXEXTRACT(I530, ""No\.? of [Ss]ubs:\s*(\d+)"")), 0) + IFERROR(VALUE(REGEXEXTRACT(I530, ""Affected Users(?:\s*\(From IM\))?:?\s*(\d+)"")), 0) + IFERROR(VALUE(REGEXEXTRACT(I530, ""Affected Clients:\s*(\d+)"")), 0)"),0.0)</f>
        <v>0</v>
      </c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33" t="str">
        <f>IFERROR(__xludf.DUMMYFUNCTION("LEN(REGEXREPLACE(REGEXREPLACE(REGEXEXTRACT(I531, ""(?s)Affected Nodes/Links(.*)""), ""https://[^\s]+"", """"), ""[^/]"", """")) / 2"),"#N/A")</f>
        <v>#N/A</v>
      </c>
      <c r="AC531" s="34">
        <f>IFERROR(__xludf.DUMMYFUNCTION("IFERROR(VALUE(REGEXEXTRACT(I531, ""No\.? of [Ss]ubs:\s*(\d+)"")), 0) + IFERROR(VALUE(REGEXEXTRACT(I531, ""Affected Users(?:\s*\(From IM\))?:?\s*(\d+)"")), 0) + IFERROR(VALUE(REGEXEXTRACT(I531, ""Affected Clients:\s*(\d+)"")), 0)"),0.0)</f>
        <v>0</v>
      </c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33" t="str">
        <f>IFERROR(__xludf.DUMMYFUNCTION("LEN(REGEXREPLACE(REGEXREPLACE(REGEXEXTRACT(I532, ""(?s)Affected Nodes/Links(.*)""), ""https://[^\s]+"", """"), ""[^/]"", """")) / 2"),"#N/A")</f>
        <v>#N/A</v>
      </c>
      <c r="AC532" s="34">
        <f>IFERROR(__xludf.DUMMYFUNCTION("IFERROR(VALUE(REGEXEXTRACT(I532, ""No\.? of [Ss]ubs:\s*(\d+)"")), 0) + IFERROR(VALUE(REGEXEXTRACT(I532, ""Affected Users(?:\s*\(From IM\))?:?\s*(\d+)"")), 0) + IFERROR(VALUE(REGEXEXTRACT(I532, ""Affected Clients:\s*(\d+)"")), 0)"),0.0)</f>
        <v>0</v>
      </c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33" t="str">
        <f>IFERROR(__xludf.DUMMYFUNCTION("LEN(REGEXREPLACE(REGEXREPLACE(REGEXEXTRACT(I533, ""(?s)Affected Nodes/Links(.*)""), ""https://[^\s]+"", """"), ""[^/]"", """")) / 2"),"#N/A")</f>
        <v>#N/A</v>
      </c>
      <c r="AC533" s="34">
        <f>IFERROR(__xludf.DUMMYFUNCTION("IFERROR(VALUE(REGEXEXTRACT(I533, ""No\.? of [Ss]ubs:\s*(\d+)"")), 0) + IFERROR(VALUE(REGEXEXTRACT(I533, ""Affected Users(?:\s*\(From IM\))?:?\s*(\d+)"")), 0) + IFERROR(VALUE(REGEXEXTRACT(I533, ""Affected Clients:\s*(\d+)"")), 0)"),0.0)</f>
        <v>0</v>
      </c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33" t="str">
        <f>IFERROR(__xludf.DUMMYFUNCTION("LEN(REGEXREPLACE(REGEXREPLACE(REGEXEXTRACT(I534, ""(?s)Affected Nodes/Links(.*)""), ""https://[^\s]+"", """"), ""[^/]"", """")) / 2"),"#N/A")</f>
        <v>#N/A</v>
      </c>
      <c r="AC534" s="34">
        <f>IFERROR(__xludf.DUMMYFUNCTION("IFERROR(VALUE(REGEXEXTRACT(I534, ""No\.? of [Ss]ubs:\s*(\d+)"")), 0) + IFERROR(VALUE(REGEXEXTRACT(I534, ""Affected Users(?:\s*\(From IM\))?:?\s*(\d+)"")), 0) + IFERROR(VALUE(REGEXEXTRACT(I534, ""Affected Clients:\s*(\d+)"")), 0)"),0.0)</f>
        <v>0</v>
      </c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33" t="str">
        <f>IFERROR(__xludf.DUMMYFUNCTION("LEN(REGEXREPLACE(REGEXREPLACE(REGEXEXTRACT(I535, ""(?s)Affected Nodes/Links(.*)""), ""https://[^\s]+"", """"), ""[^/]"", """")) / 2"),"#N/A")</f>
        <v>#N/A</v>
      </c>
      <c r="AC535" s="34">
        <f>IFERROR(__xludf.DUMMYFUNCTION("IFERROR(VALUE(REGEXEXTRACT(I535, ""No\.? of [Ss]ubs:\s*(\d+)"")), 0) + IFERROR(VALUE(REGEXEXTRACT(I535, ""Affected Users(?:\s*\(From IM\))?:?\s*(\d+)"")), 0) + IFERROR(VALUE(REGEXEXTRACT(I535, ""Affected Clients:\s*(\d+)"")), 0)"),0.0)</f>
        <v>0</v>
      </c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33" t="str">
        <f>IFERROR(__xludf.DUMMYFUNCTION("LEN(REGEXREPLACE(REGEXREPLACE(REGEXEXTRACT(I536, ""(?s)Affected Nodes/Links(.*)""), ""https://[^\s]+"", """"), ""[^/]"", """")) / 2"),"#N/A")</f>
        <v>#N/A</v>
      </c>
      <c r="AC536" s="34">
        <f>IFERROR(__xludf.DUMMYFUNCTION("IFERROR(VALUE(REGEXEXTRACT(I536, ""No\.? of [Ss]ubs:\s*(\d+)"")), 0) + IFERROR(VALUE(REGEXEXTRACT(I536, ""Affected Users(?:\s*\(From IM\))?:?\s*(\d+)"")), 0) + IFERROR(VALUE(REGEXEXTRACT(I536, ""Affected Clients:\s*(\d+)"")), 0)"),0.0)</f>
        <v>0</v>
      </c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33" t="str">
        <f>IFERROR(__xludf.DUMMYFUNCTION("LEN(REGEXREPLACE(REGEXREPLACE(REGEXEXTRACT(I537, ""(?s)Affected Nodes/Links(.*)""), ""https://[^\s]+"", """"), ""[^/]"", """")) / 2"),"#N/A")</f>
        <v>#N/A</v>
      </c>
      <c r="AC537" s="34">
        <f>IFERROR(__xludf.DUMMYFUNCTION("IFERROR(VALUE(REGEXEXTRACT(I537, ""No\.? of [Ss]ubs:\s*(\d+)"")), 0) + IFERROR(VALUE(REGEXEXTRACT(I537, ""Affected Users(?:\s*\(From IM\))?:?\s*(\d+)"")), 0) + IFERROR(VALUE(REGEXEXTRACT(I537, ""Affected Clients:\s*(\d+)"")), 0)"),0.0)</f>
        <v>0</v>
      </c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33" t="str">
        <f>IFERROR(__xludf.DUMMYFUNCTION("LEN(REGEXREPLACE(REGEXREPLACE(REGEXEXTRACT(I538, ""(?s)Affected Nodes/Links(.*)""), ""https://[^\s]+"", """"), ""[^/]"", """")) / 2"),"#N/A")</f>
        <v>#N/A</v>
      </c>
      <c r="AC538" s="34">
        <f>IFERROR(__xludf.DUMMYFUNCTION("IFERROR(VALUE(REGEXEXTRACT(I538, ""No\.? of [Ss]ubs:\s*(\d+)"")), 0) + IFERROR(VALUE(REGEXEXTRACT(I538, ""Affected Users(?:\s*\(From IM\))?:?\s*(\d+)"")), 0) + IFERROR(VALUE(REGEXEXTRACT(I538, ""Affected Clients:\s*(\d+)"")), 0)"),0.0)</f>
        <v>0</v>
      </c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33" t="str">
        <f>IFERROR(__xludf.DUMMYFUNCTION("LEN(REGEXREPLACE(REGEXREPLACE(REGEXEXTRACT(I539, ""(?s)Affected Nodes/Links(.*)""), ""https://[^\s]+"", """"), ""[^/]"", """")) / 2"),"#N/A")</f>
        <v>#N/A</v>
      </c>
      <c r="AC539" s="34">
        <f>IFERROR(__xludf.DUMMYFUNCTION("IFERROR(VALUE(REGEXEXTRACT(I539, ""No\.? of [Ss]ubs:\s*(\d+)"")), 0) + IFERROR(VALUE(REGEXEXTRACT(I539, ""Affected Users(?:\s*\(From IM\))?:?\s*(\d+)"")), 0) + IFERROR(VALUE(REGEXEXTRACT(I539, ""Affected Clients:\s*(\d+)"")), 0)"),0.0)</f>
        <v>0</v>
      </c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33" t="str">
        <f>IFERROR(__xludf.DUMMYFUNCTION("LEN(REGEXREPLACE(REGEXREPLACE(REGEXEXTRACT(I540, ""(?s)Affected Nodes/Links(.*)""), ""https://[^\s]+"", """"), ""[^/]"", """")) / 2"),"#N/A")</f>
        <v>#N/A</v>
      </c>
      <c r="AC540" s="34">
        <f>IFERROR(__xludf.DUMMYFUNCTION("IFERROR(VALUE(REGEXEXTRACT(I540, ""No\.? of [Ss]ubs:\s*(\d+)"")), 0) + IFERROR(VALUE(REGEXEXTRACT(I540, ""Affected Users(?:\s*\(From IM\))?:?\s*(\d+)"")), 0) + IFERROR(VALUE(REGEXEXTRACT(I540, ""Affected Clients:\s*(\d+)"")), 0)"),0.0)</f>
        <v>0</v>
      </c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33" t="str">
        <f>IFERROR(__xludf.DUMMYFUNCTION("LEN(REGEXREPLACE(REGEXREPLACE(REGEXEXTRACT(I541, ""(?s)Affected Nodes/Links(.*)""), ""https://[^\s]+"", """"), ""[^/]"", """")) / 2"),"#N/A")</f>
        <v>#N/A</v>
      </c>
      <c r="AC541" s="34">
        <f>IFERROR(__xludf.DUMMYFUNCTION("IFERROR(VALUE(REGEXEXTRACT(I541, ""No\.? of [Ss]ubs:\s*(\d+)"")), 0) + IFERROR(VALUE(REGEXEXTRACT(I541, ""Affected Users(?:\s*\(From IM\))?:?\s*(\d+)"")), 0) + IFERROR(VALUE(REGEXEXTRACT(I541, ""Affected Clients:\s*(\d+)"")), 0)"),0.0)</f>
        <v>0</v>
      </c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33" t="str">
        <f>IFERROR(__xludf.DUMMYFUNCTION("LEN(REGEXREPLACE(REGEXREPLACE(REGEXEXTRACT(I542, ""(?s)Affected Nodes/Links(.*)""), ""https://[^\s]+"", """"), ""[^/]"", """")) / 2"),"#N/A")</f>
        <v>#N/A</v>
      </c>
      <c r="AC542" s="34">
        <f>IFERROR(__xludf.DUMMYFUNCTION("IFERROR(VALUE(REGEXEXTRACT(I542, ""No\.? of [Ss]ubs:\s*(\d+)"")), 0) + IFERROR(VALUE(REGEXEXTRACT(I542, ""Affected Users(?:\s*\(From IM\))?:?\s*(\d+)"")), 0) + IFERROR(VALUE(REGEXEXTRACT(I542, ""Affected Clients:\s*(\d+)"")), 0)"),0.0)</f>
        <v>0</v>
      </c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33" t="str">
        <f>IFERROR(__xludf.DUMMYFUNCTION("LEN(REGEXREPLACE(REGEXREPLACE(REGEXEXTRACT(I543, ""(?s)Affected Nodes/Links(.*)""), ""https://[^\s]+"", """"), ""[^/]"", """")) / 2"),"#N/A")</f>
        <v>#N/A</v>
      </c>
      <c r="AC543" s="34">
        <f>IFERROR(__xludf.DUMMYFUNCTION("IFERROR(VALUE(REGEXEXTRACT(I543, ""No\.? of [Ss]ubs:\s*(\d+)"")), 0) + IFERROR(VALUE(REGEXEXTRACT(I543, ""Affected Users(?:\s*\(From IM\))?:?\s*(\d+)"")), 0) + IFERROR(VALUE(REGEXEXTRACT(I543, ""Affected Clients:\s*(\d+)"")), 0)"),0.0)</f>
        <v>0</v>
      </c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33" t="str">
        <f>IFERROR(__xludf.DUMMYFUNCTION("LEN(REGEXREPLACE(REGEXREPLACE(REGEXEXTRACT(I544, ""(?s)Affected Nodes/Links(.*)""), ""https://[^\s]+"", """"), ""[^/]"", """")) / 2"),"#N/A")</f>
        <v>#N/A</v>
      </c>
      <c r="AC544" s="34">
        <f>IFERROR(__xludf.DUMMYFUNCTION("IFERROR(VALUE(REGEXEXTRACT(I544, ""No\.? of [Ss]ubs:\s*(\d+)"")), 0) + IFERROR(VALUE(REGEXEXTRACT(I544, ""Affected Users(?:\s*\(From IM\))?:?\s*(\d+)"")), 0) + IFERROR(VALUE(REGEXEXTRACT(I544, ""Affected Clients:\s*(\d+)"")), 0)"),0.0)</f>
        <v>0</v>
      </c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33" t="str">
        <f>IFERROR(__xludf.DUMMYFUNCTION("LEN(REGEXREPLACE(REGEXREPLACE(REGEXEXTRACT(I545, ""(?s)Affected Nodes/Links(.*)""), ""https://[^\s]+"", """"), ""[^/]"", """")) / 2"),"#N/A")</f>
        <v>#N/A</v>
      </c>
      <c r="AC545" s="34">
        <f>IFERROR(__xludf.DUMMYFUNCTION("IFERROR(VALUE(REGEXEXTRACT(I545, ""No\.? of [Ss]ubs:\s*(\d+)"")), 0) + IFERROR(VALUE(REGEXEXTRACT(I545, ""Affected Users(?:\s*\(From IM\))?:?\s*(\d+)"")), 0) + IFERROR(VALUE(REGEXEXTRACT(I545, ""Affected Clients:\s*(\d+)"")), 0)"),0.0)</f>
        <v>0</v>
      </c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33" t="str">
        <f>IFERROR(__xludf.DUMMYFUNCTION("LEN(REGEXREPLACE(REGEXREPLACE(REGEXEXTRACT(I546, ""(?s)Affected Nodes/Links(.*)""), ""https://[^\s]+"", """"), ""[^/]"", """")) / 2"),"#N/A")</f>
        <v>#N/A</v>
      </c>
      <c r="AC546" s="34">
        <f>IFERROR(__xludf.DUMMYFUNCTION("IFERROR(VALUE(REGEXEXTRACT(I546, ""No\.? of [Ss]ubs:\s*(\d+)"")), 0) + IFERROR(VALUE(REGEXEXTRACT(I546, ""Affected Users(?:\s*\(From IM\))?:?\s*(\d+)"")), 0) + IFERROR(VALUE(REGEXEXTRACT(I546, ""Affected Clients:\s*(\d+)"")), 0)"),0.0)</f>
        <v>0</v>
      </c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33" t="str">
        <f>IFERROR(__xludf.DUMMYFUNCTION("LEN(REGEXREPLACE(REGEXREPLACE(REGEXEXTRACT(I547, ""(?s)Affected Nodes/Links(.*)""), ""https://[^\s]+"", """"), ""[^/]"", """")) / 2"),"#N/A")</f>
        <v>#N/A</v>
      </c>
      <c r="AC547" s="34">
        <f>IFERROR(__xludf.DUMMYFUNCTION("IFERROR(VALUE(REGEXEXTRACT(I547, ""No\.? of [Ss]ubs:\s*(\d+)"")), 0) + IFERROR(VALUE(REGEXEXTRACT(I547, ""Affected Users(?:\s*\(From IM\))?:?\s*(\d+)"")), 0) + IFERROR(VALUE(REGEXEXTRACT(I547, ""Affected Clients:\s*(\d+)"")), 0)"),0.0)</f>
        <v>0</v>
      </c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33" t="str">
        <f>IFERROR(__xludf.DUMMYFUNCTION("LEN(REGEXREPLACE(REGEXREPLACE(REGEXEXTRACT(I548, ""(?s)Affected Nodes/Links(.*)""), ""https://[^\s]+"", """"), ""[^/]"", """")) / 2"),"#N/A")</f>
        <v>#N/A</v>
      </c>
      <c r="AC548" s="34">
        <f>IFERROR(__xludf.DUMMYFUNCTION("IFERROR(VALUE(REGEXEXTRACT(I548, ""No\.? of [Ss]ubs:\s*(\d+)"")), 0) + IFERROR(VALUE(REGEXEXTRACT(I548, ""Affected Users(?:\s*\(From IM\))?:?\s*(\d+)"")), 0) + IFERROR(VALUE(REGEXEXTRACT(I548, ""Affected Clients:\s*(\d+)"")), 0)"),0.0)</f>
        <v>0</v>
      </c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33" t="str">
        <f>IFERROR(__xludf.DUMMYFUNCTION("LEN(REGEXREPLACE(REGEXREPLACE(REGEXEXTRACT(I549, ""(?s)Affected Nodes/Links(.*)""), ""https://[^\s]+"", """"), ""[^/]"", """")) / 2"),"#N/A")</f>
        <v>#N/A</v>
      </c>
      <c r="AC549" s="34">
        <f>IFERROR(__xludf.DUMMYFUNCTION("IFERROR(VALUE(REGEXEXTRACT(I549, ""No\.? of [Ss]ubs:\s*(\d+)"")), 0) + IFERROR(VALUE(REGEXEXTRACT(I549, ""Affected Users(?:\s*\(From IM\))?:?\s*(\d+)"")), 0) + IFERROR(VALUE(REGEXEXTRACT(I549, ""Affected Clients:\s*(\d+)"")), 0)"),0.0)</f>
        <v>0</v>
      </c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33" t="str">
        <f>IFERROR(__xludf.DUMMYFUNCTION("LEN(REGEXREPLACE(REGEXREPLACE(REGEXEXTRACT(I550, ""(?s)Affected Nodes/Links(.*)""), ""https://[^\s]+"", """"), ""[^/]"", """")) / 2"),"#N/A")</f>
        <v>#N/A</v>
      </c>
      <c r="AC550" s="34">
        <f>IFERROR(__xludf.DUMMYFUNCTION("IFERROR(VALUE(REGEXEXTRACT(I550, ""No\.? of [Ss]ubs:\s*(\d+)"")), 0) + IFERROR(VALUE(REGEXEXTRACT(I550, ""Affected Users(?:\s*\(From IM\))?:?\s*(\d+)"")), 0) + IFERROR(VALUE(REGEXEXTRACT(I550, ""Affected Clients:\s*(\d+)"")), 0)"),0.0)</f>
        <v>0</v>
      </c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33" t="str">
        <f>IFERROR(__xludf.DUMMYFUNCTION("LEN(REGEXREPLACE(REGEXREPLACE(REGEXEXTRACT(I551, ""(?s)Affected Nodes/Links(.*)""), ""https://[^\s]+"", """"), ""[^/]"", """")) / 2"),"#N/A")</f>
        <v>#N/A</v>
      </c>
      <c r="AC551" s="34">
        <f>IFERROR(__xludf.DUMMYFUNCTION("IFERROR(VALUE(REGEXEXTRACT(I551, ""No\.? of [Ss]ubs:\s*(\d+)"")), 0) + IFERROR(VALUE(REGEXEXTRACT(I551, ""Affected Users(?:\s*\(From IM\))?:?\s*(\d+)"")), 0) + IFERROR(VALUE(REGEXEXTRACT(I551, ""Affected Clients:\s*(\d+)"")), 0)"),0.0)</f>
        <v>0</v>
      </c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33" t="str">
        <f>IFERROR(__xludf.DUMMYFUNCTION("LEN(REGEXREPLACE(REGEXREPLACE(REGEXEXTRACT(I552, ""(?s)Affected Nodes/Links(.*)""), ""https://[^\s]+"", """"), ""[^/]"", """")) / 2"),"#N/A")</f>
        <v>#N/A</v>
      </c>
      <c r="AC552" s="34">
        <f>IFERROR(__xludf.DUMMYFUNCTION("IFERROR(VALUE(REGEXEXTRACT(I552, ""No\.? of [Ss]ubs:\s*(\d+)"")), 0) + IFERROR(VALUE(REGEXEXTRACT(I552, ""Affected Users(?:\s*\(From IM\))?:?\s*(\d+)"")), 0) + IFERROR(VALUE(REGEXEXTRACT(I552, ""Affected Clients:\s*(\d+)"")), 0)"),0.0)</f>
        <v>0</v>
      </c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33" t="str">
        <f>IFERROR(__xludf.DUMMYFUNCTION("LEN(REGEXREPLACE(REGEXREPLACE(REGEXEXTRACT(I553, ""(?s)Affected Nodes/Links(.*)""), ""https://[^\s]+"", """"), ""[^/]"", """")) / 2"),"#N/A")</f>
        <v>#N/A</v>
      </c>
      <c r="AC553" s="34">
        <f>IFERROR(__xludf.DUMMYFUNCTION("IFERROR(VALUE(REGEXEXTRACT(I553, ""No\.? of [Ss]ubs:\s*(\d+)"")), 0) + IFERROR(VALUE(REGEXEXTRACT(I553, ""Affected Users(?:\s*\(From IM\))?:?\s*(\d+)"")), 0) + IFERROR(VALUE(REGEXEXTRACT(I553, ""Affected Clients:\s*(\d+)"")), 0)"),0.0)</f>
        <v>0</v>
      </c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33" t="str">
        <f>IFERROR(__xludf.DUMMYFUNCTION("LEN(REGEXREPLACE(REGEXREPLACE(REGEXEXTRACT(I554, ""(?s)Affected Nodes/Links(.*)""), ""https://[^\s]+"", """"), ""[^/]"", """")) / 2"),"#N/A")</f>
        <v>#N/A</v>
      </c>
      <c r="AC554" s="34">
        <f>IFERROR(__xludf.DUMMYFUNCTION("IFERROR(VALUE(REGEXEXTRACT(I554, ""No\.? of [Ss]ubs:\s*(\d+)"")), 0) + IFERROR(VALUE(REGEXEXTRACT(I554, ""Affected Users(?:\s*\(From IM\))?:?\s*(\d+)"")), 0) + IFERROR(VALUE(REGEXEXTRACT(I554, ""Affected Clients:\s*(\d+)"")), 0)"),0.0)</f>
        <v>0</v>
      </c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33" t="str">
        <f>IFERROR(__xludf.DUMMYFUNCTION("LEN(REGEXREPLACE(REGEXREPLACE(REGEXEXTRACT(I555, ""(?s)Affected Nodes/Links(.*)""), ""https://[^\s]+"", """"), ""[^/]"", """")) / 2"),"#N/A")</f>
        <v>#N/A</v>
      </c>
      <c r="AC555" s="34">
        <f>IFERROR(__xludf.DUMMYFUNCTION("IFERROR(VALUE(REGEXEXTRACT(I555, ""No\.? of [Ss]ubs:\s*(\d+)"")), 0) + IFERROR(VALUE(REGEXEXTRACT(I555, ""Affected Users(?:\s*\(From IM\))?:?\s*(\d+)"")), 0) + IFERROR(VALUE(REGEXEXTRACT(I555, ""Affected Clients:\s*(\d+)"")), 0)"),0.0)</f>
        <v>0</v>
      </c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33" t="str">
        <f>IFERROR(__xludf.DUMMYFUNCTION("LEN(REGEXREPLACE(REGEXREPLACE(REGEXEXTRACT(I556, ""(?s)Affected Nodes/Links(.*)""), ""https://[^\s]+"", """"), ""[^/]"", """")) / 2"),"#N/A")</f>
        <v>#N/A</v>
      </c>
      <c r="AC556" s="34">
        <f>IFERROR(__xludf.DUMMYFUNCTION("IFERROR(VALUE(REGEXEXTRACT(I556, ""No\.? of [Ss]ubs:\s*(\d+)"")), 0) + IFERROR(VALUE(REGEXEXTRACT(I556, ""Affected Users(?:\s*\(From IM\))?:?\s*(\d+)"")), 0) + IFERROR(VALUE(REGEXEXTRACT(I556, ""Affected Clients:\s*(\d+)"")), 0)"),0.0)</f>
        <v>0</v>
      </c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33" t="str">
        <f>IFERROR(__xludf.DUMMYFUNCTION("LEN(REGEXREPLACE(REGEXREPLACE(REGEXEXTRACT(I557, ""(?s)Affected Nodes/Links(.*)""), ""https://[^\s]+"", """"), ""[^/]"", """")) / 2"),"#N/A")</f>
        <v>#N/A</v>
      </c>
      <c r="AC557" s="34">
        <f>IFERROR(__xludf.DUMMYFUNCTION("IFERROR(VALUE(REGEXEXTRACT(I557, ""No\.? of [Ss]ubs:\s*(\d+)"")), 0) + IFERROR(VALUE(REGEXEXTRACT(I557, ""Affected Users(?:\s*\(From IM\))?:?\s*(\d+)"")), 0) + IFERROR(VALUE(REGEXEXTRACT(I557, ""Affected Clients:\s*(\d+)"")), 0)"),0.0)</f>
        <v>0</v>
      </c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33" t="str">
        <f>IFERROR(__xludf.DUMMYFUNCTION("LEN(REGEXREPLACE(REGEXREPLACE(REGEXEXTRACT(I558, ""(?s)Affected Nodes/Links(.*)""), ""https://[^\s]+"", """"), ""[^/]"", """")) / 2"),"#N/A")</f>
        <v>#N/A</v>
      </c>
      <c r="AC558" s="34">
        <f>IFERROR(__xludf.DUMMYFUNCTION("IFERROR(VALUE(REGEXEXTRACT(I558, ""No\.? of [Ss]ubs:\s*(\d+)"")), 0) + IFERROR(VALUE(REGEXEXTRACT(I558, ""Affected Users(?:\s*\(From IM\))?:?\s*(\d+)"")), 0) + IFERROR(VALUE(REGEXEXTRACT(I558, ""Affected Clients:\s*(\d+)"")), 0)"),0.0)</f>
        <v>0</v>
      </c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33" t="str">
        <f>IFERROR(__xludf.DUMMYFUNCTION("LEN(REGEXREPLACE(REGEXREPLACE(REGEXEXTRACT(I559, ""(?s)Affected Nodes/Links(.*)""), ""https://[^\s]+"", """"), ""[^/]"", """")) / 2"),"#N/A")</f>
        <v>#N/A</v>
      </c>
      <c r="AC559" s="34">
        <f>IFERROR(__xludf.DUMMYFUNCTION("IFERROR(VALUE(REGEXEXTRACT(I559, ""No\.? of [Ss]ubs:\s*(\d+)"")), 0) + IFERROR(VALUE(REGEXEXTRACT(I559, ""Affected Users(?:\s*\(From IM\))?:?\s*(\d+)"")), 0) + IFERROR(VALUE(REGEXEXTRACT(I559, ""Affected Clients:\s*(\d+)"")), 0)"),0.0)</f>
        <v>0</v>
      </c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33" t="str">
        <f>IFERROR(__xludf.DUMMYFUNCTION("LEN(REGEXREPLACE(REGEXREPLACE(REGEXEXTRACT(I560, ""(?s)Affected Nodes/Links(.*)""), ""https://[^\s]+"", """"), ""[^/]"", """")) / 2"),"#N/A")</f>
        <v>#N/A</v>
      </c>
      <c r="AC560" s="34">
        <f>IFERROR(__xludf.DUMMYFUNCTION("IFERROR(VALUE(REGEXEXTRACT(I560, ""No\.? of [Ss]ubs:\s*(\d+)"")), 0) + IFERROR(VALUE(REGEXEXTRACT(I560, ""Affected Users(?:\s*\(From IM\))?:?\s*(\d+)"")), 0) + IFERROR(VALUE(REGEXEXTRACT(I560, ""Affected Clients:\s*(\d+)"")), 0)"),0.0)</f>
        <v>0</v>
      </c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33" t="str">
        <f>IFERROR(__xludf.DUMMYFUNCTION("LEN(REGEXREPLACE(REGEXREPLACE(REGEXEXTRACT(I561, ""(?s)Affected Nodes/Links(.*)""), ""https://[^\s]+"", """"), ""[^/]"", """")) / 2"),"#N/A")</f>
        <v>#N/A</v>
      </c>
      <c r="AC561" s="34">
        <f>IFERROR(__xludf.DUMMYFUNCTION("IFERROR(VALUE(REGEXEXTRACT(I561, ""No\.? of [Ss]ubs:\s*(\d+)"")), 0) + IFERROR(VALUE(REGEXEXTRACT(I561, ""Affected Users(?:\s*\(From IM\))?:?\s*(\d+)"")), 0) + IFERROR(VALUE(REGEXEXTRACT(I561, ""Affected Clients:\s*(\d+)"")), 0)"),0.0)</f>
        <v>0</v>
      </c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33" t="str">
        <f>IFERROR(__xludf.DUMMYFUNCTION("LEN(REGEXREPLACE(REGEXREPLACE(REGEXEXTRACT(I562, ""(?s)Affected Nodes/Links(.*)""), ""https://[^\s]+"", """"), ""[^/]"", """")) / 2"),"#N/A")</f>
        <v>#N/A</v>
      </c>
      <c r="AC562" s="34">
        <f>IFERROR(__xludf.DUMMYFUNCTION("IFERROR(VALUE(REGEXEXTRACT(I562, ""No\.? of [Ss]ubs:\s*(\d+)"")), 0) + IFERROR(VALUE(REGEXEXTRACT(I562, ""Affected Users(?:\s*\(From IM\))?:?\s*(\d+)"")), 0) + IFERROR(VALUE(REGEXEXTRACT(I562, ""Affected Clients:\s*(\d+)"")), 0)"),0.0)</f>
        <v>0</v>
      </c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33" t="str">
        <f>IFERROR(__xludf.DUMMYFUNCTION("LEN(REGEXREPLACE(REGEXREPLACE(REGEXEXTRACT(I563, ""(?s)Affected Nodes/Links(.*)""), ""https://[^\s]+"", """"), ""[^/]"", """")) / 2"),"#N/A")</f>
        <v>#N/A</v>
      </c>
      <c r="AC563" s="34">
        <f>IFERROR(__xludf.DUMMYFUNCTION("IFERROR(VALUE(REGEXEXTRACT(I563, ""No\.? of [Ss]ubs:\s*(\d+)"")), 0) + IFERROR(VALUE(REGEXEXTRACT(I563, ""Affected Users(?:\s*\(From IM\))?:?\s*(\d+)"")), 0) + IFERROR(VALUE(REGEXEXTRACT(I563, ""Affected Clients:\s*(\d+)"")), 0)"),0.0)</f>
        <v>0</v>
      </c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33" t="str">
        <f>IFERROR(__xludf.DUMMYFUNCTION("LEN(REGEXREPLACE(REGEXREPLACE(REGEXEXTRACT(I564, ""(?s)Affected Nodes/Links(.*)""), ""https://[^\s]+"", """"), ""[^/]"", """")) / 2"),"#N/A")</f>
        <v>#N/A</v>
      </c>
      <c r="AC564" s="34">
        <f>IFERROR(__xludf.DUMMYFUNCTION("IFERROR(VALUE(REGEXEXTRACT(I564, ""No\.? of [Ss]ubs:\s*(\d+)"")), 0) + IFERROR(VALUE(REGEXEXTRACT(I564, ""Affected Users(?:\s*\(From IM\))?:?\s*(\d+)"")), 0) + IFERROR(VALUE(REGEXEXTRACT(I564, ""Affected Clients:\s*(\d+)"")), 0)"),0.0)</f>
        <v>0</v>
      </c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33" t="str">
        <f>IFERROR(__xludf.DUMMYFUNCTION("LEN(REGEXREPLACE(REGEXREPLACE(REGEXEXTRACT(I565, ""(?s)Affected Nodes/Links(.*)""), ""https://[^\s]+"", """"), ""[^/]"", """")) / 2"),"#N/A")</f>
        <v>#N/A</v>
      </c>
      <c r="AC565" s="34">
        <f>IFERROR(__xludf.DUMMYFUNCTION("IFERROR(VALUE(REGEXEXTRACT(I565, ""No\.? of [Ss]ubs:\s*(\d+)"")), 0) + IFERROR(VALUE(REGEXEXTRACT(I565, ""Affected Users(?:\s*\(From IM\))?:?\s*(\d+)"")), 0) + IFERROR(VALUE(REGEXEXTRACT(I565, ""Affected Clients:\s*(\d+)"")), 0)"),0.0)</f>
        <v>0</v>
      </c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33" t="str">
        <f>IFERROR(__xludf.DUMMYFUNCTION("LEN(REGEXREPLACE(REGEXREPLACE(REGEXEXTRACT(I566, ""(?s)Affected Nodes/Links(.*)""), ""https://[^\s]+"", """"), ""[^/]"", """")) / 2"),"#N/A")</f>
        <v>#N/A</v>
      </c>
      <c r="AC566" s="34">
        <f>IFERROR(__xludf.DUMMYFUNCTION("IFERROR(VALUE(REGEXEXTRACT(I566, ""No\.? of [Ss]ubs:\s*(\d+)"")), 0) + IFERROR(VALUE(REGEXEXTRACT(I566, ""Affected Users(?:\s*\(From IM\))?:?\s*(\d+)"")), 0) + IFERROR(VALUE(REGEXEXTRACT(I566, ""Affected Clients:\s*(\d+)"")), 0)"),0.0)</f>
        <v>0</v>
      </c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33" t="str">
        <f>IFERROR(__xludf.DUMMYFUNCTION("LEN(REGEXREPLACE(REGEXREPLACE(REGEXEXTRACT(I567, ""(?s)Affected Nodes/Links(.*)""), ""https://[^\s]+"", """"), ""[^/]"", """")) / 2"),"#N/A")</f>
        <v>#N/A</v>
      </c>
      <c r="AC567" s="34">
        <f>IFERROR(__xludf.DUMMYFUNCTION("IFERROR(VALUE(REGEXEXTRACT(I567, ""No\.? of [Ss]ubs:\s*(\d+)"")), 0) + IFERROR(VALUE(REGEXEXTRACT(I567, ""Affected Users(?:\s*\(From IM\))?:?\s*(\d+)"")), 0) + IFERROR(VALUE(REGEXEXTRACT(I567, ""Affected Clients:\s*(\d+)"")), 0)"),0.0)</f>
        <v>0</v>
      </c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33" t="str">
        <f>IFERROR(__xludf.DUMMYFUNCTION("LEN(REGEXREPLACE(REGEXREPLACE(REGEXEXTRACT(I568, ""(?s)Affected Nodes/Links(.*)""), ""https://[^\s]+"", """"), ""[^/]"", """")) / 2"),"#N/A")</f>
        <v>#N/A</v>
      </c>
      <c r="AC568" s="34">
        <f>IFERROR(__xludf.DUMMYFUNCTION("IFERROR(VALUE(REGEXEXTRACT(I568, ""No\.? of [Ss]ubs:\s*(\d+)"")), 0) + IFERROR(VALUE(REGEXEXTRACT(I568, ""Affected Users(?:\s*\(From IM\))?:?\s*(\d+)"")), 0) + IFERROR(VALUE(REGEXEXTRACT(I568, ""Affected Clients:\s*(\d+)"")), 0)"),0.0)</f>
        <v>0</v>
      </c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33" t="str">
        <f>IFERROR(__xludf.DUMMYFUNCTION("LEN(REGEXREPLACE(REGEXREPLACE(REGEXEXTRACT(I569, ""(?s)Affected Nodes/Links(.*)""), ""https://[^\s]+"", """"), ""[^/]"", """")) / 2"),"#N/A")</f>
        <v>#N/A</v>
      </c>
      <c r="AC569" s="34">
        <f>IFERROR(__xludf.DUMMYFUNCTION("IFERROR(VALUE(REGEXEXTRACT(I569, ""No\.? of [Ss]ubs:\s*(\d+)"")), 0) + IFERROR(VALUE(REGEXEXTRACT(I569, ""Affected Users(?:\s*\(From IM\))?:?\s*(\d+)"")), 0) + IFERROR(VALUE(REGEXEXTRACT(I569, ""Affected Clients:\s*(\d+)"")), 0)"),0.0)</f>
        <v>0</v>
      </c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33" t="str">
        <f>IFERROR(__xludf.DUMMYFUNCTION("LEN(REGEXREPLACE(REGEXREPLACE(REGEXEXTRACT(I570, ""(?s)Affected Nodes/Links(.*)""), ""https://[^\s]+"", """"), ""[^/]"", """")) / 2"),"#N/A")</f>
        <v>#N/A</v>
      </c>
      <c r="AC570" s="34">
        <f>IFERROR(__xludf.DUMMYFUNCTION("IFERROR(VALUE(REGEXEXTRACT(I570, ""No\.? of [Ss]ubs:\s*(\d+)"")), 0) + IFERROR(VALUE(REGEXEXTRACT(I570, ""Affected Users(?:\s*\(From IM\))?:?\s*(\d+)"")), 0) + IFERROR(VALUE(REGEXEXTRACT(I570, ""Affected Clients:\s*(\d+)"")), 0)"),0.0)</f>
        <v>0</v>
      </c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33" t="str">
        <f>IFERROR(__xludf.DUMMYFUNCTION("LEN(REGEXREPLACE(REGEXREPLACE(REGEXEXTRACT(I571, ""(?s)Affected Nodes/Links(.*)""), ""https://[^\s]+"", """"), ""[^/]"", """")) / 2"),"#N/A")</f>
        <v>#N/A</v>
      </c>
      <c r="AC571" s="34">
        <f>IFERROR(__xludf.DUMMYFUNCTION("IFERROR(VALUE(REGEXEXTRACT(I571, ""No\.? of [Ss]ubs:\s*(\d+)"")), 0) + IFERROR(VALUE(REGEXEXTRACT(I571, ""Affected Users(?:\s*\(From IM\))?:?\s*(\d+)"")), 0) + IFERROR(VALUE(REGEXEXTRACT(I571, ""Affected Clients:\s*(\d+)"")), 0)"),0.0)</f>
        <v>0</v>
      </c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33" t="str">
        <f>IFERROR(__xludf.DUMMYFUNCTION("LEN(REGEXREPLACE(REGEXREPLACE(REGEXEXTRACT(I572, ""(?s)Affected Nodes/Links(.*)""), ""https://[^\s]+"", """"), ""[^/]"", """")) / 2"),"#N/A")</f>
        <v>#N/A</v>
      </c>
      <c r="AC572" s="34">
        <f>IFERROR(__xludf.DUMMYFUNCTION("IFERROR(VALUE(REGEXEXTRACT(I572, ""No\.? of [Ss]ubs:\s*(\d+)"")), 0) + IFERROR(VALUE(REGEXEXTRACT(I572, ""Affected Users(?:\s*\(From IM\))?:?\s*(\d+)"")), 0) + IFERROR(VALUE(REGEXEXTRACT(I572, ""Affected Clients:\s*(\d+)"")), 0)"),0.0)</f>
        <v>0</v>
      </c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33" t="str">
        <f>IFERROR(__xludf.DUMMYFUNCTION("LEN(REGEXREPLACE(REGEXREPLACE(REGEXEXTRACT(I573, ""(?s)Affected Nodes/Links(.*)""), ""https://[^\s]+"", """"), ""[^/]"", """")) / 2"),"#N/A")</f>
        <v>#N/A</v>
      </c>
      <c r="AC573" s="34">
        <f>IFERROR(__xludf.DUMMYFUNCTION("IFERROR(VALUE(REGEXEXTRACT(I573, ""No\.? of [Ss]ubs:\s*(\d+)"")), 0) + IFERROR(VALUE(REGEXEXTRACT(I573, ""Affected Users(?:\s*\(From IM\))?:?\s*(\d+)"")), 0) + IFERROR(VALUE(REGEXEXTRACT(I573, ""Affected Clients:\s*(\d+)"")), 0)"),0.0)</f>
        <v>0</v>
      </c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33" t="str">
        <f>IFERROR(__xludf.DUMMYFUNCTION("LEN(REGEXREPLACE(REGEXREPLACE(REGEXEXTRACT(I574, ""(?s)Affected Nodes/Links(.*)""), ""https://[^\s]+"", """"), ""[^/]"", """")) / 2"),"#N/A")</f>
        <v>#N/A</v>
      </c>
      <c r="AC574" s="34">
        <f>IFERROR(__xludf.DUMMYFUNCTION("IFERROR(VALUE(REGEXEXTRACT(I574, ""No\.? of [Ss]ubs:\s*(\d+)"")), 0) + IFERROR(VALUE(REGEXEXTRACT(I574, ""Affected Users(?:\s*\(From IM\))?:?\s*(\d+)"")), 0) + IFERROR(VALUE(REGEXEXTRACT(I574, ""Affected Clients:\s*(\d+)"")), 0)"),0.0)</f>
        <v>0</v>
      </c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33" t="str">
        <f>IFERROR(__xludf.DUMMYFUNCTION("LEN(REGEXREPLACE(REGEXREPLACE(REGEXEXTRACT(I575, ""(?s)Affected Nodes/Links(.*)""), ""https://[^\s]+"", """"), ""[^/]"", """")) / 2"),"#N/A")</f>
        <v>#N/A</v>
      </c>
      <c r="AC575" s="34">
        <f>IFERROR(__xludf.DUMMYFUNCTION("IFERROR(VALUE(REGEXEXTRACT(I575, ""No\.? of [Ss]ubs:\s*(\d+)"")), 0) + IFERROR(VALUE(REGEXEXTRACT(I575, ""Affected Users(?:\s*\(From IM\))?:?\s*(\d+)"")), 0) + IFERROR(VALUE(REGEXEXTRACT(I575, ""Affected Clients:\s*(\d+)"")), 0)"),0.0)</f>
        <v>0</v>
      </c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33" t="str">
        <f>IFERROR(__xludf.DUMMYFUNCTION("LEN(REGEXREPLACE(REGEXREPLACE(REGEXEXTRACT(I576, ""(?s)Affected Nodes/Links(.*)""), ""https://[^\s]+"", """"), ""[^/]"", """")) / 2"),"#N/A")</f>
        <v>#N/A</v>
      </c>
      <c r="AC576" s="34">
        <f>IFERROR(__xludf.DUMMYFUNCTION("IFERROR(VALUE(REGEXEXTRACT(I576, ""No\.? of [Ss]ubs:\s*(\d+)"")), 0) + IFERROR(VALUE(REGEXEXTRACT(I576, ""Affected Users(?:\s*\(From IM\))?:?\s*(\d+)"")), 0) + IFERROR(VALUE(REGEXEXTRACT(I576, ""Affected Clients:\s*(\d+)"")), 0)"),0.0)</f>
        <v>0</v>
      </c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33" t="str">
        <f>IFERROR(__xludf.DUMMYFUNCTION("LEN(REGEXREPLACE(REGEXREPLACE(REGEXEXTRACT(I577, ""(?s)Affected Nodes/Links(.*)""), ""https://[^\s]+"", """"), ""[^/]"", """")) / 2"),"#N/A")</f>
        <v>#N/A</v>
      </c>
      <c r="AC577" s="34">
        <f>IFERROR(__xludf.DUMMYFUNCTION("IFERROR(VALUE(REGEXEXTRACT(I577, ""No\.? of [Ss]ubs:\s*(\d+)"")), 0) + IFERROR(VALUE(REGEXEXTRACT(I577, ""Affected Users(?:\s*\(From IM\))?:?\s*(\d+)"")), 0) + IFERROR(VALUE(REGEXEXTRACT(I577, ""Affected Clients:\s*(\d+)"")), 0)"),0.0)</f>
        <v>0</v>
      </c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33" t="str">
        <f>IFERROR(__xludf.DUMMYFUNCTION("LEN(REGEXREPLACE(REGEXREPLACE(REGEXEXTRACT(I578, ""(?s)Affected Nodes/Links(.*)""), ""https://[^\s]+"", """"), ""[^/]"", """")) / 2"),"#N/A")</f>
        <v>#N/A</v>
      </c>
      <c r="AC578" s="34">
        <f>IFERROR(__xludf.DUMMYFUNCTION("IFERROR(VALUE(REGEXEXTRACT(I578, ""No\.? of [Ss]ubs:\s*(\d+)"")), 0) + IFERROR(VALUE(REGEXEXTRACT(I578, ""Affected Users(?:\s*\(From IM\))?:?\s*(\d+)"")), 0) + IFERROR(VALUE(REGEXEXTRACT(I578, ""Affected Clients:\s*(\d+)"")), 0)"),0.0)</f>
        <v>0</v>
      </c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33" t="str">
        <f>IFERROR(__xludf.DUMMYFUNCTION("LEN(REGEXREPLACE(REGEXREPLACE(REGEXEXTRACT(I579, ""(?s)Affected Nodes/Links(.*)""), ""https://[^\s]+"", """"), ""[^/]"", """")) / 2"),"#N/A")</f>
        <v>#N/A</v>
      </c>
      <c r="AC579" s="34">
        <f>IFERROR(__xludf.DUMMYFUNCTION("IFERROR(VALUE(REGEXEXTRACT(I579, ""No\.? of [Ss]ubs:\s*(\d+)"")), 0) + IFERROR(VALUE(REGEXEXTRACT(I579, ""Affected Users(?:\s*\(From IM\))?:?\s*(\d+)"")), 0) + IFERROR(VALUE(REGEXEXTRACT(I579, ""Affected Clients:\s*(\d+)"")), 0)"),0.0)</f>
        <v>0</v>
      </c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33" t="str">
        <f>IFERROR(__xludf.DUMMYFUNCTION("LEN(REGEXREPLACE(REGEXREPLACE(REGEXEXTRACT(I580, ""(?s)Affected Nodes/Links(.*)""), ""https://[^\s]+"", """"), ""[^/]"", """")) / 2"),"#N/A")</f>
        <v>#N/A</v>
      </c>
      <c r="AC580" s="34">
        <f>IFERROR(__xludf.DUMMYFUNCTION("IFERROR(VALUE(REGEXEXTRACT(I580, ""No\.? of [Ss]ubs:\s*(\d+)"")), 0) + IFERROR(VALUE(REGEXEXTRACT(I580, ""Affected Users(?:\s*\(From IM\))?:?\s*(\d+)"")), 0) + IFERROR(VALUE(REGEXEXTRACT(I580, ""Affected Clients:\s*(\d+)"")), 0)"),0.0)</f>
        <v>0</v>
      </c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33" t="str">
        <f>IFERROR(__xludf.DUMMYFUNCTION("LEN(REGEXREPLACE(REGEXREPLACE(REGEXEXTRACT(I581, ""(?s)Affected Nodes/Links(.*)""), ""https://[^\s]+"", """"), ""[^/]"", """")) / 2"),"#N/A")</f>
        <v>#N/A</v>
      </c>
      <c r="AC581" s="34">
        <f>IFERROR(__xludf.DUMMYFUNCTION("IFERROR(VALUE(REGEXEXTRACT(I581, ""No\.? of [Ss]ubs:\s*(\d+)"")), 0) + IFERROR(VALUE(REGEXEXTRACT(I581, ""Affected Users(?:\s*\(From IM\))?:?\s*(\d+)"")), 0) + IFERROR(VALUE(REGEXEXTRACT(I581, ""Affected Clients:\s*(\d+)"")), 0)"),0.0)</f>
        <v>0</v>
      </c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33" t="str">
        <f>IFERROR(__xludf.DUMMYFUNCTION("LEN(REGEXREPLACE(REGEXREPLACE(REGEXEXTRACT(I582, ""(?s)Affected Nodes/Links(.*)""), ""https://[^\s]+"", """"), ""[^/]"", """")) / 2"),"#N/A")</f>
        <v>#N/A</v>
      </c>
      <c r="AC582" s="34">
        <f>IFERROR(__xludf.DUMMYFUNCTION("IFERROR(VALUE(REGEXEXTRACT(I582, ""No\.? of [Ss]ubs:\s*(\d+)"")), 0) + IFERROR(VALUE(REGEXEXTRACT(I582, ""Affected Users(?:\s*\(From IM\))?:?\s*(\d+)"")), 0) + IFERROR(VALUE(REGEXEXTRACT(I582, ""Affected Clients:\s*(\d+)"")), 0)"),0.0)</f>
        <v>0</v>
      </c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33" t="str">
        <f>IFERROR(__xludf.DUMMYFUNCTION("LEN(REGEXREPLACE(REGEXREPLACE(REGEXEXTRACT(I583, ""(?s)Affected Nodes/Links(.*)""), ""https://[^\s]+"", """"), ""[^/]"", """")) / 2"),"#N/A")</f>
        <v>#N/A</v>
      </c>
      <c r="AC583" s="34">
        <f>IFERROR(__xludf.DUMMYFUNCTION("IFERROR(VALUE(REGEXEXTRACT(I583, ""No\.? of [Ss]ubs:\s*(\d+)"")), 0) + IFERROR(VALUE(REGEXEXTRACT(I583, ""Affected Users(?:\s*\(From IM\))?:?\s*(\d+)"")), 0) + IFERROR(VALUE(REGEXEXTRACT(I583, ""Affected Clients:\s*(\d+)"")), 0)"),0.0)</f>
        <v>0</v>
      </c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33" t="str">
        <f>IFERROR(__xludf.DUMMYFUNCTION("LEN(REGEXREPLACE(REGEXREPLACE(REGEXEXTRACT(I584, ""(?s)Affected Nodes/Links(.*)""), ""https://[^\s]+"", """"), ""[^/]"", """")) / 2"),"#N/A")</f>
        <v>#N/A</v>
      </c>
      <c r="AC584" s="34">
        <f>IFERROR(__xludf.DUMMYFUNCTION("IFERROR(VALUE(REGEXEXTRACT(I584, ""No\.? of [Ss]ubs:\s*(\d+)"")), 0) + IFERROR(VALUE(REGEXEXTRACT(I584, ""Affected Users(?:\s*\(From IM\))?:?\s*(\d+)"")), 0) + IFERROR(VALUE(REGEXEXTRACT(I584, ""Affected Clients:\s*(\d+)"")), 0)"),0.0)</f>
        <v>0</v>
      </c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33" t="str">
        <f>IFERROR(__xludf.DUMMYFUNCTION("LEN(REGEXREPLACE(REGEXREPLACE(REGEXEXTRACT(I585, ""(?s)Affected Nodes/Links(.*)""), ""https://[^\s]+"", """"), ""[^/]"", """")) / 2"),"#N/A")</f>
        <v>#N/A</v>
      </c>
      <c r="AC585" s="34">
        <f>IFERROR(__xludf.DUMMYFUNCTION("IFERROR(VALUE(REGEXEXTRACT(I585, ""No\.? of [Ss]ubs:\s*(\d+)"")), 0) + IFERROR(VALUE(REGEXEXTRACT(I585, ""Affected Users(?:\s*\(From IM\))?:?\s*(\d+)"")), 0) + IFERROR(VALUE(REGEXEXTRACT(I585, ""Affected Clients:\s*(\d+)"")), 0)"),0.0)</f>
        <v>0</v>
      </c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33" t="str">
        <f>IFERROR(__xludf.DUMMYFUNCTION("LEN(REGEXREPLACE(REGEXREPLACE(REGEXEXTRACT(I586, ""(?s)Affected Nodes/Links(.*)""), ""https://[^\s]+"", """"), ""[^/]"", """")) / 2"),"#N/A")</f>
        <v>#N/A</v>
      </c>
      <c r="AC586" s="34">
        <f>IFERROR(__xludf.DUMMYFUNCTION("IFERROR(VALUE(REGEXEXTRACT(I586, ""No\.? of [Ss]ubs:\s*(\d+)"")), 0) + IFERROR(VALUE(REGEXEXTRACT(I586, ""Affected Users(?:\s*\(From IM\))?:?\s*(\d+)"")), 0) + IFERROR(VALUE(REGEXEXTRACT(I586, ""Affected Clients:\s*(\d+)"")), 0)"),0.0)</f>
        <v>0</v>
      </c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33" t="str">
        <f>IFERROR(__xludf.DUMMYFUNCTION("LEN(REGEXREPLACE(REGEXREPLACE(REGEXEXTRACT(I587, ""(?s)Affected Nodes/Links(.*)""), ""https://[^\s]+"", """"), ""[^/]"", """")) / 2"),"#N/A")</f>
        <v>#N/A</v>
      </c>
      <c r="AC587" s="34">
        <f>IFERROR(__xludf.DUMMYFUNCTION("IFERROR(VALUE(REGEXEXTRACT(I587, ""No\.? of [Ss]ubs:\s*(\d+)"")), 0) + IFERROR(VALUE(REGEXEXTRACT(I587, ""Affected Users(?:\s*\(From IM\))?:?\s*(\d+)"")), 0) + IFERROR(VALUE(REGEXEXTRACT(I587, ""Affected Clients:\s*(\d+)"")), 0)"),0.0)</f>
        <v>0</v>
      </c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33" t="str">
        <f>IFERROR(__xludf.DUMMYFUNCTION("LEN(REGEXREPLACE(REGEXREPLACE(REGEXEXTRACT(I588, ""(?s)Affected Nodes/Links(.*)""), ""https://[^\s]+"", """"), ""[^/]"", """")) / 2"),"#N/A")</f>
        <v>#N/A</v>
      </c>
      <c r="AC588" s="34">
        <f>IFERROR(__xludf.DUMMYFUNCTION("IFERROR(VALUE(REGEXEXTRACT(I588, ""No\.? of [Ss]ubs:\s*(\d+)"")), 0) + IFERROR(VALUE(REGEXEXTRACT(I588, ""Affected Users(?:\s*\(From IM\))?:?\s*(\d+)"")), 0) + IFERROR(VALUE(REGEXEXTRACT(I588, ""Affected Clients:\s*(\d+)"")), 0)"),0.0)</f>
        <v>0</v>
      </c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33" t="str">
        <f>IFERROR(__xludf.DUMMYFUNCTION("LEN(REGEXREPLACE(REGEXREPLACE(REGEXEXTRACT(I589, ""(?s)Affected Nodes/Links(.*)""), ""https://[^\s]+"", """"), ""[^/]"", """")) / 2"),"#N/A")</f>
        <v>#N/A</v>
      </c>
      <c r="AC589" s="34">
        <f>IFERROR(__xludf.DUMMYFUNCTION("IFERROR(VALUE(REGEXEXTRACT(I589, ""No\.? of [Ss]ubs:\s*(\d+)"")), 0) + IFERROR(VALUE(REGEXEXTRACT(I589, ""Affected Users(?:\s*\(From IM\))?:?\s*(\d+)"")), 0) + IFERROR(VALUE(REGEXEXTRACT(I589, ""Affected Clients:\s*(\d+)"")), 0)"),0.0)</f>
        <v>0</v>
      </c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33" t="str">
        <f>IFERROR(__xludf.DUMMYFUNCTION("LEN(REGEXREPLACE(REGEXREPLACE(REGEXEXTRACT(I590, ""(?s)Affected Nodes/Links(.*)""), ""https://[^\s]+"", """"), ""[^/]"", """")) / 2"),"#N/A")</f>
        <v>#N/A</v>
      </c>
      <c r="AC590" s="34">
        <f>IFERROR(__xludf.DUMMYFUNCTION("IFERROR(VALUE(REGEXEXTRACT(I590, ""No\.? of [Ss]ubs:\s*(\d+)"")), 0) + IFERROR(VALUE(REGEXEXTRACT(I590, ""Affected Users(?:\s*\(From IM\))?:?\s*(\d+)"")), 0) + IFERROR(VALUE(REGEXEXTRACT(I590, ""Affected Clients:\s*(\d+)"")), 0)"),0.0)</f>
        <v>0</v>
      </c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33" t="str">
        <f>IFERROR(__xludf.DUMMYFUNCTION("LEN(REGEXREPLACE(REGEXREPLACE(REGEXEXTRACT(I591, ""(?s)Affected Nodes/Links(.*)""), ""https://[^\s]+"", """"), ""[^/]"", """")) / 2"),"#N/A")</f>
        <v>#N/A</v>
      </c>
      <c r="AC591" s="34">
        <f>IFERROR(__xludf.DUMMYFUNCTION("IFERROR(VALUE(REGEXEXTRACT(I591, ""No\.? of [Ss]ubs:\s*(\d+)"")), 0) + IFERROR(VALUE(REGEXEXTRACT(I591, ""Affected Users(?:\s*\(From IM\))?:?\s*(\d+)"")), 0) + IFERROR(VALUE(REGEXEXTRACT(I591, ""Affected Clients:\s*(\d+)"")), 0)"),0.0)</f>
        <v>0</v>
      </c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33" t="str">
        <f>IFERROR(__xludf.DUMMYFUNCTION("LEN(REGEXREPLACE(REGEXREPLACE(REGEXEXTRACT(I592, ""(?s)Affected Nodes/Links(.*)""), ""https://[^\s]+"", """"), ""[^/]"", """")) / 2"),"#N/A")</f>
        <v>#N/A</v>
      </c>
      <c r="AC592" s="34">
        <f>IFERROR(__xludf.DUMMYFUNCTION("IFERROR(VALUE(REGEXEXTRACT(I592, ""No\.? of [Ss]ubs:\s*(\d+)"")), 0) + IFERROR(VALUE(REGEXEXTRACT(I592, ""Affected Users(?:\s*\(From IM\))?:?\s*(\d+)"")), 0) + IFERROR(VALUE(REGEXEXTRACT(I592, ""Affected Clients:\s*(\d+)"")), 0)"),0.0)</f>
        <v>0</v>
      </c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33" t="str">
        <f>IFERROR(__xludf.DUMMYFUNCTION("LEN(REGEXREPLACE(REGEXREPLACE(REGEXEXTRACT(I593, ""(?s)Affected Nodes/Links(.*)""), ""https://[^\s]+"", """"), ""[^/]"", """")) / 2"),"#N/A")</f>
        <v>#N/A</v>
      </c>
      <c r="AC593" s="34">
        <f>IFERROR(__xludf.DUMMYFUNCTION("IFERROR(VALUE(REGEXEXTRACT(I593, ""No\.? of [Ss]ubs:\s*(\d+)"")), 0) + IFERROR(VALUE(REGEXEXTRACT(I593, ""Affected Users(?:\s*\(From IM\))?:?\s*(\d+)"")), 0) + IFERROR(VALUE(REGEXEXTRACT(I593, ""Affected Clients:\s*(\d+)"")), 0)"),0.0)</f>
        <v>0</v>
      </c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33" t="str">
        <f>IFERROR(__xludf.DUMMYFUNCTION("LEN(REGEXREPLACE(REGEXREPLACE(REGEXEXTRACT(I594, ""(?s)Affected Nodes/Links(.*)""), ""https://[^\s]+"", """"), ""[^/]"", """")) / 2"),"#N/A")</f>
        <v>#N/A</v>
      </c>
      <c r="AC594" s="34">
        <f>IFERROR(__xludf.DUMMYFUNCTION("IFERROR(VALUE(REGEXEXTRACT(I594, ""No\.? of [Ss]ubs:\s*(\d+)"")), 0) + IFERROR(VALUE(REGEXEXTRACT(I594, ""Affected Users(?:\s*\(From IM\))?:?\s*(\d+)"")), 0) + IFERROR(VALUE(REGEXEXTRACT(I594, ""Affected Clients:\s*(\d+)"")), 0)"),0.0)</f>
        <v>0</v>
      </c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33" t="str">
        <f>IFERROR(__xludf.DUMMYFUNCTION("LEN(REGEXREPLACE(REGEXREPLACE(REGEXEXTRACT(I595, ""(?s)Affected Nodes/Links(.*)""), ""https://[^\s]+"", """"), ""[^/]"", """")) / 2"),"#N/A")</f>
        <v>#N/A</v>
      </c>
      <c r="AC595" s="34">
        <f>IFERROR(__xludf.DUMMYFUNCTION("IFERROR(VALUE(REGEXEXTRACT(I595, ""No\.? of [Ss]ubs:\s*(\d+)"")), 0) + IFERROR(VALUE(REGEXEXTRACT(I595, ""Affected Users(?:\s*\(From IM\))?:?\s*(\d+)"")), 0) + IFERROR(VALUE(REGEXEXTRACT(I595, ""Affected Clients:\s*(\d+)"")), 0)"),0.0)</f>
        <v>0</v>
      </c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33" t="str">
        <f>IFERROR(__xludf.DUMMYFUNCTION("LEN(REGEXREPLACE(REGEXREPLACE(REGEXEXTRACT(I596, ""(?s)Affected Nodes/Links(.*)""), ""https://[^\s]+"", """"), ""[^/]"", """")) / 2"),"#N/A")</f>
        <v>#N/A</v>
      </c>
      <c r="AC596" s="34">
        <f>IFERROR(__xludf.DUMMYFUNCTION("IFERROR(VALUE(REGEXEXTRACT(I596, ""No\.? of [Ss]ubs:\s*(\d+)"")), 0) + IFERROR(VALUE(REGEXEXTRACT(I596, ""Affected Users(?:\s*\(From IM\))?:?\s*(\d+)"")), 0) + IFERROR(VALUE(REGEXEXTRACT(I596, ""Affected Clients:\s*(\d+)"")), 0)"),0.0)</f>
        <v>0</v>
      </c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33" t="str">
        <f>IFERROR(__xludf.DUMMYFUNCTION("LEN(REGEXREPLACE(REGEXREPLACE(REGEXEXTRACT(I597, ""(?s)Affected Nodes/Links(.*)""), ""https://[^\s]+"", """"), ""[^/]"", """")) / 2"),"#N/A")</f>
        <v>#N/A</v>
      </c>
      <c r="AC597" s="34">
        <f>IFERROR(__xludf.DUMMYFUNCTION("IFERROR(VALUE(REGEXEXTRACT(I597, ""No\.? of [Ss]ubs:\s*(\d+)"")), 0) + IFERROR(VALUE(REGEXEXTRACT(I597, ""Affected Users(?:\s*\(From IM\))?:?\s*(\d+)"")), 0) + IFERROR(VALUE(REGEXEXTRACT(I597, ""Affected Clients:\s*(\d+)"")), 0)"),0.0)</f>
        <v>0</v>
      </c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33" t="str">
        <f>IFERROR(__xludf.DUMMYFUNCTION("LEN(REGEXREPLACE(REGEXREPLACE(REGEXEXTRACT(I598, ""(?s)Affected Nodes/Links(.*)""), ""https://[^\s]+"", """"), ""[^/]"", """")) / 2"),"#N/A")</f>
        <v>#N/A</v>
      </c>
      <c r="AC598" s="34">
        <f>IFERROR(__xludf.DUMMYFUNCTION("IFERROR(VALUE(REGEXEXTRACT(I598, ""No\.? of [Ss]ubs:\s*(\d+)"")), 0) + IFERROR(VALUE(REGEXEXTRACT(I598, ""Affected Users(?:\s*\(From IM\))?:?\s*(\d+)"")), 0) + IFERROR(VALUE(REGEXEXTRACT(I598, ""Affected Clients:\s*(\d+)"")), 0)"),0.0)</f>
        <v>0</v>
      </c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33" t="str">
        <f>IFERROR(__xludf.DUMMYFUNCTION("LEN(REGEXREPLACE(REGEXREPLACE(REGEXEXTRACT(I599, ""(?s)Affected Nodes/Links(.*)""), ""https://[^\s]+"", """"), ""[^/]"", """")) / 2"),"#N/A")</f>
        <v>#N/A</v>
      </c>
      <c r="AC599" s="34">
        <f>IFERROR(__xludf.DUMMYFUNCTION("IFERROR(VALUE(REGEXEXTRACT(I599, ""No\.? of [Ss]ubs:\s*(\d+)"")), 0) + IFERROR(VALUE(REGEXEXTRACT(I599, ""Affected Users(?:\s*\(From IM\))?:?\s*(\d+)"")), 0) + IFERROR(VALUE(REGEXEXTRACT(I599, ""Affected Clients:\s*(\d+)"")), 0)"),0.0)</f>
        <v>0</v>
      </c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33" t="str">
        <f>IFERROR(__xludf.DUMMYFUNCTION("LEN(REGEXREPLACE(REGEXREPLACE(REGEXEXTRACT(I600, ""(?s)Affected Nodes/Links(.*)""), ""https://[^\s]+"", """"), ""[^/]"", """")) / 2"),"#N/A")</f>
        <v>#N/A</v>
      </c>
      <c r="AC600" s="34">
        <f>IFERROR(__xludf.DUMMYFUNCTION("IFERROR(VALUE(REGEXEXTRACT(I600, ""No\.? of [Ss]ubs:\s*(\d+)"")), 0) + IFERROR(VALUE(REGEXEXTRACT(I600, ""Affected Users(?:\s*\(From IM\))?:?\s*(\d+)"")), 0) + IFERROR(VALUE(REGEXEXTRACT(I600, ""Affected Clients:\s*(\d+)"")), 0)"),0.0)</f>
        <v>0</v>
      </c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33" t="str">
        <f>IFERROR(__xludf.DUMMYFUNCTION("LEN(REGEXREPLACE(REGEXREPLACE(REGEXEXTRACT(I601, ""(?s)Affected Nodes/Links(.*)""), ""https://[^\s]+"", """"), ""[^/]"", """")) / 2"),"#N/A")</f>
        <v>#N/A</v>
      </c>
      <c r="AC601" s="34">
        <f>IFERROR(__xludf.DUMMYFUNCTION("IFERROR(VALUE(REGEXEXTRACT(I601, ""No\.? of [Ss]ubs:\s*(\d+)"")), 0) + IFERROR(VALUE(REGEXEXTRACT(I601, ""Affected Users(?:\s*\(From IM\))?:?\s*(\d+)"")), 0) + IFERROR(VALUE(REGEXEXTRACT(I601, ""Affected Clients:\s*(\d+)"")), 0)"),0.0)</f>
        <v>0</v>
      </c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33" t="str">
        <f>IFERROR(__xludf.DUMMYFUNCTION("LEN(REGEXREPLACE(REGEXREPLACE(REGEXEXTRACT(I602, ""(?s)Affected Nodes/Links(.*)""), ""https://[^\s]+"", """"), ""[^/]"", """")) / 2"),"#N/A")</f>
        <v>#N/A</v>
      </c>
      <c r="AC602" s="34">
        <f>IFERROR(__xludf.DUMMYFUNCTION("IFERROR(VALUE(REGEXEXTRACT(I602, ""No\.? of [Ss]ubs:\s*(\d+)"")), 0) + IFERROR(VALUE(REGEXEXTRACT(I602, ""Affected Users(?:\s*\(From IM\))?:?\s*(\d+)"")), 0) + IFERROR(VALUE(REGEXEXTRACT(I602, ""Affected Clients:\s*(\d+)"")), 0)"),0.0)</f>
        <v>0</v>
      </c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33" t="str">
        <f>IFERROR(__xludf.DUMMYFUNCTION("LEN(REGEXREPLACE(REGEXREPLACE(REGEXEXTRACT(I603, ""(?s)Affected Nodes/Links(.*)""), ""https://[^\s]+"", """"), ""[^/]"", """")) / 2"),"#N/A")</f>
        <v>#N/A</v>
      </c>
      <c r="AC603" s="34">
        <f>IFERROR(__xludf.DUMMYFUNCTION("IFERROR(VALUE(REGEXEXTRACT(I603, ""No\.? of [Ss]ubs:\s*(\d+)"")), 0) + IFERROR(VALUE(REGEXEXTRACT(I603, ""Affected Users(?:\s*\(From IM\))?:?\s*(\d+)"")), 0) + IFERROR(VALUE(REGEXEXTRACT(I603, ""Affected Clients:\s*(\d+)"")), 0)"),0.0)</f>
        <v>0</v>
      </c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33" t="str">
        <f>IFERROR(__xludf.DUMMYFUNCTION("LEN(REGEXREPLACE(REGEXREPLACE(REGEXEXTRACT(I604, ""(?s)Affected Nodes/Links(.*)""), ""https://[^\s]+"", """"), ""[^/]"", """")) / 2"),"#N/A")</f>
        <v>#N/A</v>
      </c>
      <c r="AC604" s="34">
        <f>IFERROR(__xludf.DUMMYFUNCTION("IFERROR(VALUE(REGEXEXTRACT(I604, ""No\.? of [Ss]ubs:\s*(\d+)"")), 0) + IFERROR(VALUE(REGEXEXTRACT(I604, ""Affected Users(?:\s*\(From IM\))?:?\s*(\d+)"")), 0) + IFERROR(VALUE(REGEXEXTRACT(I604, ""Affected Clients:\s*(\d+)"")), 0)"),0.0)</f>
        <v>0</v>
      </c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33" t="str">
        <f>IFERROR(__xludf.DUMMYFUNCTION("LEN(REGEXREPLACE(REGEXREPLACE(REGEXEXTRACT(I605, ""(?s)Affected Nodes/Links(.*)""), ""https://[^\s]+"", """"), ""[^/]"", """")) / 2"),"#N/A")</f>
        <v>#N/A</v>
      </c>
      <c r="AC605" s="34">
        <f>IFERROR(__xludf.DUMMYFUNCTION("IFERROR(VALUE(REGEXEXTRACT(I605, ""No\.? of [Ss]ubs:\s*(\d+)"")), 0) + IFERROR(VALUE(REGEXEXTRACT(I605, ""Affected Users(?:\s*\(From IM\))?:?\s*(\d+)"")), 0) + IFERROR(VALUE(REGEXEXTRACT(I605, ""Affected Clients:\s*(\d+)"")), 0)"),0.0)</f>
        <v>0</v>
      </c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33" t="str">
        <f>IFERROR(__xludf.DUMMYFUNCTION("LEN(REGEXREPLACE(REGEXREPLACE(REGEXEXTRACT(I606, ""(?s)Affected Nodes/Links(.*)""), ""https://[^\s]+"", """"), ""[^/]"", """")) / 2"),"#N/A")</f>
        <v>#N/A</v>
      </c>
      <c r="AC606" s="34">
        <f>IFERROR(__xludf.DUMMYFUNCTION("IFERROR(VALUE(REGEXEXTRACT(I606, ""No\.? of [Ss]ubs:\s*(\d+)"")), 0) + IFERROR(VALUE(REGEXEXTRACT(I606, ""Affected Users(?:\s*\(From IM\))?:?\s*(\d+)"")), 0) + IFERROR(VALUE(REGEXEXTRACT(I606, ""Affected Clients:\s*(\d+)"")), 0)"),0.0)</f>
        <v>0</v>
      </c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33" t="str">
        <f>IFERROR(__xludf.DUMMYFUNCTION("LEN(REGEXREPLACE(REGEXREPLACE(REGEXEXTRACT(I607, ""(?s)Affected Nodes/Links(.*)""), ""https://[^\s]+"", """"), ""[^/]"", """")) / 2"),"#N/A")</f>
        <v>#N/A</v>
      </c>
      <c r="AC607" s="34">
        <f>IFERROR(__xludf.DUMMYFUNCTION("IFERROR(VALUE(REGEXEXTRACT(I607, ""No\.? of [Ss]ubs:\s*(\d+)"")), 0) + IFERROR(VALUE(REGEXEXTRACT(I607, ""Affected Users(?:\s*\(From IM\))?:?\s*(\d+)"")), 0) + IFERROR(VALUE(REGEXEXTRACT(I607, ""Affected Clients:\s*(\d+)"")), 0)"),0.0)</f>
        <v>0</v>
      </c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33" t="str">
        <f>IFERROR(__xludf.DUMMYFUNCTION("LEN(REGEXREPLACE(REGEXREPLACE(REGEXEXTRACT(I608, ""(?s)Affected Nodes/Links(.*)""), ""https://[^\s]+"", """"), ""[^/]"", """")) / 2"),"#N/A")</f>
        <v>#N/A</v>
      </c>
      <c r="AC608" s="34">
        <f>IFERROR(__xludf.DUMMYFUNCTION("IFERROR(VALUE(REGEXEXTRACT(I608, ""No\.? of [Ss]ubs:\s*(\d+)"")), 0) + IFERROR(VALUE(REGEXEXTRACT(I608, ""Affected Users(?:\s*\(From IM\))?:?\s*(\d+)"")), 0) + IFERROR(VALUE(REGEXEXTRACT(I608, ""Affected Clients:\s*(\d+)"")), 0)"),0.0)</f>
        <v>0</v>
      </c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33" t="str">
        <f>IFERROR(__xludf.DUMMYFUNCTION("LEN(REGEXREPLACE(REGEXREPLACE(REGEXEXTRACT(I609, ""(?s)Affected Nodes/Links(.*)""), ""https://[^\s]+"", """"), ""[^/]"", """")) / 2"),"#N/A")</f>
        <v>#N/A</v>
      </c>
      <c r="AC609" s="34">
        <f>IFERROR(__xludf.DUMMYFUNCTION("IFERROR(VALUE(REGEXEXTRACT(I609, ""No\.? of [Ss]ubs:\s*(\d+)"")), 0) + IFERROR(VALUE(REGEXEXTRACT(I609, ""Affected Users(?:\s*\(From IM\))?:?\s*(\d+)"")), 0) + IFERROR(VALUE(REGEXEXTRACT(I609, ""Affected Clients:\s*(\d+)"")), 0)"),0.0)</f>
        <v>0</v>
      </c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33" t="str">
        <f>IFERROR(__xludf.DUMMYFUNCTION("LEN(REGEXREPLACE(REGEXREPLACE(REGEXEXTRACT(I610, ""(?s)Affected Nodes/Links(.*)""), ""https://[^\s]+"", """"), ""[^/]"", """")) / 2"),"#N/A")</f>
        <v>#N/A</v>
      </c>
      <c r="AC610" s="34">
        <f>IFERROR(__xludf.DUMMYFUNCTION("IFERROR(VALUE(REGEXEXTRACT(I610, ""No\.? of [Ss]ubs:\s*(\d+)"")), 0) + IFERROR(VALUE(REGEXEXTRACT(I610, ""Affected Users(?:\s*\(From IM\))?:?\s*(\d+)"")), 0) + IFERROR(VALUE(REGEXEXTRACT(I610, ""Affected Clients:\s*(\d+)"")), 0)"),0.0)</f>
        <v>0</v>
      </c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33" t="str">
        <f>IFERROR(__xludf.DUMMYFUNCTION("LEN(REGEXREPLACE(REGEXREPLACE(REGEXEXTRACT(I611, ""(?s)Affected Nodes/Links(.*)""), ""https://[^\s]+"", """"), ""[^/]"", """")) / 2"),"#N/A")</f>
        <v>#N/A</v>
      </c>
      <c r="AC611" s="34">
        <f>IFERROR(__xludf.DUMMYFUNCTION("IFERROR(VALUE(REGEXEXTRACT(I611, ""No\.? of [Ss]ubs:\s*(\d+)"")), 0) + IFERROR(VALUE(REGEXEXTRACT(I611, ""Affected Users(?:\s*\(From IM\))?:?\s*(\d+)"")), 0) + IFERROR(VALUE(REGEXEXTRACT(I611, ""Affected Clients:\s*(\d+)"")), 0)"),0.0)</f>
        <v>0</v>
      </c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33" t="str">
        <f>IFERROR(__xludf.DUMMYFUNCTION("LEN(REGEXREPLACE(REGEXREPLACE(REGEXEXTRACT(I612, ""(?s)Affected Nodes/Links(.*)""), ""https://[^\s]+"", """"), ""[^/]"", """")) / 2"),"#N/A")</f>
        <v>#N/A</v>
      </c>
      <c r="AC612" s="34">
        <f>IFERROR(__xludf.DUMMYFUNCTION("IFERROR(VALUE(REGEXEXTRACT(I612, ""No\.? of [Ss]ubs:\s*(\d+)"")), 0) + IFERROR(VALUE(REGEXEXTRACT(I612, ""Affected Users(?:\s*\(From IM\))?:?\s*(\d+)"")), 0) + IFERROR(VALUE(REGEXEXTRACT(I612, ""Affected Clients:\s*(\d+)"")), 0)"),0.0)</f>
        <v>0</v>
      </c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33" t="str">
        <f>IFERROR(__xludf.DUMMYFUNCTION("LEN(REGEXREPLACE(REGEXREPLACE(REGEXEXTRACT(I613, ""(?s)Affected Nodes/Links(.*)""), ""https://[^\s]+"", """"), ""[^/]"", """")) / 2"),"#N/A")</f>
        <v>#N/A</v>
      </c>
      <c r="AC613" s="34">
        <f>IFERROR(__xludf.DUMMYFUNCTION("IFERROR(VALUE(REGEXEXTRACT(I613, ""No\.? of [Ss]ubs:\s*(\d+)"")), 0) + IFERROR(VALUE(REGEXEXTRACT(I613, ""Affected Users(?:\s*\(From IM\))?:?\s*(\d+)"")), 0) + IFERROR(VALUE(REGEXEXTRACT(I613, ""Affected Clients:\s*(\d+)"")), 0)"),0.0)</f>
        <v>0</v>
      </c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33" t="str">
        <f>IFERROR(__xludf.DUMMYFUNCTION("LEN(REGEXREPLACE(REGEXREPLACE(REGEXEXTRACT(I614, ""(?s)Affected Nodes/Links(.*)""), ""https://[^\s]+"", """"), ""[^/]"", """")) / 2"),"#N/A")</f>
        <v>#N/A</v>
      </c>
      <c r="AC614" s="34">
        <f>IFERROR(__xludf.DUMMYFUNCTION("IFERROR(VALUE(REGEXEXTRACT(I614, ""No\.? of [Ss]ubs:\s*(\d+)"")), 0) + IFERROR(VALUE(REGEXEXTRACT(I614, ""Affected Users(?:\s*\(From IM\))?:?\s*(\d+)"")), 0) + IFERROR(VALUE(REGEXEXTRACT(I614, ""Affected Clients:\s*(\d+)"")), 0)"),0.0)</f>
        <v>0</v>
      </c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33" t="str">
        <f>IFERROR(__xludf.DUMMYFUNCTION("LEN(REGEXREPLACE(REGEXREPLACE(REGEXEXTRACT(I615, ""(?s)Affected Nodes/Links(.*)""), ""https://[^\s]+"", """"), ""[^/]"", """")) / 2"),"#N/A")</f>
        <v>#N/A</v>
      </c>
      <c r="AC615" s="34">
        <f>IFERROR(__xludf.DUMMYFUNCTION("IFERROR(VALUE(REGEXEXTRACT(I615, ""No\.? of [Ss]ubs:\s*(\d+)"")), 0) + IFERROR(VALUE(REGEXEXTRACT(I615, ""Affected Users(?:\s*\(From IM\))?:?\s*(\d+)"")), 0) + IFERROR(VALUE(REGEXEXTRACT(I615, ""Affected Clients:\s*(\d+)"")), 0)"),0.0)</f>
        <v>0</v>
      </c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33" t="str">
        <f>IFERROR(__xludf.DUMMYFUNCTION("LEN(REGEXREPLACE(REGEXREPLACE(REGEXEXTRACT(I616, ""(?s)Affected Nodes/Links(.*)""), ""https://[^\s]+"", """"), ""[^/]"", """")) / 2"),"#N/A")</f>
        <v>#N/A</v>
      </c>
      <c r="AC616" s="34">
        <f>IFERROR(__xludf.DUMMYFUNCTION("IFERROR(VALUE(REGEXEXTRACT(I616, ""No\.? of [Ss]ubs:\s*(\d+)"")), 0) + IFERROR(VALUE(REGEXEXTRACT(I616, ""Affected Users(?:\s*\(From IM\))?:?\s*(\d+)"")), 0) + IFERROR(VALUE(REGEXEXTRACT(I616, ""Affected Clients:\s*(\d+)"")), 0)"),0.0)</f>
        <v>0</v>
      </c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33" t="str">
        <f>IFERROR(__xludf.DUMMYFUNCTION("LEN(REGEXREPLACE(REGEXREPLACE(REGEXEXTRACT(I617, ""(?s)Affected Nodes/Links(.*)""), ""https://[^\s]+"", """"), ""[^/]"", """")) / 2"),"#N/A")</f>
        <v>#N/A</v>
      </c>
      <c r="AC617" s="34">
        <f>IFERROR(__xludf.DUMMYFUNCTION("IFERROR(VALUE(REGEXEXTRACT(I617, ""No\.? of [Ss]ubs:\s*(\d+)"")), 0) + IFERROR(VALUE(REGEXEXTRACT(I617, ""Affected Users(?:\s*\(From IM\))?:?\s*(\d+)"")), 0) + IFERROR(VALUE(REGEXEXTRACT(I617, ""Affected Clients:\s*(\d+)"")), 0)"),0.0)</f>
        <v>0</v>
      </c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33" t="str">
        <f>IFERROR(__xludf.DUMMYFUNCTION("LEN(REGEXREPLACE(REGEXREPLACE(REGEXEXTRACT(I618, ""(?s)Affected Nodes/Links(.*)""), ""https://[^\s]+"", """"), ""[^/]"", """")) / 2"),"#N/A")</f>
        <v>#N/A</v>
      </c>
      <c r="AC618" s="34">
        <f>IFERROR(__xludf.DUMMYFUNCTION("IFERROR(VALUE(REGEXEXTRACT(I618, ""No\.? of [Ss]ubs:\s*(\d+)"")), 0) + IFERROR(VALUE(REGEXEXTRACT(I618, ""Affected Users(?:\s*\(From IM\))?:?\s*(\d+)"")), 0) + IFERROR(VALUE(REGEXEXTRACT(I618, ""Affected Clients:\s*(\d+)"")), 0)"),0.0)</f>
        <v>0</v>
      </c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33" t="str">
        <f>IFERROR(__xludf.DUMMYFUNCTION("LEN(REGEXREPLACE(REGEXREPLACE(REGEXEXTRACT(I619, ""(?s)Affected Nodes/Links(.*)""), ""https://[^\s]+"", """"), ""[^/]"", """")) / 2"),"#N/A")</f>
        <v>#N/A</v>
      </c>
      <c r="AC619" s="34">
        <f>IFERROR(__xludf.DUMMYFUNCTION("IFERROR(VALUE(REGEXEXTRACT(I619, ""No\.? of [Ss]ubs:\s*(\d+)"")), 0) + IFERROR(VALUE(REGEXEXTRACT(I619, ""Affected Users(?:\s*\(From IM\))?:?\s*(\d+)"")), 0) + IFERROR(VALUE(REGEXEXTRACT(I619, ""Affected Clients:\s*(\d+)"")), 0)"),0.0)</f>
        <v>0</v>
      </c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33" t="str">
        <f>IFERROR(__xludf.DUMMYFUNCTION("LEN(REGEXREPLACE(REGEXREPLACE(REGEXEXTRACT(I620, ""(?s)Affected Nodes/Links(.*)""), ""https://[^\s]+"", """"), ""[^/]"", """")) / 2"),"#N/A")</f>
        <v>#N/A</v>
      </c>
      <c r="AC620" s="34">
        <f>IFERROR(__xludf.DUMMYFUNCTION("IFERROR(VALUE(REGEXEXTRACT(I620, ""No\.? of [Ss]ubs:\s*(\d+)"")), 0) + IFERROR(VALUE(REGEXEXTRACT(I620, ""Affected Users(?:\s*\(From IM\))?:?\s*(\d+)"")), 0) + IFERROR(VALUE(REGEXEXTRACT(I620, ""Affected Clients:\s*(\d+)"")), 0)"),0.0)</f>
        <v>0</v>
      </c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33" t="str">
        <f>IFERROR(__xludf.DUMMYFUNCTION("LEN(REGEXREPLACE(REGEXREPLACE(REGEXEXTRACT(I621, ""(?s)Affected Nodes/Links(.*)""), ""https://[^\s]+"", """"), ""[^/]"", """")) / 2"),"#N/A")</f>
        <v>#N/A</v>
      </c>
      <c r="AC621" s="34">
        <f>IFERROR(__xludf.DUMMYFUNCTION("IFERROR(VALUE(REGEXEXTRACT(I621, ""No\.? of [Ss]ubs:\s*(\d+)"")), 0) + IFERROR(VALUE(REGEXEXTRACT(I621, ""Affected Users(?:\s*\(From IM\))?:?\s*(\d+)"")), 0) + IFERROR(VALUE(REGEXEXTRACT(I621, ""Affected Clients:\s*(\d+)"")), 0)"),0.0)</f>
        <v>0</v>
      </c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33" t="str">
        <f>IFERROR(__xludf.DUMMYFUNCTION("LEN(REGEXREPLACE(REGEXREPLACE(REGEXEXTRACT(I622, ""(?s)Affected Nodes/Links(.*)""), ""https://[^\s]+"", """"), ""[^/]"", """")) / 2"),"#N/A")</f>
        <v>#N/A</v>
      </c>
      <c r="AC622" s="34">
        <f>IFERROR(__xludf.DUMMYFUNCTION("IFERROR(VALUE(REGEXEXTRACT(I622, ""No\.? of [Ss]ubs:\s*(\d+)"")), 0) + IFERROR(VALUE(REGEXEXTRACT(I622, ""Affected Users(?:\s*\(From IM\))?:?\s*(\d+)"")), 0) + IFERROR(VALUE(REGEXEXTRACT(I622, ""Affected Clients:\s*(\d+)"")), 0)"),0.0)</f>
        <v>0</v>
      </c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33" t="str">
        <f>IFERROR(__xludf.DUMMYFUNCTION("LEN(REGEXREPLACE(REGEXREPLACE(REGEXEXTRACT(I623, ""(?s)Affected Nodes/Links(.*)""), ""https://[^\s]+"", """"), ""[^/]"", """")) / 2"),"#N/A")</f>
        <v>#N/A</v>
      </c>
      <c r="AC623" s="34">
        <f>IFERROR(__xludf.DUMMYFUNCTION("IFERROR(VALUE(REGEXEXTRACT(I623, ""No\.? of [Ss]ubs:\s*(\d+)"")), 0) + IFERROR(VALUE(REGEXEXTRACT(I623, ""Affected Users(?:\s*\(From IM\))?:?\s*(\d+)"")), 0) + IFERROR(VALUE(REGEXEXTRACT(I623, ""Affected Clients:\s*(\d+)"")), 0)"),0.0)</f>
        <v>0</v>
      </c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33" t="str">
        <f>IFERROR(__xludf.DUMMYFUNCTION("LEN(REGEXREPLACE(REGEXREPLACE(REGEXEXTRACT(I624, ""(?s)Affected Nodes/Links(.*)""), ""https://[^\s]+"", """"), ""[^/]"", """")) / 2"),"#N/A")</f>
        <v>#N/A</v>
      </c>
      <c r="AC624" s="34">
        <f>IFERROR(__xludf.DUMMYFUNCTION("IFERROR(VALUE(REGEXEXTRACT(I624, ""No\.? of [Ss]ubs:\s*(\d+)"")), 0) + IFERROR(VALUE(REGEXEXTRACT(I624, ""Affected Users(?:\s*\(From IM\))?:?\s*(\d+)"")), 0) + IFERROR(VALUE(REGEXEXTRACT(I624, ""Affected Clients:\s*(\d+)"")), 0)"),0.0)</f>
        <v>0</v>
      </c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33" t="str">
        <f>IFERROR(__xludf.DUMMYFUNCTION("LEN(REGEXREPLACE(REGEXREPLACE(REGEXEXTRACT(I625, ""(?s)Affected Nodes/Links(.*)""), ""https://[^\s]+"", """"), ""[^/]"", """")) / 2"),"#N/A")</f>
        <v>#N/A</v>
      </c>
      <c r="AC625" s="34">
        <f>IFERROR(__xludf.DUMMYFUNCTION("IFERROR(VALUE(REGEXEXTRACT(I625, ""No\.? of [Ss]ubs:\s*(\d+)"")), 0) + IFERROR(VALUE(REGEXEXTRACT(I625, ""Affected Users(?:\s*\(From IM\))?:?\s*(\d+)"")), 0) + IFERROR(VALUE(REGEXEXTRACT(I625, ""Affected Clients:\s*(\d+)"")), 0)"),0.0)</f>
        <v>0</v>
      </c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33" t="str">
        <f>IFERROR(__xludf.DUMMYFUNCTION("LEN(REGEXREPLACE(REGEXREPLACE(REGEXEXTRACT(I626, ""(?s)Affected Nodes/Links(.*)""), ""https://[^\s]+"", """"), ""[^/]"", """")) / 2"),"#N/A")</f>
        <v>#N/A</v>
      </c>
      <c r="AC626" s="34">
        <f>IFERROR(__xludf.DUMMYFUNCTION("IFERROR(VALUE(REGEXEXTRACT(I626, ""No\.? of [Ss]ubs:\s*(\d+)"")), 0) + IFERROR(VALUE(REGEXEXTRACT(I626, ""Affected Users(?:\s*\(From IM\))?:?\s*(\d+)"")), 0) + IFERROR(VALUE(REGEXEXTRACT(I626, ""Affected Clients:\s*(\d+)"")), 0)"),0.0)</f>
        <v>0</v>
      </c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33" t="str">
        <f>IFERROR(__xludf.DUMMYFUNCTION("LEN(REGEXREPLACE(REGEXREPLACE(REGEXEXTRACT(I627, ""(?s)Affected Nodes/Links(.*)""), ""https://[^\s]+"", """"), ""[^/]"", """")) / 2"),"#N/A")</f>
        <v>#N/A</v>
      </c>
      <c r="AC627" s="34">
        <f>IFERROR(__xludf.DUMMYFUNCTION("IFERROR(VALUE(REGEXEXTRACT(I627, ""No\.? of [Ss]ubs:\s*(\d+)"")), 0) + IFERROR(VALUE(REGEXEXTRACT(I627, ""Affected Users(?:\s*\(From IM\))?:?\s*(\d+)"")), 0) + IFERROR(VALUE(REGEXEXTRACT(I627, ""Affected Clients:\s*(\d+)"")), 0)"),0.0)</f>
        <v>0</v>
      </c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33" t="str">
        <f>IFERROR(__xludf.DUMMYFUNCTION("LEN(REGEXREPLACE(REGEXREPLACE(REGEXEXTRACT(I628, ""(?s)Affected Nodes/Links(.*)""), ""https://[^\s]+"", """"), ""[^/]"", """")) / 2"),"#N/A")</f>
        <v>#N/A</v>
      </c>
      <c r="AC628" s="34">
        <f>IFERROR(__xludf.DUMMYFUNCTION("IFERROR(VALUE(REGEXEXTRACT(I628, ""No\.? of [Ss]ubs:\s*(\d+)"")), 0) + IFERROR(VALUE(REGEXEXTRACT(I628, ""Affected Users(?:\s*\(From IM\))?:?\s*(\d+)"")), 0) + IFERROR(VALUE(REGEXEXTRACT(I628, ""Affected Clients:\s*(\d+)"")), 0)"),0.0)</f>
        <v>0</v>
      </c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33" t="str">
        <f>IFERROR(__xludf.DUMMYFUNCTION("LEN(REGEXREPLACE(REGEXREPLACE(REGEXEXTRACT(I629, ""(?s)Affected Nodes/Links(.*)""), ""https://[^\s]+"", """"), ""[^/]"", """")) / 2"),"#N/A")</f>
        <v>#N/A</v>
      </c>
      <c r="AC629" s="34">
        <f>IFERROR(__xludf.DUMMYFUNCTION("IFERROR(VALUE(REGEXEXTRACT(I629, ""No\.? of [Ss]ubs:\s*(\d+)"")), 0) + IFERROR(VALUE(REGEXEXTRACT(I629, ""Affected Users(?:\s*\(From IM\))?:?\s*(\d+)"")), 0) + IFERROR(VALUE(REGEXEXTRACT(I629, ""Affected Clients:\s*(\d+)"")), 0)"),0.0)</f>
        <v>0</v>
      </c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33" t="str">
        <f>IFERROR(__xludf.DUMMYFUNCTION("LEN(REGEXREPLACE(REGEXREPLACE(REGEXEXTRACT(I630, ""(?s)Affected Nodes/Links(.*)""), ""https://[^\s]+"", """"), ""[^/]"", """")) / 2"),"#N/A")</f>
        <v>#N/A</v>
      </c>
      <c r="AC630" s="34">
        <f>IFERROR(__xludf.DUMMYFUNCTION("IFERROR(VALUE(REGEXEXTRACT(I630, ""No\.? of [Ss]ubs:\s*(\d+)"")), 0) + IFERROR(VALUE(REGEXEXTRACT(I630, ""Affected Users(?:\s*\(From IM\))?:?\s*(\d+)"")), 0) + IFERROR(VALUE(REGEXEXTRACT(I630, ""Affected Clients:\s*(\d+)"")), 0)"),0.0)</f>
        <v>0</v>
      </c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33" t="str">
        <f>IFERROR(__xludf.DUMMYFUNCTION("LEN(REGEXREPLACE(REGEXREPLACE(REGEXEXTRACT(I631, ""(?s)Affected Nodes/Links(.*)""), ""https://[^\s]+"", """"), ""[^/]"", """")) / 2"),"#N/A")</f>
        <v>#N/A</v>
      </c>
      <c r="AC631" s="34">
        <f>IFERROR(__xludf.DUMMYFUNCTION("IFERROR(VALUE(REGEXEXTRACT(I631, ""No\.? of [Ss]ubs:\s*(\d+)"")), 0) + IFERROR(VALUE(REGEXEXTRACT(I631, ""Affected Users(?:\s*\(From IM\))?:?\s*(\d+)"")), 0) + IFERROR(VALUE(REGEXEXTRACT(I631, ""Affected Clients:\s*(\d+)"")), 0)"),0.0)</f>
        <v>0</v>
      </c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33" t="str">
        <f>IFERROR(__xludf.DUMMYFUNCTION("LEN(REGEXREPLACE(REGEXREPLACE(REGEXEXTRACT(I632, ""(?s)Affected Nodes/Links(.*)""), ""https://[^\s]+"", """"), ""[^/]"", """")) / 2"),"#N/A")</f>
        <v>#N/A</v>
      </c>
      <c r="AC632" s="34">
        <f>IFERROR(__xludf.DUMMYFUNCTION("IFERROR(VALUE(REGEXEXTRACT(I632, ""No\.? of [Ss]ubs:\s*(\d+)"")), 0) + IFERROR(VALUE(REGEXEXTRACT(I632, ""Affected Users(?:\s*\(From IM\))?:?\s*(\d+)"")), 0) + IFERROR(VALUE(REGEXEXTRACT(I632, ""Affected Clients:\s*(\d+)"")), 0)"),0.0)</f>
        <v>0</v>
      </c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33" t="str">
        <f>IFERROR(__xludf.DUMMYFUNCTION("LEN(REGEXREPLACE(REGEXREPLACE(REGEXEXTRACT(I633, ""(?s)Affected Nodes/Links(.*)""), ""https://[^\s]+"", """"), ""[^/]"", """")) / 2"),"#N/A")</f>
        <v>#N/A</v>
      </c>
      <c r="AC633" s="34">
        <f>IFERROR(__xludf.DUMMYFUNCTION("IFERROR(VALUE(REGEXEXTRACT(I633, ""No\.? of [Ss]ubs:\s*(\d+)"")), 0) + IFERROR(VALUE(REGEXEXTRACT(I633, ""Affected Users(?:\s*\(From IM\))?:?\s*(\d+)"")), 0) + IFERROR(VALUE(REGEXEXTRACT(I633, ""Affected Clients:\s*(\d+)"")), 0)"),0.0)</f>
        <v>0</v>
      </c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33" t="str">
        <f>IFERROR(__xludf.DUMMYFUNCTION("LEN(REGEXREPLACE(REGEXREPLACE(REGEXEXTRACT(I634, ""(?s)Affected Nodes/Links(.*)""), ""https://[^\s]+"", """"), ""[^/]"", """")) / 2"),"#N/A")</f>
        <v>#N/A</v>
      </c>
      <c r="AC634" s="34">
        <f>IFERROR(__xludf.DUMMYFUNCTION("IFERROR(VALUE(REGEXEXTRACT(I634, ""No\.? of [Ss]ubs:\s*(\d+)"")), 0) + IFERROR(VALUE(REGEXEXTRACT(I634, ""Affected Users(?:\s*\(From IM\))?:?\s*(\d+)"")), 0) + IFERROR(VALUE(REGEXEXTRACT(I634, ""Affected Clients:\s*(\d+)"")), 0)"),0.0)</f>
        <v>0</v>
      </c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33" t="str">
        <f>IFERROR(__xludf.DUMMYFUNCTION("LEN(REGEXREPLACE(REGEXREPLACE(REGEXEXTRACT(I635, ""(?s)Affected Nodes/Links(.*)""), ""https://[^\s]+"", """"), ""[^/]"", """")) / 2"),"#N/A")</f>
        <v>#N/A</v>
      </c>
      <c r="AC635" s="34">
        <f>IFERROR(__xludf.DUMMYFUNCTION("IFERROR(VALUE(REGEXEXTRACT(I635, ""No\.? of [Ss]ubs:\s*(\d+)"")), 0) + IFERROR(VALUE(REGEXEXTRACT(I635, ""Affected Users(?:\s*\(From IM\))?:?\s*(\d+)"")), 0) + IFERROR(VALUE(REGEXEXTRACT(I635, ""Affected Clients:\s*(\d+)"")), 0)"),0.0)</f>
        <v>0</v>
      </c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33" t="str">
        <f>IFERROR(__xludf.DUMMYFUNCTION("LEN(REGEXREPLACE(REGEXREPLACE(REGEXEXTRACT(I636, ""(?s)Affected Nodes/Links(.*)""), ""https://[^\s]+"", """"), ""[^/]"", """")) / 2"),"#N/A")</f>
        <v>#N/A</v>
      </c>
      <c r="AC636" s="34">
        <f>IFERROR(__xludf.DUMMYFUNCTION("IFERROR(VALUE(REGEXEXTRACT(I636, ""No\.? of [Ss]ubs:\s*(\d+)"")), 0) + IFERROR(VALUE(REGEXEXTRACT(I636, ""Affected Users(?:\s*\(From IM\))?:?\s*(\d+)"")), 0) + IFERROR(VALUE(REGEXEXTRACT(I636, ""Affected Clients:\s*(\d+)"")), 0)"),0.0)</f>
        <v>0</v>
      </c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33" t="str">
        <f>IFERROR(__xludf.DUMMYFUNCTION("LEN(REGEXREPLACE(REGEXREPLACE(REGEXEXTRACT(I637, ""(?s)Affected Nodes/Links(.*)""), ""https://[^\s]+"", """"), ""[^/]"", """")) / 2"),"#N/A")</f>
        <v>#N/A</v>
      </c>
      <c r="AC637" s="34">
        <f>IFERROR(__xludf.DUMMYFUNCTION("IFERROR(VALUE(REGEXEXTRACT(I637, ""No\.? of [Ss]ubs:\s*(\d+)"")), 0) + IFERROR(VALUE(REGEXEXTRACT(I637, ""Affected Users(?:\s*\(From IM\))?:?\s*(\d+)"")), 0) + IFERROR(VALUE(REGEXEXTRACT(I637, ""Affected Clients:\s*(\d+)"")), 0)"),0.0)</f>
        <v>0</v>
      </c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33" t="str">
        <f>IFERROR(__xludf.DUMMYFUNCTION("LEN(REGEXREPLACE(REGEXREPLACE(REGEXEXTRACT(I638, ""(?s)Affected Nodes/Links(.*)""), ""https://[^\s]+"", """"), ""[^/]"", """")) / 2"),"#N/A")</f>
        <v>#N/A</v>
      </c>
      <c r="AC638" s="34">
        <f>IFERROR(__xludf.DUMMYFUNCTION("IFERROR(VALUE(REGEXEXTRACT(I638, ""No\.? of [Ss]ubs:\s*(\d+)"")), 0) + IFERROR(VALUE(REGEXEXTRACT(I638, ""Affected Users(?:\s*\(From IM\))?:?\s*(\d+)"")), 0) + IFERROR(VALUE(REGEXEXTRACT(I638, ""Affected Clients:\s*(\d+)"")), 0)"),0.0)</f>
        <v>0</v>
      </c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33" t="str">
        <f>IFERROR(__xludf.DUMMYFUNCTION("LEN(REGEXREPLACE(REGEXREPLACE(REGEXEXTRACT(I639, ""(?s)Affected Nodes/Links(.*)""), ""https://[^\s]+"", """"), ""[^/]"", """")) / 2"),"#N/A")</f>
        <v>#N/A</v>
      </c>
      <c r="AC639" s="34">
        <f>IFERROR(__xludf.DUMMYFUNCTION("IFERROR(VALUE(REGEXEXTRACT(I639, ""No\.? of [Ss]ubs:\s*(\d+)"")), 0) + IFERROR(VALUE(REGEXEXTRACT(I639, ""Affected Users(?:\s*\(From IM\))?:?\s*(\d+)"")), 0) + IFERROR(VALUE(REGEXEXTRACT(I639, ""Affected Clients:\s*(\d+)"")), 0)"),0.0)</f>
        <v>0</v>
      </c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33" t="str">
        <f>IFERROR(__xludf.DUMMYFUNCTION("LEN(REGEXREPLACE(REGEXREPLACE(REGEXEXTRACT(I640, ""(?s)Affected Nodes/Links(.*)""), ""https://[^\s]+"", """"), ""[^/]"", """")) / 2"),"#N/A")</f>
        <v>#N/A</v>
      </c>
      <c r="AC640" s="34">
        <f>IFERROR(__xludf.DUMMYFUNCTION("IFERROR(VALUE(REGEXEXTRACT(I640, ""No\.? of [Ss]ubs:\s*(\d+)"")), 0) + IFERROR(VALUE(REGEXEXTRACT(I640, ""Affected Users(?:\s*\(From IM\))?:?\s*(\d+)"")), 0) + IFERROR(VALUE(REGEXEXTRACT(I640, ""Affected Clients:\s*(\d+)"")), 0)"),0.0)</f>
        <v>0</v>
      </c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33" t="str">
        <f>IFERROR(__xludf.DUMMYFUNCTION("LEN(REGEXREPLACE(REGEXREPLACE(REGEXEXTRACT(I641, ""(?s)Affected Nodes/Links(.*)""), ""https://[^\s]+"", """"), ""[^/]"", """")) / 2"),"#N/A")</f>
        <v>#N/A</v>
      </c>
      <c r="AC641" s="34">
        <f>IFERROR(__xludf.DUMMYFUNCTION("IFERROR(VALUE(REGEXEXTRACT(I641, ""No\.? of [Ss]ubs:\s*(\d+)"")), 0) + IFERROR(VALUE(REGEXEXTRACT(I641, ""Affected Users(?:\s*\(From IM\))?:?\s*(\d+)"")), 0) + IFERROR(VALUE(REGEXEXTRACT(I641, ""Affected Clients:\s*(\d+)"")), 0)"),0.0)</f>
        <v>0</v>
      </c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33" t="str">
        <f>IFERROR(__xludf.DUMMYFUNCTION("LEN(REGEXREPLACE(REGEXREPLACE(REGEXEXTRACT(I642, ""(?s)Affected Nodes/Links(.*)""), ""https://[^\s]+"", """"), ""[^/]"", """")) / 2"),"#N/A")</f>
        <v>#N/A</v>
      </c>
      <c r="AC642" s="34">
        <f>IFERROR(__xludf.DUMMYFUNCTION("IFERROR(VALUE(REGEXEXTRACT(I642, ""No\.? of [Ss]ubs:\s*(\d+)"")), 0) + IFERROR(VALUE(REGEXEXTRACT(I642, ""Affected Users(?:\s*\(From IM\))?:?\s*(\d+)"")), 0) + IFERROR(VALUE(REGEXEXTRACT(I642, ""Affected Clients:\s*(\d+)"")), 0)"),0.0)</f>
        <v>0</v>
      </c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33" t="str">
        <f>IFERROR(__xludf.DUMMYFUNCTION("LEN(REGEXREPLACE(REGEXREPLACE(REGEXEXTRACT(I643, ""(?s)Affected Nodes/Links(.*)""), ""https://[^\s]+"", """"), ""[^/]"", """")) / 2"),"#N/A")</f>
        <v>#N/A</v>
      </c>
      <c r="AC643" s="34">
        <f>IFERROR(__xludf.DUMMYFUNCTION("IFERROR(VALUE(REGEXEXTRACT(I643, ""No\.? of [Ss]ubs:\s*(\d+)"")), 0) + IFERROR(VALUE(REGEXEXTRACT(I643, ""Affected Users(?:\s*\(From IM\))?:?\s*(\d+)"")), 0) + IFERROR(VALUE(REGEXEXTRACT(I643, ""Affected Clients:\s*(\d+)"")), 0)"),0.0)</f>
        <v>0</v>
      </c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33" t="str">
        <f>IFERROR(__xludf.DUMMYFUNCTION("LEN(REGEXREPLACE(REGEXREPLACE(REGEXEXTRACT(I644, ""(?s)Affected Nodes/Links(.*)""), ""https://[^\s]+"", """"), ""[^/]"", """")) / 2"),"#N/A")</f>
        <v>#N/A</v>
      </c>
      <c r="AC644" s="34">
        <f>IFERROR(__xludf.DUMMYFUNCTION("IFERROR(VALUE(REGEXEXTRACT(I644, ""No\.? of [Ss]ubs:\s*(\d+)"")), 0) + IFERROR(VALUE(REGEXEXTRACT(I644, ""Affected Users(?:\s*\(From IM\))?:?\s*(\d+)"")), 0) + IFERROR(VALUE(REGEXEXTRACT(I644, ""Affected Clients:\s*(\d+)"")), 0)"),0.0)</f>
        <v>0</v>
      </c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33" t="str">
        <f>IFERROR(__xludf.DUMMYFUNCTION("LEN(REGEXREPLACE(REGEXREPLACE(REGEXEXTRACT(I645, ""(?s)Affected Nodes/Links(.*)""), ""https://[^\s]+"", """"), ""[^/]"", """")) / 2"),"#N/A")</f>
        <v>#N/A</v>
      </c>
      <c r="AC645" s="34">
        <f>IFERROR(__xludf.DUMMYFUNCTION("IFERROR(VALUE(REGEXEXTRACT(I645, ""No\.? of [Ss]ubs:\s*(\d+)"")), 0) + IFERROR(VALUE(REGEXEXTRACT(I645, ""Affected Users(?:\s*\(From IM\))?:?\s*(\d+)"")), 0) + IFERROR(VALUE(REGEXEXTRACT(I645, ""Affected Clients:\s*(\d+)"")), 0)"),0.0)</f>
        <v>0</v>
      </c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33" t="str">
        <f>IFERROR(__xludf.DUMMYFUNCTION("LEN(REGEXREPLACE(REGEXREPLACE(REGEXEXTRACT(I646, ""(?s)Affected Nodes/Links(.*)""), ""https://[^\s]+"", """"), ""[^/]"", """")) / 2"),"#N/A")</f>
        <v>#N/A</v>
      </c>
      <c r="AC646" s="34">
        <f>IFERROR(__xludf.DUMMYFUNCTION("IFERROR(VALUE(REGEXEXTRACT(I646, ""No\.? of [Ss]ubs:\s*(\d+)"")), 0) + IFERROR(VALUE(REGEXEXTRACT(I646, ""Affected Users(?:\s*\(From IM\))?:?\s*(\d+)"")), 0) + IFERROR(VALUE(REGEXEXTRACT(I646, ""Affected Clients:\s*(\d+)"")), 0)"),0.0)</f>
        <v>0</v>
      </c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33" t="str">
        <f>IFERROR(__xludf.DUMMYFUNCTION("LEN(REGEXREPLACE(REGEXREPLACE(REGEXEXTRACT(I647, ""(?s)Affected Nodes/Links(.*)""), ""https://[^\s]+"", """"), ""[^/]"", """")) / 2"),"#N/A")</f>
        <v>#N/A</v>
      </c>
      <c r="AC647" s="34">
        <f>IFERROR(__xludf.DUMMYFUNCTION("IFERROR(VALUE(REGEXEXTRACT(I647, ""No\.? of [Ss]ubs:\s*(\d+)"")), 0) + IFERROR(VALUE(REGEXEXTRACT(I647, ""Affected Users(?:\s*\(From IM\))?:?\s*(\d+)"")), 0) + IFERROR(VALUE(REGEXEXTRACT(I647, ""Affected Clients:\s*(\d+)"")), 0)"),0.0)</f>
        <v>0</v>
      </c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33" t="str">
        <f>IFERROR(__xludf.DUMMYFUNCTION("LEN(REGEXREPLACE(REGEXREPLACE(REGEXEXTRACT(I648, ""(?s)Affected Nodes/Links(.*)""), ""https://[^\s]+"", """"), ""[^/]"", """")) / 2"),"#N/A")</f>
        <v>#N/A</v>
      </c>
      <c r="AC648" s="34">
        <f>IFERROR(__xludf.DUMMYFUNCTION("IFERROR(VALUE(REGEXEXTRACT(I648, ""No\.? of [Ss]ubs:\s*(\d+)"")), 0) + IFERROR(VALUE(REGEXEXTRACT(I648, ""Affected Users(?:\s*\(From IM\))?:?\s*(\d+)"")), 0) + IFERROR(VALUE(REGEXEXTRACT(I648, ""Affected Clients:\s*(\d+)"")), 0)"),0.0)</f>
        <v>0</v>
      </c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33" t="str">
        <f>IFERROR(__xludf.DUMMYFUNCTION("LEN(REGEXREPLACE(REGEXREPLACE(REGEXEXTRACT(I649, ""(?s)Affected Nodes/Links(.*)""), ""https://[^\s]+"", """"), ""[^/]"", """")) / 2"),"#N/A")</f>
        <v>#N/A</v>
      </c>
      <c r="AC649" s="34">
        <f>IFERROR(__xludf.DUMMYFUNCTION("IFERROR(VALUE(REGEXEXTRACT(I649, ""No\.? of [Ss]ubs:\s*(\d+)"")), 0) + IFERROR(VALUE(REGEXEXTRACT(I649, ""Affected Users(?:\s*\(From IM\))?:?\s*(\d+)"")), 0) + IFERROR(VALUE(REGEXEXTRACT(I649, ""Affected Clients:\s*(\d+)"")), 0)"),0.0)</f>
        <v>0</v>
      </c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33" t="str">
        <f>IFERROR(__xludf.DUMMYFUNCTION("LEN(REGEXREPLACE(REGEXREPLACE(REGEXEXTRACT(I650, ""(?s)Affected Nodes/Links(.*)""), ""https://[^\s]+"", """"), ""[^/]"", """")) / 2"),"#N/A")</f>
        <v>#N/A</v>
      </c>
      <c r="AC650" s="34">
        <f>IFERROR(__xludf.DUMMYFUNCTION("IFERROR(VALUE(REGEXEXTRACT(I650, ""No\.? of [Ss]ubs:\s*(\d+)"")), 0) + IFERROR(VALUE(REGEXEXTRACT(I650, ""Affected Users(?:\s*\(From IM\))?:?\s*(\d+)"")), 0) + IFERROR(VALUE(REGEXEXTRACT(I650, ""Affected Clients:\s*(\d+)"")), 0)"),0.0)</f>
        <v>0</v>
      </c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33" t="str">
        <f>IFERROR(__xludf.DUMMYFUNCTION("LEN(REGEXREPLACE(REGEXREPLACE(REGEXEXTRACT(I651, ""(?s)Affected Nodes/Links(.*)""), ""https://[^\s]+"", """"), ""[^/]"", """")) / 2"),"#N/A")</f>
        <v>#N/A</v>
      </c>
      <c r="AC651" s="34">
        <f>IFERROR(__xludf.DUMMYFUNCTION("IFERROR(VALUE(REGEXEXTRACT(I651, ""No\.? of [Ss]ubs:\s*(\d+)"")), 0) + IFERROR(VALUE(REGEXEXTRACT(I651, ""Affected Users(?:\s*\(From IM\))?:?\s*(\d+)"")), 0) + IFERROR(VALUE(REGEXEXTRACT(I651, ""Affected Clients:\s*(\d+)"")), 0)"),0.0)</f>
        <v>0</v>
      </c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33" t="str">
        <f>IFERROR(__xludf.DUMMYFUNCTION("LEN(REGEXREPLACE(REGEXREPLACE(REGEXEXTRACT(I652, ""(?s)Affected Nodes/Links(.*)""), ""https://[^\s]+"", """"), ""[^/]"", """")) / 2"),"#N/A")</f>
        <v>#N/A</v>
      </c>
      <c r="AC652" s="34">
        <f>IFERROR(__xludf.DUMMYFUNCTION("IFERROR(VALUE(REGEXEXTRACT(I652, ""No\.? of [Ss]ubs:\s*(\d+)"")), 0) + IFERROR(VALUE(REGEXEXTRACT(I652, ""Affected Users(?:\s*\(From IM\))?:?\s*(\d+)"")), 0) + IFERROR(VALUE(REGEXEXTRACT(I652, ""Affected Clients:\s*(\d+)"")), 0)"),0.0)</f>
        <v>0</v>
      </c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33" t="str">
        <f>IFERROR(__xludf.DUMMYFUNCTION("LEN(REGEXREPLACE(REGEXREPLACE(REGEXEXTRACT(I653, ""(?s)Affected Nodes/Links(.*)""), ""https://[^\s]+"", """"), ""[^/]"", """")) / 2"),"#N/A")</f>
        <v>#N/A</v>
      </c>
      <c r="AC653" s="34">
        <f>IFERROR(__xludf.DUMMYFUNCTION("IFERROR(VALUE(REGEXEXTRACT(I653, ""No\.? of [Ss]ubs:\s*(\d+)"")), 0) + IFERROR(VALUE(REGEXEXTRACT(I653, ""Affected Users(?:\s*\(From IM\))?:?\s*(\d+)"")), 0) + IFERROR(VALUE(REGEXEXTRACT(I653, ""Affected Clients:\s*(\d+)"")), 0)"),0.0)</f>
        <v>0</v>
      </c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33" t="str">
        <f>IFERROR(__xludf.DUMMYFUNCTION("LEN(REGEXREPLACE(REGEXREPLACE(REGEXEXTRACT(I654, ""(?s)Affected Nodes/Links(.*)""), ""https://[^\s]+"", """"), ""[^/]"", """")) / 2"),"#N/A")</f>
        <v>#N/A</v>
      </c>
      <c r="AC654" s="34">
        <f>IFERROR(__xludf.DUMMYFUNCTION("IFERROR(VALUE(REGEXEXTRACT(I654, ""No\.? of [Ss]ubs:\s*(\d+)"")), 0) + IFERROR(VALUE(REGEXEXTRACT(I654, ""Affected Users(?:\s*\(From IM\))?:?\s*(\d+)"")), 0) + IFERROR(VALUE(REGEXEXTRACT(I654, ""Affected Clients:\s*(\d+)"")), 0)"),0.0)</f>
        <v>0</v>
      </c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33" t="str">
        <f>IFERROR(__xludf.DUMMYFUNCTION("LEN(REGEXREPLACE(REGEXREPLACE(REGEXEXTRACT(I655, ""(?s)Affected Nodes/Links(.*)""), ""https://[^\s]+"", """"), ""[^/]"", """")) / 2"),"#N/A")</f>
        <v>#N/A</v>
      </c>
      <c r="AC655" s="34">
        <f>IFERROR(__xludf.DUMMYFUNCTION("IFERROR(VALUE(REGEXEXTRACT(I655, ""No\.? of [Ss]ubs:\s*(\d+)"")), 0) + IFERROR(VALUE(REGEXEXTRACT(I655, ""Affected Users(?:\s*\(From IM\))?:?\s*(\d+)"")), 0) + IFERROR(VALUE(REGEXEXTRACT(I655, ""Affected Clients:\s*(\d+)"")), 0)"),0.0)</f>
        <v>0</v>
      </c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33" t="str">
        <f>IFERROR(__xludf.DUMMYFUNCTION("LEN(REGEXREPLACE(REGEXREPLACE(REGEXEXTRACT(I656, ""(?s)Affected Nodes/Links(.*)""), ""https://[^\s]+"", """"), ""[^/]"", """")) / 2"),"#N/A")</f>
        <v>#N/A</v>
      </c>
      <c r="AC656" s="34">
        <f>IFERROR(__xludf.DUMMYFUNCTION("IFERROR(VALUE(REGEXEXTRACT(I656, ""No\.? of [Ss]ubs:\s*(\d+)"")), 0) + IFERROR(VALUE(REGEXEXTRACT(I656, ""Affected Users(?:\s*\(From IM\))?:?\s*(\d+)"")), 0) + IFERROR(VALUE(REGEXEXTRACT(I656, ""Affected Clients:\s*(\d+)"")), 0)"),0.0)</f>
        <v>0</v>
      </c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33" t="str">
        <f>IFERROR(__xludf.DUMMYFUNCTION("LEN(REGEXREPLACE(REGEXREPLACE(REGEXEXTRACT(I657, ""(?s)Affected Nodes/Links(.*)""), ""https://[^\s]+"", """"), ""[^/]"", """")) / 2"),"#N/A")</f>
        <v>#N/A</v>
      </c>
      <c r="AC657" s="34">
        <f>IFERROR(__xludf.DUMMYFUNCTION("IFERROR(VALUE(REGEXEXTRACT(I657, ""No\.? of [Ss]ubs:\s*(\d+)"")), 0) + IFERROR(VALUE(REGEXEXTRACT(I657, ""Affected Users(?:\s*\(From IM\))?:?\s*(\d+)"")), 0) + IFERROR(VALUE(REGEXEXTRACT(I657, ""Affected Clients:\s*(\d+)"")), 0)"),0.0)</f>
        <v>0</v>
      </c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33" t="str">
        <f>IFERROR(__xludf.DUMMYFUNCTION("LEN(REGEXREPLACE(REGEXREPLACE(REGEXEXTRACT(I658, ""(?s)Affected Nodes/Links(.*)""), ""https://[^\s]+"", """"), ""[^/]"", """")) / 2"),"#N/A")</f>
        <v>#N/A</v>
      </c>
      <c r="AC658" s="34">
        <f>IFERROR(__xludf.DUMMYFUNCTION("IFERROR(VALUE(REGEXEXTRACT(I658, ""No\.? of [Ss]ubs:\s*(\d+)"")), 0) + IFERROR(VALUE(REGEXEXTRACT(I658, ""Affected Users(?:\s*\(From IM\))?:?\s*(\d+)"")), 0) + IFERROR(VALUE(REGEXEXTRACT(I658, ""Affected Clients:\s*(\d+)"")), 0)"),0.0)</f>
        <v>0</v>
      </c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33" t="str">
        <f>IFERROR(__xludf.DUMMYFUNCTION("LEN(REGEXREPLACE(REGEXREPLACE(REGEXEXTRACT(I659, ""(?s)Affected Nodes/Links(.*)""), ""https://[^\s]+"", """"), ""[^/]"", """")) / 2"),"#N/A")</f>
        <v>#N/A</v>
      </c>
      <c r="AC659" s="34">
        <f>IFERROR(__xludf.DUMMYFUNCTION("IFERROR(VALUE(REGEXEXTRACT(I659, ""No\.? of [Ss]ubs:\s*(\d+)"")), 0) + IFERROR(VALUE(REGEXEXTRACT(I659, ""Affected Users(?:\s*\(From IM\))?:?\s*(\d+)"")), 0) + IFERROR(VALUE(REGEXEXTRACT(I659, ""Affected Clients:\s*(\d+)"")), 0)"),0.0)</f>
        <v>0</v>
      </c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33" t="str">
        <f>IFERROR(__xludf.DUMMYFUNCTION("LEN(REGEXREPLACE(REGEXREPLACE(REGEXEXTRACT(I660, ""(?s)Affected Nodes/Links(.*)""), ""https://[^\s]+"", """"), ""[^/]"", """")) / 2"),"#N/A")</f>
        <v>#N/A</v>
      </c>
      <c r="AC660" s="34">
        <f>IFERROR(__xludf.DUMMYFUNCTION("IFERROR(VALUE(REGEXEXTRACT(I660, ""No\.? of [Ss]ubs:\s*(\d+)"")), 0) + IFERROR(VALUE(REGEXEXTRACT(I660, ""Affected Users(?:\s*\(From IM\))?:?\s*(\d+)"")), 0) + IFERROR(VALUE(REGEXEXTRACT(I660, ""Affected Clients:\s*(\d+)"")), 0)"),0.0)</f>
        <v>0</v>
      </c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33" t="str">
        <f>IFERROR(__xludf.DUMMYFUNCTION("LEN(REGEXREPLACE(REGEXREPLACE(REGEXEXTRACT(I661, ""(?s)Affected Nodes/Links(.*)""), ""https://[^\s]+"", """"), ""[^/]"", """")) / 2"),"#N/A")</f>
        <v>#N/A</v>
      </c>
      <c r="AC661" s="34">
        <f>IFERROR(__xludf.DUMMYFUNCTION("IFERROR(VALUE(REGEXEXTRACT(I661, ""No\.? of [Ss]ubs:\s*(\d+)"")), 0) + IFERROR(VALUE(REGEXEXTRACT(I661, ""Affected Users(?:\s*\(From IM\))?:?\s*(\d+)"")), 0) + IFERROR(VALUE(REGEXEXTRACT(I661, ""Affected Clients:\s*(\d+)"")), 0)"),0.0)</f>
        <v>0</v>
      </c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33" t="str">
        <f>IFERROR(__xludf.DUMMYFUNCTION("LEN(REGEXREPLACE(REGEXREPLACE(REGEXEXTRACT(I662, ""(?s)Affected Nodes/Links(.*)""), ""https://[^\s]+"", """"), ""[^/]"", """")) / 2"),"#N/A")</f>
        <v>#N/A</v>
      </c>
      <c r="AC662" s="34">
        <f>IFERROR(__xludf.DUMMYFUNCTION("IFERROR(VALUE(REGEXEXTRACT(I662, ""No\.? of [Ss]ubs:\s*(\d+)"")), 0) + IFERROR(VALUE(REGEXEXTRACT(I662, ""Affected Users(?:\s*\(From IM\))?:?\s*(\d+)"")), 0) + IFERROR(VALUE(REGEXEXTRACT(I662, ""Affected Clients:\s*(\d+)"")), 0)"),0.0)</f>
        <v>0</v>
      </c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33" t="str">
        <f>IFERROR(__xludf.DUMMYFUNCTION("LEN(REGEXREPLACE(REGEXREPLACE(REGEXEXTRACT(I663, ""(?s)Affected Nodes/Links(.*)""), ""https://[^\s]+"", """"), ""[^/]"", """")) / 2"),"#N/A")</f>
        <v>#N/A</v>
      </c>
      <c r="AC663" s="34">
        <f>IFERROR(__xludf.DUMMYFUNCTION("IFERROR(VALUE(REGEXEXTRACT(I663, ""No\.? of [Ss]ubs:\s*(\d+)"")), 0) + IFERROR(VALUE(REGEXEXTRACT(I663, ""Affected Users(?:\s*\(From IM\))?:?\s*(\d+)"")), 0) + IFERROR(VALUE(REGEXEXTRACT(I663, ""Affected Clients:\s*(\d+)"")), 0)"),0.0)</f>
        <v>0</v>
      </c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33" t="str">
        <f>IFERROR(__xludf.DUMMYFUNCTION("LEN(REGEXREPLACE(REGEXREPLACE(REGEXEXTRACT(I664, ""(?s)Affected Nodes/Links(.*)""), ""https://[^\s]+"", """"), ""[^/]"", """")) / 2"),"#N/A")</f>
        <v>#N/A</v>
      </c>
      <c r="AC664" s="34">
        <f>IFERROR(__xludf.DUMMYFUNCTION("IFERROR(VALUE(REGEXEXTRACT(I664, ""No\.? of [Ss]ubs:\s*(\d+)"")), 0) + IFERROR(VALUE(REGEXEXTRACT(I664, ""Affected Users(?:\s*\(From IM\))?:?\s*(\d+)"")), 0) + IFERROR(VALUE(REGEXEXTRACT(I664, ""Affected Clients:\s*(\d+)"")), 0)"),0.0)</f>
        <v>0</v>
      </c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33" t="str">
        <f>IFERROR(__xludf.DUMMYFUNCTION("LEN(REGEXREPLACE(REGEXREPLACE(REGEXEXTRACT(I665, ""(?s)Affected Nodes/Links(.*)""), ""https://[^\s]+"", """"), ""[^/]"", """")) / 2"),"#N/A")</f>
        <v>#N/A</v>
      </c>
      <c r="AC665" s="34">
        <f>IFERROR(__xludf.DUMMYFUNCTION("IFERROR(VALUE(REGEXEXTRACT(I665, ""No\.? of [Ss]ubs:\s*(\d+)"")), 0) + IFERROR(VALUE(REGEXEXTRACT(I665, ""Affected Users(?:\s*\(From IM\))?:?\s*(\d+)"")), 0) + IFERROR(VALUE(REGEXEXTRACT(I665, ""Affected Clients:\s*(\d+)"")), 0)"),0.0)</f>
        <v>0</v>
      </c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33" t="str">
        <f>IFERROR(__xludf.DUMMYFUNCTION("LEN(REGEXREPLACE(REGEXREPLACE(REGEXEXTRACT(I666, ""(?s)Affected Nodes/Links(.*)""), ""https://[^\s]+"", """"), ""[^/]"", """")) / 2"),"#N/A")</f>
        <v>#N/A</v>
      </c>
      <c r="AC666" s="34">
        <f>IFERROR(__xludf.DUMMYFUNCTION("IFERROR(VALUE(REGEXEXTRACT(I666, ""No\.? of [Ss]ubs:\s*(\d+)"")), 0) + IFERROR(VALUE(REGEXEXTRACT(I666, ""Affected Users(?:\s*\(From IM\))?:?\s*(\d+)"")), 0) + IFERROR(VALUE(REGEXEXTRACT(I666, ""Affected Clients:\s*(\d+)"")), 0)"),0.0)</f>
        <v>0</v>
      </c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33" t="str">
        <f>IFERROR(__xludf.DUMMYFUNCTION("LEN(REGEXREPLACE(REGEXREPLACE(REGEXEXTRACT(I667, ""(?s)Affected Nodes/Links(.*)""), ""https://[^\s]+"", """"), ""[^/]"", """")) / 2"),"#N/A")</f>
        <v>#N/A</v>
      </c>
      <c r="AC667" s="34">
        <f>IFERROR(__xludf.DUMMYFUNCTION("IFERROR(VALUE(REGEXEXTRACT(I667, ""No\.? of [Ss]ubs:\s*(\d+)"")), 0) + IFERROR(VALUE(REGEXEXTRACT(I667, ""Affected Users(?:\s*\(From IM\))?:?\s*(\d+)"")), 0) + IFERROR(VALUE(REGEXEXTRACT(I667, ""Affected Clients:\s*(\d+)"")), 0)"),0.0)</f>
        <v>0</v>
      </c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33" t="str">
        <f>IFERROR(__xludf.DUMMYFUNCTION("LEN(REGEXREPLACE(REGEXREPLACE(REGEXEXTRACT(I668, ""(?s)Affected Nodes/Links(.*)""), ""https://[^\s]+"", """"), ""[^/]"", """")) / 2"),"#N/A")</f>
        <v>#N/A</v>
      </c>
      <c r="AC668" s="34">
        <f>IFERROR(__xludf.DUMMYFUNCTION("IFERROR(VALUE(REGEXEXTRACT(I668, ""No\.? of [Ss]ubs:\s*(\d+)"")), 0) + IFERROR(VALUE(REGEXEXTRACT(I668, ""Affected Users(?:\s*\(From IM\))?:?\s*(\d+)"")), 0) + IFERROR(VALUE(REGEXEXTRACT(I668, ""Affected Clients:\s*(\d+)"")), 0)"),0.0)</f>
        <v>0</v>
      </c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33" t="str">
        <f>IFERROR(__xludf.DUMMYFUNCTION("LEN(REGEXREPLACE(REGEXREPLACE(REGEXEXTRACT(I669, ""(?s)Affected Nodes/Links(.*)""), ""https://[^\s]+"", """"), ""[^/]"", """")) / 2"),"#N/A")</f>
        <v>#N/A</v>
      </c>
      <c r="AC669" s="34">
        <f>IFERROR(__xludf.DUMMYFUNCTION("IFERROR(VALUE(REGEXEXTRACT(I669, ""No\.? of [Ss]ubs:\s*(\d+)"")), 0) + IFERROR(VALUE(REGEXEXTRACT(I669, ""Affected Users(?:\s*\(From IM\))?:?\s*(\d+)"")), 0) + IFERROR(VALUE(REGEXEXTRACT(I669, ""Affected Clients:\s*(\d+)"")), 0)"),0.0)</f>
        <v>0</v>
      </c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33" t="str">
        <f>IFERROR(__xludf.DUMMYFUNCTION("LEN(REGEXREPLACE(REGEXREPLACE(REGEXEXTRACT(I670, ""(?s)Affected Nodes/Links(.*)""), ""https://[^\s]+"", """"), ""[^/]"", """")) / 2"),"#N/A")</f>
        <v>#N/A</v>
      </c>
      <c r="AC670" s="34">
        <f>IFERROR(__xludf.DUMMYFUNCTION("IFERROR(VALUE(REGEXEXTRACT(I670, ""No\.? of [Ss]ubs:\s*(\d+)"")), 0) + IFERROR(VALUE(REGEXEXTRACT(I670, ""Affected Users(?:\s*\(From IM\))?:?\s*(\d+)"")), 0) + IFERROR(VALUE(REGEXEXTRACT(I670, ""Affected Clients:\s*(\d+)"")), 0)"),0.0)</f>
        <v>0</v>
      </c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33" t="str">
        <f>IFERROR(__xludf.DUMMYFUNCTION("LEN(REGEXREPLACE(REGEXREPLACE(REGEXEXTRACT(I671, ""(?s)Affected Nodes/Links(.*)""), ""https://[^\s]+"", """"), ""[^/]"", """")) / 2"),"#N/A")</f>
        <v>#N/A</v>
      </c>
      <c r="AC671" s="34">
        <f>IFERROR(__xludf.DUMMYFUNCTION("IFERROR(VALUE(REGEXEXTRACT(I671, ""No\.? of [Ss]ubs:\s*(\d+)"")), 0) + IFERROR(VALUE(REGEXEXTRACT(I671, ""Affected Users(?:\s*\(From IM\))?:?\s*(\d+)"")), 0) + IFERROR(VALUE(REGEXEXTRACT(I671, ""Affected Clients:\s*(\d+)"")), 0)"),0.0)</f>
        <v>0</v>
      </c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33" t="str">
        <f>IFERROR(__xludf.DUMMYFUNCTION("LEN(REGEXREPLACE(REGEXREPLACE(REGEXEXTRACT(I672, ""(?s)Affected Nodes/Links(.*)""), ""https://[^\s]+"", """"), ""[^/]"", """")) / 2"),"#N/A")</f>
        <v>#N/A</v>
      </c>
      <c r="AC672" s="34">
        <f>IFERROR(__xludf.DUMMYFUNCTION("IFERROR(VALUE(REGEXEXTRACT(I672, ""No\.? of [Ss]ubs:\s*(\d+)"")), 0) + IFERROR(VALUE(REGEXEXTRACT(I672, ""Affected Users(?:\s*\(From IM\))?:?\s*(\d+)"")), 0) + IFERROR(VALUE(REGEXEXTRACT(I672, ""Affected Clients:\s*(\d+)"")), 0)"),0.0)</f>
        <v>0</v>
      </c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33" t="str">
        <f>IFERROR(__xludf.DUMMYFUNCTION("LEN(REGEXREPLACE(REGEXREPLACE(REGEXEXTRACT(I673, ""(?s)Affected Nodes/Links(.*)""), ""https://[^\s]+"", """"), ""[^/]"", """")) / 2"),"#N/A")</f>
        <v>#N/A</v>
      </c>
      <c r="AC673" s="34">
        <f>IFERROR(__xludf.DUMMYFUNCTION("IFERROR(VALUE(REGEXEXTRACT(I673, ""No\.? of [Ss]ubs:\s*(\d+)"")), 0) + IFERROR(VALUE(REGEXEXTRACT(I673, ""Affected Users(?:\s*\(From IM\))?:?\s*(\d+)"")), 0) + IFERROR(VALUE(REGEXEXTRACT(I673, ""Affected Clients:\s*(\d+)"")), 0)"),0.0)</f>
        <v>0</v>
      </c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33" t="str">
        <f>IFERROR(__xludf.DUMMYFUNCTION("LEN(REGEXREPLACE(REGEXREPLACE(REGEXEXTRACT(I674, ""(?s)Affected Nodes/Links(.*)""), ""https://[^\s]+"", """"), ""[^/]"", """")) / 2"),"#N/A")</f>
        <v>#N/A</v>
      </c>
      <c r="AC674" s="34">
        <f>IFERROR(__xludf.DUMMYFUNCTION("IFERROR(VALUE(REGEXEXTRACT(I674, ""No\.? of [Ss]ubs:\s*(\d+)"")), 0) + IFERROR(VALUE(REGEXEXTRACT(I674, ""Affected Users(?:\s*\(From IM\))?:?\s*(\d+)"")), 0) + IFERROR(VALUE(REGEXEXTRACT(I674, ""Affected Clients:\s*(\d+)"")), 0)"),0.0)</f>
        <v>0</v>
      </c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33" t="str">
        <f>IFERROR(__xludf.DUMMYFUNCTION("LEN(REGEXREPLACE(REGEXREPLACE(REGEXEXTRACT(I675, ""(?s)Affected Nodes/Links(.*)""), ""https://[^\s]+"", """"), ""[^/]"", """")) / 2"),"#N/A")</f>
        <v>#N/A</v>
      </c>
      <c r="AC675" s="34">
        <f>IFERROR(__xludf.DUMMYFUNCTION("IFERROR(VALUE(REGEXEXTRACT(I675, ""No\.? of [Ss]ubs:\s*(\d+)"")), 0) + IFERROR(VALUE(REGEXEXTRACT(I675, ""Affected Users(?:\s*\(From IM\))?:?\s*(\d+)"")), 0) + IFERROR(VALUE(REGEXEXTRACT(I675, ""Affected Clients:\s*(\d+)"")), 0)"),0.0)</f>
        <v>0</v>
      </c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33" t="str">
        <f>IFERROR(__xludf.DUMMYFUNCTION("LEN(REGEXREPLACE(REGEXREPLACE(REGEXEXTRACT(I676, ""(?s)Affected Nodes/Links(.*)""), ""https://[^\s]+"", """"), ""[^/]"", """")) / 2"),"#N/A")</f>
        <v>#N/A</v>
      </c>
      <c r="AC676" s="34">
        <f>IFERROR(__xludf.DUMMYFUNCTION("IFERROR(VALUE(REGEXEXTRACT(I676, ""No\.? of [Ss]ubs:\s*(\d+)"")), 0) + IFERROR(VALUE(REGEXEXTRACT(I676, ""Affected Users(?:\s*\(From IM\))?:?\s*(\d+)"")), 0) + IFERROR(VALUE(REGEXEXTRACT(I676, ""Affected Clients:\s*(\d+)"")), 0)"),0.0)</f>
        <v>0</v>
      </c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33" t="str">
        <f>IFERROR(__xludf.DUMMYFUNCTION("LEN(REGEXREPLACE(REGEXREPLACE(REGEXEXTRACT(I677, ""(?s)Affected Nodes/Links(.*)""), ""https://[^\s]+"", """"), ""[^/]"", """")) / 2"),"#N/A")</f>
        <v>#N/A</v>
      </c>
      <c r="AC677" s="34">
        <f>IFERROR(__xludf.DUMMYFUNCTION("IFERROR(VALUE(REGEXEXTRACT(I677, ""No\.? of [Ss]ubs:\s*(\d+)"")), 0) + IFERROR(VALUE(REGEXEXTRACT(I677, ""Affected Users(?:\s*\(From IM\))?:?\s*(\d+)"")), 0) + IFERROR(VALUE(REGEXEXTRACT(I677, ""Affected Clients:\s*(\d+)"")), 0)"),0.0)</f>
        <v>0</v>
      </c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33" t="str">
        <f>IFERROR(__xludf.DUMMYFUNCTION("LEN(REGEXREPLACE(REGEXREPLACE(REGEXEXTRACT(I678, ""(?s)Affected Nodes/Links(.*)""), ""https://[^\s]+"", """"), ""[^/]"", """")) / 2"),"#N/A")</f>
        <v>#N/A</v>
      </c>
      <c r="AC678" s="34">
        <f>IFERROR(__xludf.DUMMYFUNCTION("IFERROR(VALUE(REGEXEXTRACT(I678, ""No\.? of [Ss]ubs:\s*(\d+)"")), 0) + IFERROR(VALUE(REGEXEXTRACT(I678, ""Affected Users(?:\s*\(From IM\))?:?\s*(\d+)"")), 0) + IFERROR(VALUE(REGEXEXTRACT(I678, ""Affected Clients:\s*(\d+)"")), 0)"),0.0)</f>
        <v>0</v>
      </c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33" t="str">
        <f>IFERROR(__xludf.DUMMYFUNCTION("LEN(REGEXREPLACE(REGEXREPLACE(REGEXEXTRACT(I679, ""(?s)Affected Nodes/Links(.*)""), ""https://[^\s]+"", """"), ""[^/]"", """")) / 2"),"#N/A")</f>
        <v>#N/A</v>
      </c>
      <c r="AC679" s="34">
        <f>IFERROR(__xludf.DUMMYFUNCTION("IFERROR(VALUE(REGEXEXTRACT(I679, ""No\.? of [Ss]ubs:\s*(\d+)"")), 0) + IFERROR(VALUE(REGEXEXTRACT(I679, ""Affected Users(?:\s*\(From IM\))?:?\s*(\d+)"")), 0) + IFERROR(VALUE(REGEXEXTRACT(I679, ""Affected Clients:\s*(\d+)"")), 0)"),0.0)</f>
        <v>0</v>
      </c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33" t="str">
        <f>IFERROR(__xludf.DUMMYFUNCTION("LEN(REGEXREPLACE(REGEXREPLACE(REGEXEXTRACT(I680, ""(?s)Affected Nodes/Links(.*)""), ""https://[^\s]+"", """"), ""[^/]"", """")) / 2"),"#N/A")</f>
        <v>#N/A</v>
      </c>
      <c r="AC680" s="34">
        <f>IFERROR(__xludf.DUMMYFUNCTION("IFERROR(VALUE(REGEXEXTRACT(I680, ""No\.? of [Ss]ubs:\s*(\d+)"")), 0) + IFERROR(VALUE(REGEXEXTRACT(I680, ""Affected Users(?:\s*\(From IM\))?:?\s*(\d+)"")), 0) + IFERROR(VALUE(REGEXEXTRACT(I680, ""Affected Clients:\s*(\d+)"")), 0)"),0.0)</f>
        <v>0</v>
      </c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33" t="str">
        <f>IFERROR(__xludf.DUMMYFUNCTION("LEN(REGEXREPLACE(REGEXREPLACE(REGEXEXTRACT(I681, ""(?s)Affected Nodes/Links(.*)""), ""https://[^\s]+"", """"), ""[^/]"", """")) / 2"),"#N/A")</f>
        <v>#N/A</v>
      </c>
      <c r="AC681" s="34">
        <f>IFERROR(__xludf.DUMMYFUNCTION("IFERROR(VALUE(REGEXEXTRACT(I681, ""No\.? of [Ss]ubs:\s*(\d+)"")), 0) + IFERROR(VALUE(REGEXEXTRACT(I681, ""Affected Users(?:\s*\(From IM\))?:?\s*(\d+)"")), 0) + IFERROR(VALUE(REGEXEXTRACT(I681, ""Affected Clients:\s*(\d+)"")), 0)"),0.0)</f>
        <v>0</v>
      </c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33" t="str">
        <f>IFERROR(__xludf.DUMMYFUNCTION("LEN(REGEXREPLACE(REGEXREPLACE(REGEXEXTRACT(I682, ""(?s)Affected Nodes/Links(.*)""), ""https://[^\s]+"", """"), ""[^/]"", """")) / 2"),"#N/A")</f>
        <v>#N/A</v>
      </c>
      <c r="AC682" s="34">
        <f>IFERROR(__xludf.DUMMYFUNCTION("IFERROR(VALUE(REGEXEXTRACT(I682, ""No\.? of [Ss]ubs:\s*(\d+)"")), 0) + IFERROR(VALUE(REGEXEXTRACT(I682, ""Affected Users(?:\s*\(From IM\))?:?\s*(\d+)"")), 0) + IFERROR(VALUE(REGEXEXTRACT(I682, ""Affected Clients:\s*(\d+)"")), 0)"),0.0)</f>
        <v>0</v>
      </c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33" t="str">
        <f>IFERROR(__xludf.DUMMYFUNCTION("LEN(REGEXREPLACE(REGEXREPLACE(REGEXEXTRACT(I683, ""(?s)Affected Nodes/Links(.*)""), ""https://[^\s]+"", """"), ""[^/]"", """")) / 2"),"#N/A")</f>
        <v>#N/A</v>
      </c>
      <c r="AC683" s="34">
        <f>IFERROR(__xludf.DUMMYFUNCTION("IFERROR(VALUE(REGEXEXTRACT(I683, ""No\.? of [Ss]ubs:\s*(\d+)"")), 0) + IFERROR(VALUE(REGEXEXTRACT(I683, ""Affected Users(?:\s*\(From IM\))?:?\s*(\d+)"")), 0) + IFERROR(VALUE(REGEXEXTRACT(I683, ""Affected Clients:\s*(\d+)"")), 0)"),0.0)</f>
        <v>0</v>
      </c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33" t="str">
        <f>IFERROR(__xludf.DUMMYFUNCTION("LEN(REGEXREPLACE(REGEXREPLACE(REGEXEXTRACT(I684, ""(?s)Affected Nodes/Links(.*)""), ""https://[^\s]+"", """"), ""[^/]"", """")) / 2"),"#N/A")</f>
        <v>#N/A</v>
      </c>
      <c r="AC684" s="34">
        <f>IFERROR(__xludf.DUMMYFUNCTION("IFERROR(VALUE(REGEXEXTRACT(I684, ""No\.? of [Ss]ubs:\s*(\d+)"")), 0) + IFERROR(VALUE(REGEXEXTRACT(I684, ""Affected Users(?:\s*\(From IM\))?:?\s*(\d+)"")), 0) + IFERROR(VALUE(REGEXEXTRACT(I684, ""Affected Clients:\s*(\d+)"")), 0)"),0.0)</f>
        <v>0</v>
      </c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33" t="str">
        <f>IFERROR(__xludf.DUMMYFUNCTION("LEN(REGEXREPLACE(REGEXREPLACE(REGEXEXTRACT(I685, ""(?s)Affected Nodes/Links(.*)""), ""https://[^\s]+"", """"), ""[^/]"", """")) / 2"),"#N/A")</f>
        <v>#N/A</v>
      </c>
      <c r="AC685" s="34">
        <f>IFERROR(__xludf.DUMMYFUNCTION("IFERROR(VALUE(REGEXEXTRACT(I685, ""No\.? of [Ss]ubs:\s*(\d+)"")), 0) + IFERROR(VALUE(REGEXEXTRACT(I685, ""Affected Users(?:\s*\(From IM\))?:?\s*(\d+)"")), 0) + IFERROR(VALUE(REGEXEXTRACT(I685, ""Affected Clients:\s*(\d+)"")), 0)"),0.0)</f>
        <v>0</v>
      </c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33" t="str">
        <f>IFERROR(__xludf.DUMMYFUNCTION("LEN(REGEXREPLACE(REGEXREPLACE(REGEXEXTRACT(I686, ""(?s)Affected Nodes/Links(.*)""), ""https://[^\s]+"", """"), ""[^/]"", """")) / 2"),"#N/A")</f>
        <v>#N/A</v>
      </c>
      <c r="AC686" s="34">
        <f>IFERROR(__xludf.DUMMYFUNCTION("IFERROR(VALUE(REGEXEXTRACT(I686, ""No\.? of [Ss]ubs:\s*(\d+)"")), 0) + IFERROR(VALUE(REGEXEXTRACT(I686, ""Affected Users(?:\s*\(From IM\))?:?\s*(\d+)"")), 0) + IFERROR(VALUE(REGEXEXTRACT(I686, ""Affected Clients:\s*(\d+)"")), 0)"),0.0)</f>
        <v>0</v>
      </c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33" t="str">
        <f>IFERROR(__xludf.DUMMYFUNCTION("LEN(REGEXREPLACE(REGEXREPLACE(REGEXEXTRACT(I687, ""(?s)Affected Nodes/Links(.*)""), ""https://[^\s]+"", """"), ""[^/]"", """")) / 2"),"#N/A")</f>
        <v>#N/A</v>
      </c>
      <c r="AC687" s="34">
        <f>IFERROR(__xludf.DUMMYFUNCTION("IFERROR(VALUE(REGEXEXTRACT(I687, ""No\.? of [Ss]ubs:\s*(\d+)"")), 0) + IFERROR(VALUE(REGEXEXTRACT(I687, ""Affected Users(?:\s*\(From IM\))?:?\s*(\d+)"")), 0) + IFERROR(VALUE(REGEXEXTRACT(I687, ""Affected Clients:\s*(\d+)"")), 0)"),0.0)</f>
        <v>0</v>
      </c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33" t="str">
        <f>IFERROR(__xludf.DUMMYFUNCTION("LEN(REGEXREPLACE(REGEXREPLACE(REGEXEXTRACT(I688, ""(?s)Affected Nodes/Links(.*)""), ""https://[^\s]+"", """"), ""[^/]"", """")) / 2"),"#N/A")</f>
        <v>#N/A</v>
      </c>
      <c r="AC688" s="34">
        <f>IFERROR(__xludf.DUMMYFUNCTION("IFERROR(VALUE(REGEXEXTRACT(I688, ""No\.? of [Ss]ubs:\s*(\d+)"")), 0) + IFERROR(VALUE(REGEXEXTRACT(I688, ""Affected Users(?:\s*\(From IM\))?:?\s*(\d+)"")), 0) + IFERROR(VALUE(REGEXEXTRACT(I688, ""Affected Clients:\s*(\d+)"")), 0)"),0.0)</f>
        <v>0</v>
      </c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33" t="str">
        <f>IFERROR(__xludf.DUMMYFUNCTION("LEN(REGEXREPLACE(REGEXREPLACE(REGEXEXTRACT(I689, ""(?s)Affected Nodes/Links(.*)""), ""https://[^\s]+"", """"), ""[^/]"", """")) / 2"),"#N/A")</f>
        <v>#N/A</v>
      </c>
      <c r="AC689" s="34">
        <f>IFERROR(__xludf.DUMMYFUNCTION("IFERROR(VALUE(REGEXEXTRACT(I689, ""No\.? of [Ss]ubs:\s*(\d+)"")), 0) + IFERROR(VALUE(REGEXEXTRACT(I689, ""Affected Users(?:\s*\(From IM\))?:?\s*(\d+)"")), 0) + IFERROR(VALUE(REGEXEXTRACT(I689, ""Affected Clients:\s*(\d+)"")), 0)"),0.0)</f>
        <v>0</v>
      </c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33" t="str">
        <f>IFERROR(__xludf.DUMMYFUNCTION("LEN(REGEXREPLACE(REGEXREPLACE(REGEXEXTRACT(I690, ""(?s)Affected Nodes/Links(.*)""), ""https://[^\s]+"", """"), ""[^/]"", """")) / 2"),"#N/A")</f>
        <v>#N/A</v>
      </c>
      <c r="AC690" s="34">
        <f>IFERROR(__xludf.DUMMYFUNCTION("IFERROR(VALUE(REGEXEXTRACT(I690, ""No\.? of [Ss]ubs:\s*(\d+)"")), 0) + IFERROR(VALUE(REGEXEXTRACT(I690, ""Affected Users(?:\s*\(From IM\))?:?\s*(\d+)"")), 0) + IFERROR(VALUE(REGEXEXTRACT(I690, ""Affected Clients:\s*(\d+)"")), 0)"),0.0)</f>
        <v>0</v>
      </c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33" t="str">
        <f>IFERROR(__xludf.DUMMYFUNCTION("LEN(REGEXREPLACE(REGEXREPLACE(REGEXEXTRACT(I691, ""(?s)Affected Nodes/Links(.*)""), ""https://[^\s]+"", """"), ""[^/]"", """")) / 2"),"#N/A")</f>
        <v>#N/A</v>
      </c>
      <c r="AC691" s="34">
        <f>IFERROR(__xludf.DUMMYFUNCTION("IFERROR(VALUE(REGEXEXTRACT(I691, ""No\.? of [Ss]ubs:\s*(\d+)"")), 0) + IFERROR(VALUE(REGEXEXTRACT(I691, ""Affected Users(?:\s*\(From IM\))?:?\s*(\d+)"")), 0) + IFERROR(VALUE(REGEXEXTRACT(I691, ""Affected Clients:\s*(\d+)"")), 0)"),0.0)</f>
        <v>0</v>
      </c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33" t="str">
        <f>IFERROR(__xludf.DUMMYFUNCTION("LEN(REGEXREPLACE(REGEXREPLACE(REGEXEXTRACT(I692, ""(?s)Affected Nodes/Links(.*)""), ""https://[^\s]+"", """"), ""[^/]"", """")) / 2"),"#N/A")</f>
        <v>#N/A</v>
      </c>
      <c r="AC692" s="34">
        <f>IFERROR(__xludf.DUMMYFUNCTION("IFERROR(VALUE(REGEXEXTRACT(I692, ""No\.? of [Ss]ubs:\s*(\d+)"")), 0) + IFERROR(VALUE(REGEXEXTRACT(I692, ""Affected Users(?:\s*\(From IM\))?:?\s*(\d+)"")), 0) + IFERROR(VALUE(REGEXEXTRACT(I692, ""Affected Clients:\s*(\d+)"")), 0)"),0.0)</f>
        <v>0</v>
      </c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33" t="str">
        <f>IFERROR(__xludf.DUMMYFUNCTION("LEN(REGEXREPLACE(REGEXREPLACE(REGEXEXTRACT(I693, ""(?s)Affected Nodes/Links(.*)""), ""https://[^\s]+"", """"), ""[^/]"", """")) / 2"),"#N/A")</f>
        <v>#N/A</v>
      </c>
      <c r="AC693" s="34">
        <f>IFERROR(__xludf.DUMMYFUNCTION("IFERROR(VALUE(REGEXEXTRACT(I693, ""No\.? of [Ss]ubs:\s*(\d+)"")), 0) + IFERROR(VALUE(REGEXEXTRACT(I693, ""Affected Users(?:\s*\(From IM\))?:?\s*(\d+)"")), 0) + IFERROR(VALUE(REGEXEXTRACT(I693, ""Affected Clients:\s*(\d+)"")), 0)"),0.0)</f>
        <v>0</v>
      </c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33" t="str">
        <f>IFERROR(__xludf.DUMMYFUNCTION("LEN(REGEXREPLACE(REGEXREPLACE(REGEXEXTRACT(I694, ""(?s)Affected Nodes/Links(.*)""), ""https://[^\s]+"", """"), ""[^/]"", """")) / 2"),"#N/A")</f>
        <v>#N/A</v>
      </c>
      <c r="AC694" s="34">
        <f>IFERROR(__xludf.DUMMYFUNCTION("IFERROR(VALUE(REGEXEXTRACT(I694, ""No\.? of [Ss]ubs:\s*(\d+)"")), 0) + IFERROR(VALUE(REGEXEXTRACT(I694, ""Affected Users(?:\s*\(From IM\))?:?\s*(\d+)"")), 0) + IFERROR(VALUE(REGEXEXTRACT(I694, ""Affected Clients:\s*(\d+)"")), 0)"),0.0)</f>
        <v>0</v>
      </c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33" t="str">
        <f>IFERROR(__xludf.DUMMYFUNCTION("LEN(REGEXREPLACE(REGEXREPLACE(REGEXEXTRACT(I695, ""(?s)Affected Nodes/Links(.*)""), ""https://[^\s]+"", """"), ""[^/]"", """")) / 2"),"#N/A")</f>
        <v>#N/A</v>
      </c>
      <c r="AC695" s="34">
        <f>IFERROR(__xludf.DUMMYFUNCTION("IFERROR(VALUE(REGEXEXTRACT(I695, ""No\.? of [Ss]ubs:\s*(\d+)"")), 0) + IFERROR(VALUE(REGEXEXTRACT(I695, ""Affected Users(?:\s*\(From IM\))?:?\s*(\d+)"")), 0) + IFERROR(VALUE(REGEXEXTRACT(I695, ""Affected Clients:\s*(\d+)"")), 0)"),0.0)</f>
        <v>0</v>
      </c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33" t="str">
        <f>IFERROR(__xludf.DUMMYFUNCTION("LEN(REGEXREPLACE(REGEXREPLACE(REGEXEXTRACT(I696, ""(?s)Affected Nodes/Links(.*)""), ""https://[^\s]+"", """"), ""[^/]"", """")) / 2"),"#N/A")</f>
        <v>#N/A</v>
      </c>
      <c r="AC696" s="34">
        <f>IFERROR(__xludf.DUMMYFUNCTION("IFERROR(VALUE(REGEXEXTRACT(I696, ""No\.? of [Ss]ubs:\s*(\d+)"")), 0) + IFERROR(VALUE(REGEXEXTRACT(I696, ""Affected Users(?:\s*\(From IM\))?:?\s*(\d+)"")), 0) + IFERROR(VALUE(REGEXEXTRACT(I696, ""Affected Clients:\s*(\d+)"")), 0)"),0.0)</f>
        <v>0</v>
      </c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33" t="str">
        <f>IFERROR(__xludf.DUMMYFUNCTION("LEN(REGEXREPLACE(REGEXREPLACE(REGEXEXTRACT(I697, ""(?s)Affected Nodes/Links(.*)""), ""https://[^\s]+"", """"), ""[^/]"", """")) / 2"),"#N/A")</f>
        <v>#N/A</v>
      </c>
      <c r="AC697" s="34">
        <f>IFERROR(__xludf.DUMMYFUNCTION("IFERROR(VALUE(REGEXEXTRACT(I697, ""No\.? of [Ss]ubs:\s*(\d+)"")), 0) + IFERROR(VALUE(REGEXEXTRACT(I697, ""Affected Users(?:\s*\(From IM\))?:?\s*(\d+)"")), 0) + IFERROR(VALUE(REGEXEXTRACT(I697, ""Affected Clients:\s*(\d+)"")), 0)"),0.0)</f>
        <v>0</v>
      </c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33" t="str">
        <f>IFERROR(__xludf.DUMMYFUNCTION("LEN(REGEXREPLACE(REGEXREPLACE(REGEXEXTRACT(I698, ""(?s)Affected Nodes/Links(.*)""), ""https://[^\s]+"", """"), ""[^/]"", """")) / 2"),"#N/A")</f>
        <v>#N/A</v>
      </c>
      <c r="AC698" s="34">
        <f>IFERROR(__xludf.DUMMYFUNCTION("IFERROR(VALUE(REGEXEXTRACT(I698, ""No\.? of [Ss]ubs:\s*(\d+)"")), 0) + IFERROR(VALUE(REGEXEXTRACT(I698, ""Affected Users(?:\s*\(From IM\))?:?\s*(\d+)"")), 0) + IFERROR(VALUE(REGEXEXTRACT(I698, ""Affected Clients:\s*(\d+)"")), 0)"),0.0)</f>
        <v>0</v>
      </c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33" t="str">
        <f>IFERROR(__xludf.DUMMYFUNCTION("LEN(REGEXREPLACE(REGEXREPLACE(REGEXEXTRACT(I699, ""(?s)Affected Nodes/Links(.*)""), ""https://[^\s]+"", """"), ""[^/]"", """")) / 2"),"#N/A")</f>
        <v>#N/A</v>
      </c>
      <c r="AC699" s="34">
        <f>IFERROR(__xludf.DUMMYFUNCTION("IFERROR(VALUE(REGEXEXTRACT(I699, ""No\.? of [Ss]ubs:\s*(\d+)"")), 0) + IFERROR(VALUE(REGEXEXTRACT(I699, ""Affected Users(?:\s*\(From IM\))?:?\s*(\d+)"")), 0) + IFERROR(VALUE(REGEXEXTRACT(I699, ""Affected Clients:\s*(\d+)"")), 0)"),0.0)</f>
        <v>0</v>
      </c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33" t="str">
        <f>IFERROR(__xludf.DUMMYFUNCTION("LEN(REGEXREPLACE(REGEXREPLACE(REGEXEXTRACT(I700, ""(?s)Affected Nodes/Links(.*)""), ""https://[^\s]+"", """"), ""[^/]"", """")) / 2"),"#N/A")</f>
        <v>#N/A</v>
      </c>
      <c r="AC700" s="34">
        <f>IFERROR(__xludf.DUMMYFUNCTION("IFERROR(VALUE(REGEXEXTRACT(I700, ""No\.? of [Ss]ubs:\s*(\d+)"")), 0) + IFERROR(VALUE(REGEXEXTRACT(I700, ""Affected Users(?:\s*\(From IM\))?:?\s*(\d+)"")), 0) + IFERROR(VALUE(REGEXEXTRACT(I700, ""Affected Clients:\s*(\d+)"")), 0)"),0.0)</f>
        <v>0</v>
      </c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33" t="str">
        <f>IFERROR(__xludf.DUMMYFUNCTION("LEN(REGEXREPLACE(REGEXREPLACE(REGEXEXTRACT(I701, ""(?s)Affected Nodes/Links(.*)""), ""https://[^\s]+"", """"), ""[^/]"", """")) / 2"),"#N/A")</f>
        <v>#N/A</v>
      </c>
      <c r="AC701" s="34">
        <f>IFERROR(__xludf.DUMMYFUNCTION("IFERROR(VALUE(REGEXEXTRACT(I701, ""No\.? of [Ss]ubs:\s*(\d+)"")), 0) + IFERROR(VALUE(REGEXEXTRACT(I701, ""Affected Users(?:\s*\(From IM\))?:?\s*(\d+)"")), 0) + IFERROR(VALUE(REGEXEXTRACT(I701, ""Affected Clients:\s*(\d+)"")), 0)"),0.0)</f>
        <v>0</v>
      </c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33" t="str">
        <f>IFERROR(__xludf.DUMMYFUNCTION("LEN(REGEXREPLACE(REGEXREPLACE(REGEXEXTRACT(I702, ""(?s)Affected Nodes/Links(.*)""), ""https://[^\s]+"", """"), ""[^/]"", """")) / 2"),"#N/A")</f>
        <v>#N/A</v>
      </c>
      <c r="AC702" s="34">
        <f>IFERROR(__xludf.DUMMYFUNCTION("IFERROR(VALUE(REGEXEXTRACT(I702, ""No\.? of [Ss]ubs:\s*(\d+)"")), 0) + IFERROR(VALUE(REGEXEXTRACT(I702, ""Affected Users(?:\s*\(From IM\))?:?\s*(\d+)"")), 0) + IFERROR(VALUE(REGEXEXTRACT(I702, ""Affected Clients:\s*(\d+)"")), 0)"),0.0)</f>
        <v>0</v>
      </c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33" t="str">
        <f>IFERROR(__xludf.DUMMYFUNCTION("LEN(REGEXREPLACE(REGEXREPLACE(REGEXEXTRACT(I703, ""(?s)Affected Nodes/Links(.*)""), ""https://[^\s]+"", """"), ""[^/]"", """")) / 2"),"#N/A")</f>
        <v>#N/A</v>
      </c>
      <c r="AC703" s="34">
        <f>IFERROR(__xludf.DUMMYFUNCTION("IFERROR(VALUE(REGEXEXTRACT(I703, ""No\.? of [Ss]ubs:\s*(\d+)"")), 0) + IFERROR(VALUE(REGEXEXTRACT(I703, ""Affected Users(?:\s*\(From IM\))?:?\s*(\d+)"")), 0) + IFERROR(VALUE(REGEXEXTRACT(I703, ""Affected Clients:\s*(\d+)"")), 0)"),0.0)</f>
        <v>0</v>
      </c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33" t="str">
        <f>IFERROR(__xludf.DUMMYFUNCTION("LEN(REGEXREPLACE(REGEXREPLACE(REGEXEXTRACT(I704, ""(?s)Affected Nodes/Links(.*)""), ""https://[^\s]+"", """"), ""[^/]"", """")) / 2"),"#N/A")</f>
        <v>#N/A</v>
      </c>
      <c r="AC704" s="34">
        <f>IFERROR(__xludf.DUMMYFUNCTION("IFERROR(VALUE(REGEXEXTRACT(I704, ""No\.? of [Ss]ubs:\s*(\d+)"")), 0) + IFERROR(VALUE(REGEXEXTRACT(I704, ""Affected Users(?:\s*\(From IM\))?:?\s*(\d+)"")), 0) + IFERROR(VALUE(REGEXEXTRACT(I704, ""Affected Clients:\s*(\d+)"")), 0)"),0.0)</f>
        <v>0</v>
      </c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33" t="str">
        <f>IFERROR(__xludf.DUMMYFUNCTION("LEN(REGEXREPLACE(REGEXREPLACE(REGEXEXTRACT(I705, ""(?s)Affected Nodes/Links(.*)""), ""https://[^\s]+"", """"), ""[^/]"", """")) / 2"),"#N/A")</f>
        <v>#N/A</v>
      </c>
      <c r="AC705" s="34">
        <f>IFERROR(__xludf.DUMMYFUNCTION("IFERROR(VALUE(REGEXEXTRACT(I705, ""No\.? of [Ss]ubs:\s*(\d+)"")), 0) + IFERROR(VALUE(REGEXEXTRACT(I705, ""Affected Users(?:\s*\(From IM\))?:?\s*(\d+)"")), 0) + IFERROR(VALUE(REGEXEXTRACT(I705, ""Affected Clients:\s*(\d+)"")), 0)"),0.0)</f>
        <v>0</v>
      </c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33" t="str">
        <f>IFERROR(__xludf.DUMMYFUNCTION("LEN(REGEXREPLACE(REGEXREPLACE(REGEXEXTRACT(I706, ""(?s)Affected Nodes/Links(.*)""), ""https://[^\s]+"", """"), ""[^/]"", """")) / 2"),"#N/A")</f>
        <v>#N/A</v>
      </c>
      <c r="AC706" s="34">
        <f>IFERROR(__xludf.DUMMYFUNCTION("IFERROR(VALUE(REGEXEXTRACT(I706, ""No\.? of [Ss]ubs:\s*(\d+)"")), 0) + IFERROR(VALUE(REGEXEXTRACT(I706, ""Affected Users(?:\s*\(From IM\))?:?\s*(\d+)"")), 0) + IFERROR(VALUE(REGEXEXTRACT(I706, ""Affected Clients:\s*(\d+)"")), 0)"),0.0)</f>
        <v>0</v>
      </c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33" t="str">
        <f>IFERROR(__xludf.DUMMYFUNCTION("LEN(REGEXREPLACE(REGEXREPLACE(REGEXEXTRACT(I707, ""(?s)Affected Nodes/Links(.*)""), ""https://[^\s]+"", """"), ""[^/]"", """")) / 2"),"#N/A")</f>
        <v>#N/A</v>
      </c>
      <c r="AC707" s="34">
        <f>IFERROR(__xludf.DUMMYFUNCTION("IFERROR(VALUE(REGEXEXTRACT(I707, ""No\.? of [Ss]ubs:\s*(\d+)"")), 0) + IFERROR(VALUE(REGEXEXTRACT(I707, ""Affected Users(?:\s*\(From IM\))?:?\s*(\d+)"")), 0) + IFERROR(VALUE(REGEXEXTRACT(I707, ""Affected Clients:\s*(\d+)"")), 0)"),0.0)</f>
        <v>0</v>
      </c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33" t="str">
        <f>IFERROR(__xludf.DUMMYFUNCTION("LEN(REGEXREPLACE(REGEXREPLACE(REGEXEXTRACT(I708, ""(?s)Affected Nodes/Links(.*)""), ""https://[^\s]+"", """"), ""[^/]"", """")) / 2"),"#N/A")</f>
        <v>#N/A</v>
      </c>
      <c r="AC708" s="34">
        <f>IFERROR(__xludf.DUMMYFUNCTION("IFERROR(VALUE(REGEXEXTRACT(I708, ""No\.? of [Ss]ubs:\s*(\d+)"")), 0) + IFERROR(VALUE(REGEXEXTRACT(I708, ""Affected Users(?:\s*\(From IM\))?:?\s*(\d+)"")), 0) + IFERROR(VALUE(REGEXEXTRACT(I708, ""Affected Clients:\s*(\d+)"")), 0)"),0.0)</f>
        <v>0</v>
      </c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33" t="str">
        <f>IFERROR(__xludf.DUMMYFUNCTION("LEN(REGEXREPLACE(REGEXREPLACE(REGEXEXTRACT(I709, ""(?s)Affected Nodes/Links(.*)""), ""https://[^\s]+"", """"), ""[^/]"", """")) / 2"),"#N/A")</f>
        <v>#N/A</v>
      </c>
      <c r="AC709" s="34">
        <f>IFERROR(__xludf.DUMMYFUNCTION("IFERROR(VALUE(REGEXEXTRACT(I709, ""No\.? of [Ss]ubs:\s*(\d+)"")), 0) + IFERROR(VALUE(REGEXEXTRACT(I709, ""Affected Users(?:\s*\(From IM\))?:?\s*(\d+)"")), 0) + IFERROR(VALUE(REGEXEXTRACT(I709, ""Affected Clients:\s*(\d+)"")), 0)"),0.0)</f>
        <v>0</v>
      </c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33" t="str">
        <f>IFERROR(__xludf.DUMMYFUNCTION("LEN(REGEXREPLACE(REGEXREPLACE(REGEXEXTRACT(I710, ""(?s)Affected Nodes/Links(.*)""), ""https://[^\s]+"", """"), ""[^/]"", """")) / 2"),"#N/A")</f>
        <v>#N/A</v>
      </c>
      <c r="AC710" s="34">
        <f>IFERROR(__xludf.DUMMYFUNCTION("IFERROR(VALUE(REGEXEXTRACT(I710, ""No\.? of [Ss]ubs:\s*(\d+)"")), 0) + IFERROR(VALUE(REGEXEXTRACT(I710, ""Affected Users(?:\s*\(From IM\))?:?\s*(\d+)"")), 0) + IFERROR(VALUE(REGEXEXTRACT(I710, ""Affected Clients:\s*(\d+)"")), 0)"),0.0)</f>
        <v>0</v>
      </c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33" t="str">
        <f>IFERROR(__xludf.DUMMYFUNCTION("LEN(REGEXREPLACE(REGEXREPLACE(REGEXEXTRACT(I711, ""(?s)Affected Nodes/Links(.*)""), ""https://[^\s]+"", """"), ""[^/]"", """")) / 2"),"#N/A")</f>
        <v>#N/A</v>
      </c>
      <c r="AC711" s="34">
        <f>IFERROR(__xludf.DUMMYFUNCTION("IFERROR(VALUE(REGEXEXTRACT(I711, ""No\.? of [Ss]ubs:\s*(\d+)"")), 0) + IFERROR(VALUE(REGEXEXTRACT(I711, ""Affected Users(?:\s*\(From IM\))?:?\s*(\d+)"")), 0) + IFERROR(VALUE(REGEXEXTRACT(I711, ""Affected Clients:\s*(\d+)"")), 0)"),0.0)</f>
        <v>0</v>
      </c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33" t="str">
        <f>IFERROR(__xludf.DUMMYFUNCTION("LEN(REGEXREPLACE(REGEXREPLACE(REGEXEXTRACT(I712, ""(?s)Affected Nodes/Links(.*)""), ""https://[^\s]+"", """"), ""[^/]"", """")) / 2"),"#N/A")</f>
        <v>#N/A</v>
      </c>
      <c r="AC712" s="34">
        <f>IFERROR(__xludf.DUMMYFUNCTION("IFERROR(VALUE(REGEXEXTRACT(I712, ""No\.? of [Ss]ubs:\s*(\d+)"")), 0) + IFERROR(VALUE(REGEXEXTRACT(I712, ""Affected Users(?:\s*\(From IM\))?:?\s*(\d+)"")), 0) + IFERROR(VALUE(REGEXEXTRACT(I712, ""Affected Clients:\s*(\d+)"")), 0)"),0.0)</f>
        <v>0</v>
      </c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33" t="str">
        <f>IFERROR(__xludf.DUMMYFUNCTION("LEN(REGEXREPLACE(REGEXREPLACE(REGEXEXTRACT(I713, ""(?s)Affected Nodes/Links(.*)""), ""https://[^\s]+"", """"), ""[^/]"", """")) / 2"),"#N/A")</f>
        <v>#N/A</v>
      </c>
      <c r="AC713" s="34">
        <f>IFERROR(__xludf.DUMMYFUNCTION("IFERROR(VALUE(REGEXEXTRACT(I713, ""No\.? of [Ss]ubs:\s*(\d+)"")), 0) + IFERROR(VALUE(REGEXEXTRACT(I713, ""Affected Users(?:\s*\(From IM\))?:?\s*(\d+)"")), 0) + IFERROR(VALUE(REGEXEXTRACT(I713, ""Affected Clients:\s*(\d+)"")), 0)"),0.0)</f>
        <v>0</v>
      </c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33" t="str">
        <f>IFERROR(__xludf.DUMMYFUNCTION("LEN(REGEXREPLACE(REGEXREPLACE(REGEXEXTRACT(I714, ""(?s)Affected Nodes/Links(.*)""), ""https://[^\s]+"", """"), ""[^/]"", """")) / 2"),"#N/A")</f>
        <v>#N/A</v>
      </c>
      <c r="AC714" s="34">
        <f>IFERROR(__xludf.DUMMYFUNCTION("IFERROR(VALUE(REGEXEXTRACT(I714, ""No\.? of [Ss]ubs:\s*(\d+)"")), 0) + IFERROR(VALUE(REGEXEXTRACT(I714, ""Affected Users(?:\s*\(From IM\))?:?\s*(\d+)"")), 0) + IFERROR(VALUE(REGEXEXTRACT(I714, ""Affected Clients:\s*(\d+)"")), 0)"),0.0)</f>
        <v>0</v>
      </c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33" t="str">
        <f>IFERROR(__xludf.DUMMYFUNCTION("LEN(REGEXREPLACE(REGEXREPLACE(REGEXEXTRACT(I715, ""(?s)Affected Nodes/Links(.*)""), ""https://[^\s]+"", """"), ""[^/]"", """")) / 2"),"#N/A")</f>
        <v>#N/A</v>
      </c>
      <c r="AC715" s="34">
        <f>IFERROR(__xludf.DUMMYFUNCTION("IFERROR(VALUE(REGEXEXTRACT(I715, ""No\.? of [Ss]ubs:\s*(\d+)"")), 0) + IFERROR(VALUE(REGEXEXTRACT(I715, ""Affected Users(?:\s*\(From IM\))?:?\s*(\d+)"")), 0) + IFERROR(VALUE(REGEXEXTRACT(I715, ""Affected Clients:\s*(\d+)"")), 0)"),0.0)</f>
        <v>0</v>
      </c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33" t="str">
        <f>IFERROR(__xludf.DUMMYFUNCTION("LEN(REGEXREPLACE(REGEXREPLACE(REGEXEXTRACT(I716, ""(?s)Affected Nodes/Links(.*)""), ""https://[^\s]+"", """"), ""[^/]"", """")) / 2"),"#N/A")</f>
        <v>#N/A</v>
      </c>
      <c r="AC716" s="34">
        <f>IFERROR(__xludf.DUMMYFUNCTION("IFERROR(VALUE(REGEXEXTRACT(I716, ""No\.? of [Ss]ubs:\s*(\d+)"")), 0) + IFERROR(VALUE(REGEXEXTRACT(I716, ""Affected Users(?:\s*\(From IM\))?:?\s*(\d+)"")), 0) + IFERROR(VALUE(REGEXEXTRACT(I716, ""Affected Clients:\s*(\d+)"")), 0)"),0.0)</f>
        <v>0</v>
      </c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33" t="str">
        <f>IFERROR(__xludf.DUMMYFUNCTION("LEN(REGEXREPLACE(REGEXREPLACE(REGEXEXTRACT(I717, ""(?s)Affected Nodes/Links(.*)""), ""https://[^\s]+"", """"), ""[^/]"", """")) / 2"),"#N/A")</f>
        <v>#N/A</v>
      </c>
      <c r="AC717" s="34">
        <f>IFERROR(__xludf.DUMMYFUNCTION("IFERROR(VALUE(REGEXEXTRACT(I717, ""No\.? of [Ss]ubs:\s*(\d+)"")), 0) + IFERROR(VALUE(REGEXEXTRACT(I717, ""Affected Users(?:\s*\(From IM\))?:?\s*(\d+)"")), 0) + IFERROR(VALUE(REGEXEXTRACT(I717, ""Affected Clients:\s*(\d+)"")), 0)"),0.0)</f>
        <v>0</v>
      </c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33" t="str">
        <f>IFERROR(__xludf.DUMMYFUNCTION("LEN(REGEXREPLACE(REGEXREPLACE(REGEXEXTRACT(I718, ""(?s)Affected Nodes/Links(.*)""), ""https://[^\s]+"", """"), ""[^/]"", """")) / 2"),"#N/A")</f>
        <v>#N/A</v>
      </c>
      <c r="AC718" s="34">
        <f>IFERROR(__xludf.DUMMYFUNCTION("IFERROR(VALUE(REGEXEXTRACT(I718, ""No\.? of [Ss]ubs:\s*(\d+)"")), 0) + IFERROR(VALUE(REGEXEXTRACT(I718, ""Affected Users(?:\s*\(From IM\))?:?\s*(\d+)"")), 0) + IFERROR(VALUE(REGEXEXTRACT(I718, ""Affected Clients:\s*(\d+)"")), 0)"),0.0)</f>
        <v>0</v>
      </c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33" t="str">
        <f>IFERROR(__xludf.DUMMYFUNCTION("LEN(REGEXREPLACE(REGEXREPLACE(REGEXEXTRACT(I719, ""(?s)Affected Nodes/Links(.*)""), ""https://[^\s]+"", """"), ""[^/]"", """")) / 2"),"#N/A")</f>
        <v>#N/A</v>
      </c>
      <c r="AC719" s="34">
        <f>IFERROR(__xludf.DUMMYFUNCTION("IFERROR(VALUE(REGEXEXTRACT(I719, ""No\.? of [Ss]ubs:\s*(\d+)"")), 0) + IFERROR(VALUE(REGEXEXTRACT(I719, ""Affected Users(?:\s*\(From IM\))?:?\s*(\d+)"")), 0) + IFERROR(VALUE(REGEXEXTRACT(I719, ""Affected Clients:\s*(\d+)"")), 0)"),0.0)</f>
        <v>0</v>
      </c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33" t="str">
        <f>IFERROR(__xludf.DUMMYFUNCTION("LEN(REGEXREPLACE(REGEXREPLACE(REGEXEXTRACT(I720, ""(?s)Affected Nodes/Links(.*)""), ""https://[^\s]+"", """"), ""[^/]"", """")) / 2"),"#N/A")</f>
        <v>#N/A</v>
      </c>
      <c r="AC720" s="34">
        <f>IFERROR(__xludf.DUMMYFUNCTION("IFERROR(VALUE(REGEXEXTRACT(I720, ""No\.? of [Ss]ubs:\s*(\d+)"")), 0) + IFERROR(VALUE(REGEXEXTRACT(I720, ""Affected Users(?:\s*\(From IM\))?:?\s*(\d+)"")), 0) + IFERROR(VALUE(REGEXEXTRACT(I720, ""Affected Clients:\s*(\d+)"")), 0)"),0.0)</f>
        <v>0</v>
      </c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33" t="str">
        <f>IFERROR(__xludf.DUMMYFUNCTION("LEN(REGEXREPLACE(REGEXREPLACE(REGEXEXTRACT(I721, ""(?s)Affected Nodes/Links(.*)""), ""https://[^\s]+"", """"), ""[^/]"", """")) / 2"),"#N/A")</f>
        <v>#N/A</v>
      </c>
      <c r="AC721" s="34">
        <f>IFERROR(__xludf.DUMMYFUNCTION("IFERROR(VALUE(REGEXEXTRACT(I721, ""No\.? of [Ss]ubs:\s*(\d+)"")), 0) + IFERROR(VALUE(REGEXEXTRACT(I721, ""Affected Users(?:\s*\(From IM\))?:?\s*(\d+)"")), 0) + IFERROR(VALUE(REGEXEXTRACT(I721, ""Affected Clients:\s*(\d+)"")), 0)"),0.0)</f>
        <v>0</v>
      </c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33" t="str">
        <f>IFERROR(__xludf.DUMMYFUNCTION("LEN(REGEXREPLACE(REGEXREPLACE(REGEXEXTRACT(I722, ""(?s)Affected Nodes/Links(.*)""), ""https://[^\s]+"", """"), ""[^/]"", """")) / 2"),"#N/A")</f>
        <v>#N/A</v>
      </c>
      <c r="AC722" s="34">
        <f>IFERROR(__xludf.DUMMYFUNCTION("IFERROR(VALUE(REGEXEXTRACT(I722, ""No\.? of [Ss]ubs:\s*(\d+)"")), 0) + IFERROR(VALUE(REGEXEXTRACT(I722, ""Affected Users(?:\s*\(From IM\))?:?\s*(\d+)"")), 0) + IFERROR(VALUE(REGEXEXTRACT(I722, ""Affected Clients:\s*(\d+)"")), 0)"),0.0)</f>
        <v>0</v>
      </c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33" t="str">
        <f>IFERROR(__xludf.DUMMYFUNCTION("LEN(REGEXREPLACE(REGEXREPLACE(REGEXEXTRACT(I723, ""(?s)Affected Nodes/Links(.*)""), ""https://[^\s]+"", """"), ""[^/]"", """")) / 2"),"#N/A")</f>
        <v>#N/A</v>
      </c>
      <c r="AC723" s="34">
        <f>IFERROR(__xludf.DUMMYFUNCTION("IFERROR(VALUE(REGEXEXTRACT(I723, ""No\.? of [Ss]ubs:\s*(\d+)"")), 0) + IFERROR(VALUE(REGEXEXTRACT(I723, ""Affected Users(?:\s*\(From IM\))?:?\s*(\d+)"")), 0) + IFERROR(VALUE(REGEXEXTRACT(I723, ""Affected Clients:\s*(\d+)"")), 0)"),0.0)</f>
        <v>0</v>
      </c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33" t="str">
        <f>IFERROR(__xludf.DUMMYFUNCTION("LEN(REGEXREPLACE(REGEXREPLACE(REGEXEXTRACT(I724, ""(?s)Affected Nodes/Links(.*)""), ""https://[^\s]+"", """"), ""[^/]"", """")) / 2"),"#N/A")</f>
        <v>#N/A</v>
      </c>
      <c r="AC724" s="34">
        <f>IFERROR(__xludf.DUMMYFUNCTION("IFERROR(VALUE(REGEXEXTRACT(I724, ""No\.? of [Ss]ubs:\s*(\d+)"")), 0) + IFERROR(VALUE(REGEXEXTRACT(I724, ""Affected Users(?:\s*\(From IM\))?:?\s*(\d+)"")), 0) + IFERROR(VALUE(REGEXEXTRACT(I724, ""Affected Clients:\s*(\d+)"")), 0)"),0.0)</f>
        <v>0</v>
      </c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33" t="str">
        <f>IFERROR(__xludf.DUMMYFUNCTION("LEN(REGEXREPLACE(REGEXREPLACE(REGEXEXTRACT(I725, ""(?s)Affected Nodes/Links(.*)""), ""https://[^\s]+"", """"), ""[^/]"", """")) / 2"),"#N/A")</f>
        <v>#N/A</v>
      </c>
      <c r="AC725" s="34">
        <f>IFERROR(__xludf.DUMMYFUNCTION("IFERROR(VALUE(REGEXEXTRACT(I725, ""No\.? of [Ss]ubs:\s*(\d+)"")), 0) + IFERROR(VALUE(REGEXEXTRACT(I725, ""Affected Users(?:\s*\(From IM\))?:?\s*(\d+)"")), 0) + IFERROR(VALUE(REGEXEXTRACT(I725, ""Affected Clients:\s*(\d+)"")), 0)"),0.0)</f>
        <v>0</v>
      </c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33" t="str">
        <f>IFERROR(__xludf.DUMMYFUNCTION("LEN(REGEXREPLACE(REGEXREPLACE(REGEXEXTRACT(I726, ""(?s)Affected Nodes/Links(.*)""), ""https://[^\s]+"", """"), ""[^/]"", """")) / 2"),"#N/A")</f>
        <v>#N/A</v>
      </c>
      <c r="AC726" s="34">
        <f>IFERROR(__xludf.DUMMYFUNCTION("IFERROR(VALUE(REGEXEXTRACT(I726, ""No\.? of [Ss]ubs:\s*(\d+)"")), 0) + IFERROR(VALUE(REGEXEXTRACT(I726, ""Affected Users(?:\s*\(From IM\))?:?\s*(\d+)"")), 0) + IFERROR(VALUE(REGEXEXTRACT(I726, ""Affected Clients:\s*(\d+)"")), 0)"),0.0)</f>
        <v>0</v>
      </c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33" t="str">
        <f>IFERROR(__xludf.DUMMYFUNCTION("LEN(REGEXREPLACE(REGEXREPLACE(REGEXEXTRACT(I727, ""(?s)Affected Nodes/Links(.*)""), ""https://[^\s]+"", """"), ""[^/]"", """")) / 2"),"#N/A")</f>
        <v>#N/A</v>
      </c>
      <c r="AC727" s="34">
        <f>IFERROR(__xludf.DUMMYFUNCTION("IFERROR(VALUE(REGEXEXTRACT(I727, ""No\.? of [Ss]ubs:\s*(\d+)"")), 0) + IFERROR(VALUE(REGEXEXTRACT(I727, ""Affected Users(?:\s*\(From IM\))?:?\s*(\d+)"")), 0) + IFERROR(VALUE(REGEXEXTRACT(I727, ""Affected Clients:\s*(\d+)"")), 0)"),0.0)</f>
        <v>0</v>
      </c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33" t="str">
        <f>IFERROR(__xludf.DUMMYFUNCTION("LEN(REGEXREPLACE(REGEXREPLACE(REGEXEXTRACT(I728, ""(?s)Affected Nodes/Links(.*)""), ""https://[^\s]+"", """"), ""[^/]"", """")) / 2"),"#N/A")</f>
        <v>#N/A</v>
      </c>
      <c r="AC728" s="34">
        <f>IFERROR(__xludf.DUMMYFUNCTION("IFERROR(VALUE(REGEXEXTRACT(I728, ""No\.? of [Ss]ubs:\s*(\d+)"")), 0) + IFERROR(VALUE(REGEXEXTRACT(I728, ""Affected Users(?:\s*\(From IM\))?:?\s*(\d+)"")), 0) + IFERROR(VALUE(REGEXEXTRACT(I728, ""Affected Clients:\s*(\d+)"")), 0)"),0.0)</f>
        <v>0</v>
      </c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33" t="str">
        <f>IFERROR(__xludf.DUMMYFUNCTION("LEN(REGEXREPLACE(REGEXREPLACE(REGEXEXTRACT(I729, ""(?s)Affected Nodes/Links(.*)""), ""https://[^\s]+"", """"), ""[^/]"", """")) / 2"),"#N/A")</f>
        <v>#N/A</v>
      </c>
      <c r="AC729" s="34">
        <f>IFERROR(__xludf.DUMMYFUNCTION("IFERROR(VALUE(REGEXEXTRACT(I729, ""No\.? of [Ss]ubs:\s*(\d+)"")), 0) + IFERROR(VALUE(REGEXEXTRACT(I729, ""Affected Users(?:\s*\(From IM\))?:?\s*(\d+)"")), 0) + IFERROR(VALUE(REGEXEXTRACT(I729, ""Affected Clients:\s*(\d+)"")), 0)"),0.0)</f>
        <v>0</v>
      </c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33" t="str">
        <f>IFERROR(__xludf.DUMMYFUNCTION("LEN(REGEXREPLACE(REGEXREPLACE(REGEXEXTRACT(I730, ""(?s)Affected Nodes/Links(.*)""), ""https://[^\s]+"", """"), ""[^/]"", """")) / 2"),"#N/A")</f>
        <v>#N/A</v>
      </c>
      <c r="AC730" s="34">
        <f>IFERROR(__xludf.DUMMYFUNCTION("IFERROR(VALUE(REGEXEXTRACT(I730, ""No\.? of [Ss]ubs:\s*(\d+)"")), 0) + IFERROR(VALUE(REGEXEXTRACT(I730, ""Affected Users(?:\s*\(From IM\))?:?\s*(\d+)"")), 0) + IFERROR(VALUE(REGEXEXTRACT(I730, ""Affected Clients:\s*(\d+)"")), 0)"),0.0)</f>
        <v>0</v>
      </c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33" t="str">
        <f>IFERROR(__xludf.DUMMYFUNCTION("LEN(REGEXREPLACE(REGEXREPLACE(REGEXEXTRACT(I731, ""(?s)Affected Nodes/Links(.*)""), ""https://[^\s]+"", """"), ""[^/]"", """")) / 2"),"#N/A")</f>
        <v>#N/A</v>
      </c>
      <c r="AC731" s="34">
        <f>IFERROR(__xludf.DUMMYFUNCTION("IFERROR(VALUE(REGEXEXTRACT(I731, ""No\.? of [Ss]ubs:\s*(\d+)"")), 0) + IFERROR(VALUE(REGEXEXTRACT(I731, ""Affected Users(?:\s*\(From IM\))?:?\s*(\d+)"")), 0) + IFERROR(VALUE(REGEXEXTRACT(I731, ""Affected Clients:\s*(\d+)"")), 0)"),0.0)</f>
        <v>0</v>
      </c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33" t="str">
        <f>IFERROR(__xludf.DUMMYFUNCTION("LEN(REGEXREPLACE(REGEXREPLACE(REGEXEXTRACT(I732, ""(?s)Affected Nodes/Links(.*)""), ""https://[^\s]+"", """"), ""[^/]"", """")) / 2"),"#N/A")</f>
        <v>#N/A</v>
      </c>
      <c r="AC732" s="34">
        <f>IFERROR(__xludf.DUMMYFUNCTION("IFERROR(VALUE(REGEXEXTRACT(I732, ""No\.? of [Ss]ubs:\s*(\d+)"")), 0) + IFERROR(VALUE(REGEXEXTRACT(I732, ""Affected Users(?:\s*\(From IM\))?:?\s*(\d+)"")), 0) + IFERROR(VALUE(REGEXEXTRACT(I732, ""Affected Clients:\s*(\d+)"")), 0)"),0.0)</f>
        <v>0</v>
      </c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33" t="str">
        <f>IFERROR(__xludf.DUMMYFUNCTION("LEN(REGEXREPLACE(REGEXREPLACE(REGEXEXTRACT(I733, ""(?s)Affected Nodes/Links(.*)""), ""https://[^\s]+"", """"), ""[^/]"", """")) / 2"),"#N/A")</f>
        <v>#N/A</v>
      </c>
      <c r="AC733" s="34">
        <f>IFERROR(__xludf.DUMMYFUNCTION("IFERROR(VALUE(REGEXEXTRACT(I733, ""No\.? of [Ss]ubs:\s*(\d+)"")), 0) + IFERROR(VALUE(REGEXEXTRACT(I733, ""Affected Users(?:\s*\(From IM\))?:?\s*(\d+)"")), 0) + IFERROR(VALUE(REGEXEXTRACT(I733, ""Affected Clients:\s*(\d+)"")), 0)"),0.0)</f>
        <v>0</v>
      </c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33" t="str">
        <f>IFERROR(__xludf.DUMMYFUNCTION("LEN(REGEXREPLACE(REGEXREPLACE(REGEXEXTRACT(I734, ""(?s)Affected Nodes/Links(.*)""), ""https://[^\s]+"", """"), ""[^/]"", """")) / 2"),"#N/A")</f>
        <v>#N/A</v>
      </c>
      <c r="AC734" s="34">
        <f>IFERROR(__xludf.DUMMYFUNCTION("IFERROR(VALUE(REGEXEXTRACT(I734, ""No\.? of [Ss]ubs:\s*(\d+)"")), 0) + IFERROR(VALUE(REGEXEXTRACT(I734, ""Affected Users(?:\s*\(From IM\))?:?\s*(\d+)"")), 0) + IFERROR(VALUE(REGEXEXTRACT(I734, ""Affected Clients:\s*(\d+)"")), 0)"),0.0)</f>
        <v>0</v>
      </c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33" t="str">
        <f>IFERROR(__xludf.DUMMYFUNCTION("LEN(REGEXREPLACE(REGEXREPLACE(REGEXEXTRACT(I735, ""(?s)Affected Nodes/Links(.*)""), ""https://[^\s]+"", """"), ""[^/]"", """")) / 2"),"#N/A")</f>
        <v>#N/A</v>
      </c>
      <c r="AC735" s="34">
        <f>IFERROR(__xludf.DUMMYFUNCTION("IFERROR(VALUE(REGEXEXTRACT(I735, ""No\.? of [Ss]ubs:\s*(\d+)"")), 0) + IFERROR(VALUE(REGEXEXTRACT(I735, ""Affected Users(?:\s*\(From IM\))?:?\s*(\d+)"")), 0) + IFERROR(VALUE(REGEXEXTRACT(I735, ""Affected Clients:\s*(\d+)"")), 0)"),0.0)</f>
        <v>0</v>
      </c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33" t="str">
        <f>IFERROR(__xludf.DUMMYFUNCTION("LEN(REGEXREPLACE(REGEXREPLACE(REGEXEXTRACT(I736, ""(?s)Affected Nodes/Links(.*)""), ""https://[^\s]+"", """"), ""[^/]"", """")) / 2"),"#N/A")</f>
        <v>#N/A</v>
      </c>
      <c r="AC736" s="34">
        <f>IFERROR(__xludf.DUMMYFUNCTION("IFERROR(VALUE(REGEXEXTRACT(I736, ""No\.? of [Ss]ubs:\s*(\d+)"")), 0) + IFERROR(VALUE(REGEXEXTRACT(I736, ""Affected Users(?:\s*\(From IM\))?:?\s*(\d+)"")), 0) + IFERROR(VALUE(REGEXEXTRACT(I736, ""Affected Clients:\s*(\d+)"")), 0)"),0.0)</f>
        <v>0</v>
      </c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33" t="str">
        <f>IFERROR(__xludf.DUMMYFUNCTION("LEN(REGEXREPLACE(REGEXREPLACE(REGEXEXTRACT(I737, ""(?s)Affected Nodes/Links(.*)""), ""https://[^\s]+"", """"), ""[^/]"", """")) / 2"),"#N/A")</f>
        <v>#N/A</v>
      </c>
      <c r="AC737" s="34">
        <f>IFERROR(__xludf.DUMMYFUNCTION("IFERROR(VALUE(REGEXEXTRACT(I737, ""No\.? of [Ss]ubs:\s*(\d+)"")), 0) + IFERROR(VALUE(REGEXEXTRACT(I737, ""Affected Users(?:\s*\(From IM\))?:?\s*(\d+)"")), 0) + IFERROR(VALUE(REGEXEXTRACT(I737, ""Affected Clients:\s*(\d+)"")), 0)"),0.0)</f>
        <v>0</v>
      </c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33" t="str">
        <f>IFERROR(__xludf.DUMMYFUNCTION("LEN(REGEXREPLACE(REGEXREPLACE(REGEXEXTRACT(I738, ""(?s)Affected Nodes/Links(.*)""), ""https://[^\s]+"", """"), ""[^/]"", """")) / 2"),"#N/A")</f>
        <v>#N/A</v>
      </c>
      <c r="AC738" s="34">
        <f>IFERROR(__xludf.DUMMYFUNCTION("IFERROR(VALUE(REGEXEXTRACT(I738, ""No\.? of [Ss]ubs:\s*(\d+)"")), 0) + IFERROR(VALUE(REGEXEXTRACT(I738, ""Affected Users(?:\s*\(From IM\))?:?\s*(\d+)"")), 0) + IFERROR(VALUE(REGEXEXTRACT(I738, ""Affected Clients:\s*(\d+)"")), 0)"),0.0)</f>
        <v>0</v>
      </c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33" t="str">
        <f>IFERROR(__xludf.DUMMYFUNCTION("LEN(REGEXREPLACE(REGEXREPLACE(REGEXEXTRACT(I739, ""(?s)Affected Nodes/Links(.*)""), ""https://[^\s]+"", """"), ""[^/]"", """")) / 2"),"#N/A")</f>
        <v>#N/A</v>
      </c>
      <c r="AC739" s="34">
        <f>IFERROR(__xludf.DUMMYFUNCTION("IFERROR(VALUE(REGEXEXTRACT(I739, ""No\.? of [Ss]ubs:\s*(\d+)"")), 0) + IFERROR(VALUE(REGEXEXTRACT(I739, ""Affected Users(?:\s*\(From IM\))?:?\s*(\d+)"")), 0) + IFERROR(VALUE(REGEXEXTRACT(I739, ""Affected Clients:\s*(\d+)"")), 0)"),0.0)</f>
        <v>0</v>
      </c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33" t="str">
        <f>IFERROR(__xludf.DUMMYFUNCTION("LEN(REGEXREPLACE(REGEXREPLACE(REGEXEXTRACT(I740, ""(?s)Affected Nodes/Links(.*)""), ""https://[^\s]+"", """"), ""[^/]"", """")) / 2"),"#N/A")</f>
        <v>#N/A</v>
      </c>
      <c r="AC740" s="34">
        <f>IFERROR(__xludf.DUMMYFUNCTION("IFERROR(VALUE(REGEXEXTRACT(I740, ""No\.? of [Ss]ubs:\s*(\d+)"")), 0) + IFERROR(VALUE(REGEXEXTRACT(I740, ""Affected Users(?:\s*\(From IM\))?:?\s*(\d+)"")), 0) + IFERROR(VALUE(REGEXEXTRACT(I740, ""Affected Clients:\s*(\d+)"")), 0)"),0.0)</f>
        <v>0</v>
      </c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33" t="str">
        <f>IFERROR(__xludf.DUMMYFUNCTION("LEN(REGEXREPLACE(REGEXREPLACE(REGEXEXTRACT(I741, ""(?s)Affected Nodes/Links(.*)""), ""https://[^\s]+"", """"), ""[^/]"", """")) / 2"),"#N/A")</f>
        <v>#N/A</v>
      </c>
      <c r="AC741" s="34">
        <f>IFERROR(__xludf.DUMMYFUNCTION("IFERROR(VALUE(REGEXEXTRACT(I741, ""No\.? of [Ss]ubs:\s*(\d+)"")), 0) + IFERROR(VALUE(REGEXEXTRACT(I741, ""Affected Users(?:\s*\(From IM\))?:?\s*(\d+)"")), 0) + IFERROR(VALUE(REGEXEXTRACT(I741, ""Affected Clients:\s*(\d+)"")), 0)"),0.0)</f>
        <v>0</v>
      </c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33" t="str">
        <f>IFERROR(__xludf.DUMMYFUNCTION("LEN(REGEXREPLACE(REGEXREPLACE(REGEXEXTRACT(I742, ""(?s)Affected Nodes/Links(.*)""), ""https://[^\s]+"", """"), ""[^/]"", """")) / 2"),"#N/A")</f>
        <v>#N/A</v>
      </c>
      <c r="AC742" s="34">
        <f>IFERROR(__xludf.DUMMYFUNCTION("IFERROR(VALUE(REGEXEXTRACT(I742, ""No\.? of [Ss]ubs:\s*(\d+)"")), 0) + IFERROR(VALUE(REGEXEXTRACT(I742, ""Affected Users(?:\s*\(From IM\))?:?\s*(\d+)"")), 0) + IFERROR(VALUE(REGEXEXTRACT(I742, ""Affected Clients:\s*(\d+)"")), 0)"),0.0)</f>
        <v>0</v>
      </c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33" t="str">
        <f>IFERROR(__xludf.DUMMYFUNCTION("LEN(REGEXREPLACE(REGEXREPLACE(REGEXEXTRACT(I743, ""(?s)Affected Nodes/Links(.*)""), ""https://[^\s]+"", """"), ""[^/]"", """")) / 2"),"#N/A")</f>
        <v>#N/A</v>
      </c>
      <c r="AC743" s="34">
        <f>IFERROR(__xludf.DUMMYFUNCTION("IFERROR(VALUE(REGEXEXTRACT(I743, ""No\.? of [Ss]ubs:\s*(\d+)"")), 0) + IFERROR(VALUE(REGEXEXTRACT(I743, ""Affected Users(?:\s*\(From IM\))?:?\s*(\d+)"")), 0) + IFERROR(VALUE(REGEXEXTRACT(I743, ""Affected Clients:\s*(\d+)"")), 0)"),0.0)</f>
        <v>0</v>
      </c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33" t="str">
        <f>IFERROR(__xludf.DUMMYFUNCTION("LEN(REGEXREPLACE(REGEXREPLACE(REGEXEXTRACT(I744, ""(?s)Affected Nodes/Links(.*)""), ""https://[^\s]+"", """"), ""[^/]"", """")) / 2"),"#N/A")</f>
        <v>#N/A</v>
      </c>
      <c r="AC744" s="34">
        <f>IFERROR(__xludf.DUMMYFUNCTION("IFERROR(VALUE(REGEXEXTRACT(I744, ""No\.? of [Ss]ubs:\s*(\d+)"")), 0) + IFERROR(VALUE(REGEXEXTRACT(I744, ""Affected Users(?:\s*\(From IM\))?:?\s*(\d+)"")), 0) + IFERROR(VALUE(REGEXEXTRACT(I744, ""Affected Clients:\s*(\d+)"")), 0)"),0.0)</f>
        <v>0</v>
      </c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33" t="str">
        <f>IFERROR(__xludf.DUMMYFUNCTION("LEN(REGEXREPLACE(REGEXREPLACE(REGEXEXTRACT(I745, ""(?s)Affected Nodes/Links(.*)""), ""https://[^\s]+"", """"), ""[^/]"", """")) / 2"),"#N/A")</f>
        <v>#N/A</v>
      </c>
      <c r="AC745" s="34">
        <f>IFERROR(__xludf.DUMMYFUNCTION("IFERROR(VALUE(REGEXEXTRACT(I745, ""No\.? of [Ss]ubs:\s*(\d+)"")), 0) + IFERROR(VALUE(REGEXEXTRACT(I745, ""Affected Users(?:\s*\(From IM\))?:?\s*(\d+)"")), 0) + IFERROR(VALUE(REGEXEXTRACT(I745, ""Affected Clients:\s*(\d+)"")), 0)"),0.0)</f>
        <v>0</v>
      </c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33" t="str">
        <f>IFERROR(__xludf.DUMMYFUNCTION("LEN(REGEXREPLACE(REGEXREPLACE(REGEXEXTRACT(I746, ""(?s)Affected Nodes/Links(.*)""), ""https://[^\s]+"", """"), ""[^/]"", """")) / 2"),"#N/A")</f>
        <v>#N/A</v>
      </c>
      <c r="AC746" s="34">
        <f>IFERROR(__xludf.DUMMYFUNCTION("IFERROR(VALUE(REGEXEXTRACT(I746, ""No\.? of [Ss]ubs:\s*(\d+)"")), 0) + IFERROR(VALUE(REGEXEXTRACT(I746, ""Affected Users(?:\s*\(From IM\))?:?\s*(\d+)"")), 0) + IFERROR(VALUE(REGEXEXTRACT(I746, ""Affected Clients:\s*(\d+)"")), 0)"),0.0)</f>
        <v>0</v>
      </c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33" t="str">
        <f>IFERROR(__xludf.DUMMYFUNCTION("LEN(REGEXREPLACE(REGEXREPLACE(REGEXEXTRACT(I747, ""(?s)Affected Nodes/Links(.*)""), ""https://[^\s]+"", """"), ""[^/]"", """")) / 2"),"#N/A")</f>
        <v>#N/A</v>
      </c>
      <c r="AC747" s="34">
        <f>IFERROR(__xludf.DUMMYFUNCTION("IFERROR(VALUE(REGEXEXTRACT(I747, ""No\.? of [Ss]ubs:\s*(\d+)"")), 0) + IFERROR(VALUE(REGEXEXTRACT(I747, ""Affected Users(?:\s*\(From IM\))?:?\s*(\d+)"")), 0) + IFERROR(VALUE(REGEXEXTRACT(I747, ""Affected Clients:\s*(\d+)"")), 0)"),0.0)</f>
        <v>0</v>
      </c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33" t="str">
        <f>IFERROR(__xludf.DUMMYFUNCTION("LEN(REGEXREPLACE(REGEXREPLACE(REGEXEXTRACT(I748, ""(?s)Affected Nodes/Links(.*)""), ""https://[^\s]+"", """"), ""[^/]"", """")) / 2"),"#N/A")</f>
        <v>#N/A</v>
      </c>
      <c r="AC748" s="34">
        <f>IFERROR(__xludf.DUMMYFUNCTION("IFERROR(VALUE(REGEXEXTRACT(I748, ""No\.? of [Ss]ubs:\s*(\d+)"")), 0) + IFERROR(VALUE(REGEXEXTRACT(I748, ""Affected Users(?:\s*\(From IM\))?:?\s*(\d+)"")), 0) + IFERROR(VALUE(REGEXEXTRACT(I748, ""Affected Clients:\s*(\d+)"")), 0)"),0.0)</f>
        <v>0</v>
      </c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33" t="str">
        <f>IFERROR(__xludf.DUMMYFUNCTION("LEN(REGEXREPLACE(REGEXREPLACE(REGEXEXTRACT(I749, ""(?s)Affected Nodes/Links(.*)""), ""https://[^\s]+"", """"), ""[^/]"", """")) / 2"),"#N/A")</f>
        <v>#N/A</v>
      </c>
      <c r="AC749" s="34">
        <f>IFERROR(__xludf.DUMMYFUNCTION("IFERROR(VALUE(REGEXEXTRACT(I749, ""No\.? of [Ss]ubs:\s*(\d+)"")), 0) + IFERROR(VALUE(REGEXEXTRACT(I749, ""Affected Users(?:\s*\(From IM\))?:?\s*(\d+)"")), 0) + IFERROR(VALUE(REGEXEXTRACT(I749, ""Affected Clients:\s*(\d+)"")), 0)"),0.0)</f>
        <v>0</v>
      </c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33" t="str">
        <f>IFERROR(__xludf.DUMMYFUNCTION("LEN(REGEXREPLACE(REGEXREPLACE(REGEXEXTRACT(I750, ""(?s)Affected Nodes/Links(.*)""), ""https://[^\s]+"", """"), ""[^/]"", """")) / 2"),"#N/A")</f>
        <v>#N/A</v>
      </c>
      <c r="AC750" s="34">
        <f>IFERROR(__xludf.DUMMYFUNCTION("IFERROR(VALUE(REGEXEXTRACT(I750, ""No\.? of [Ss]ubs:\s*(\d+)"")), 0) + IFERROR(VALUE(REGEXEXTRACT(I750, ""Affected Users(?:\s*\(From IM\))?:?\s*(\d+)"")), 0) + IFERROR(VALUE(REGEXEXTRACT(I750, ""Affected Clients:\s*(\d+)"")), 0)"),0.0)</f>
        <v>0</v>
      </c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33" t="str">
        <f>IFERROR(__xludf.DUMMYFUNCTION("LEN(REGEXREPLACE(REGEXREPLACE(REGEXEXTRACT(I751, ""(?s)Affected Nodes/Links(.*)""), ""https://[^\s]+"", """"), ""[^/]"", """")) / 2"),"#N/A")</f>
        <v>#N/A</v>
      </c>
      <c r="AC751" s="34">
        <f>IFERROR(__xludf.DUMMYFUNCTION("IFERROR(VALUE(REGEXEXTRACT(I751, ""No\.? of [Ss]ubs:\s*(\d+)"")), 0) + IFERROR(VALUE(REGEXEXTRACT(I751, ""Affected Users(?:\s*\(From IM\))?:?\s*(\d+)"")), 0) + IFERROR(VALUE(REGEXEXTRACT(I751, ""Affected Clients:\s*(\d+)"")), 0)"),0.0)</f>
        <v>0</v>
      </c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33" t="str">
        <f>IFERROR(__xludf.DUMMYFUNCTION("LEN(REGEXREPLACE(REGEXREPLACE(REGEXEXTRACT(I752, ""(?s)Affected Nodes/Links(.*)""), ""https://[^\s]+"", """"), ""[^/]"", """")) / 2"),"#N/A")</f>
        <v>#N/A</v>
      </c>
      <c r="AC752" s="34">
        <f>IFERROR(__xludf.DUMMYFUNCTION("IFERROR(VALUE(REGEXEXTRACT(I752, ""No\.? of [Ss]ubs:\s*(\d+)"")), 0) + IFERROR(VALUE(REGEXEXTRACT(I752, ""Affected Users(?:\s*\(From IM\))?:?\s*(\d+)"")), 0) + IFERROR(VALUE(REGEXEXTRACT(I752, ""Affected Clients:\s*(\d+)"")), 0)"),0.0)</f>
        <v>0</v>
      </c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33" t="str">
        <f>IFERROR(__xludf.DUMMYFUNCTION("LEN(REGEXREPLACE(REGEXREPLACE(REGEXEXTRACT(I753, ""(?s)Affected Nodes/Links(.*)""), ""https://[^\s]+"", """"), ""[^/]"", """")) / 2"),"#N/A")</f>
        <v>#N/A</v>
      </c>
      <c r="AC753" s="34">
        <f>IFERROR(__xludf.DUMMYFUNCTION("IFERROR(VALUE(REGEXEXTRACT(I753, ""No\.? of [Ss]ubs:\s*(\d+)"")), 0) + IFERROR(VALUE(REGEXEXTRACT(I753, ""Affected Users(?:\s*\(From IM\))?:?\s*(\d+)"")), 0) + IFERROR(VALUE(REGEXEXTRACT(I753, ""Affected Clients:\s*(\d+)"")), 0)"),0.0)</f>
        <v>0</v>
      </c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33" t="str">
        <f>IFERROR(__xludf.DUMMYFUNCTION("LEN(REGEXREPLACE(REGEXREPLACE(REGEXEXTRACT(I754, ""(?s)Affected Nodes/Links(.*)""), ""https://[^\s]+"", """"), ""[^/]"", """")) / 2"),"#N/A")</f>
        <v>#N/A</v>
      </c>
      <c r="AC754" s="34">
        <f>IFERROR(__xludf.DUMMYFUNCTION("IFERROR(VALUE(REGEXEXTRACT(I754, ""No\.? of [Ss]ubs:\s*(\d+)"")), 0) + IFERROR(VALUE(REGEXEXTRACT(I754, ""Affected Users(?:\s*\(From IM\))?:?\s*(\d+)"")), 0) + IFERROR(VALUE(REGEXEXTRACT(I754, ""Affected Clients:\s*(\d+)"")), 0)"),0.0)</f>
        <v>0</v>
      </c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33" t="str">
        <f>IFERROR(__xludf.DUMMYFUNCTION("LEN(REGEXREPLACE(REGEXREPLACE(REGEXEXTRACT(I755, ""(?s)Affected Nodes/Links(.*)""), ""https://[^\s]+"", """"), ""[^/]"", """")) / 2"),"#N/A")</f>
        <v>#N/A</v>
      </c>
      <c r="AC755" s="34">
        <f>IFERROR(__xludf.DUMMYFUNCTION("IFERROR(VALUE(REGEXEXTRACT(I755, ""No\.? of [Ss]ubs:\s*(\d+)"")), 0) + IFERROR(VALUE(REGEXEXTRACT(I755, ""Affected Users(?:\s*\(From IM\))?:?\s*(\d+)"")), 0) + IFERROR(VALUE(REGEXEXTRACT(I755, ""Affected Clients:\s*(\d+)"")), 0)"),0.0)</f>
        <v>0</v>
      </c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33" t="str">
        <f>IFERROR(__xludf.DUMMYFUNCTION("LEN(REGEXREPLACE(REGEXREPLACE(REGEXEXTRACT(I756, ""(?s)Affected Nodes/Links(.*)""), ""https://[^\s]+"", """"), ""[^/]"", """")) / 2"),"#N/A")</f>
        <v>#N/A</v>
      </c>
      <c r="AC756" s="34">
        <f>IFERROR(__xludf.DUMMYFUNCTION("IFERROR(VALUE(REGEXEXTRACT(I756, ""No\.? of [Ss]ubs:\s*(\d+)"")), 0) + IFERROR(VALUE(REGEXEXTRACT(I756, ""Affected Users(?:\s*\(From IM\))?:?\s*(\d+)"")), 0) + IFERROR(VALUE(REGEXEXTRACT(I756, ""Affected Clients:\s*(\d+)"")), 0)"),0.0)</f>
        <v>0</v>
      </c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33" t="str">
        <f>IFERROR(__xludf.DUMMYFUNCTION("LEN(REGEXREPLACE(REGEXREPLACE(REGEXEXTRACT(I757, ""(?s)Affected Nodes/Links(.*)""), ""https://[^\s]+"", """"), ""[^/]"", """")) / 2"),"#N/A")</f>
        <v>#N/A</v>
      </c>
      <c r="AC757" s="34">
        <f>IFERROR(__xludf.DUMMYFUNCTION("IFERROR(VALUE(REGEXEXTRACT(I757, ""No\.? of [Ss]ubs:\s*(\d+)"")), 0) + IFERROR(VALUE(REGEXEXTRACT(I757, ""Affected Users(?:\s*\(From IM\))?:?\s*(\d+)"")), 0) + IFERROR(VALUE(REGEXEXTRACT(I757, ""Affected Clients:\s*(\d+)"")), 0)"),0.0)</f>
        <v>0</v>
      </c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33" t="str">
        <f>IFERROR(__xludf.DUMMYFUNCTION("LEN(REGEXREPLACE(REGEXREPLACE(REGEXEXTRACT(I758, ""(?s)Affected Nodes/Links(.*)""), ""https://[^\s]+"", """"), ""[^/]"", """")) / 2"),"#N/A")</f>
        <v>#N/A</v>
      </c>
      <c r="AC758" s="34">
        <f>IFERROR(__xludf.DUMMYFUNCTION("IFERROR(VALUE(REGEXEXTRACT(I758, ""No\.? of [Ss]ubs:\s*(\d+)"")), 0) + IFERROR(VALUE(REGEXEXTRACT(I758, ""Affected Users(?:\s*\(From IM\))?:?\s*(\d+)"")), 0) + IFERROR(VALUE(REGEXEXTRACT(I758, ""Affected Clients:\s*(\d+)"")), 0)"),0.0)</f>
        <v>0</v>
      </c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33" t="str">
        <f>IFERROR(__xludf.DUMMYFUNCTION("LEN(REGEXREPLACE(REGEXREPLACE(REGEXEXTRACT(I759, ""(?s)Affected Nodes/Links(.*)""), ""https://[^\s]+"", """"), ""[^/]"", """")) / 2"),"#N/A")</f>
        <v>#N/A</v>
      </c>
      <c r="AC759" s="34">
        <f>IFERROR(__xludf.DUMMYFUNCTION("IFERROR(VALUE(REGEXEXTRACT(I759, ""No\.? of [Ss]ubs:\s*(\d+)"")), 0) + IFERROR(VALUE(REGEXEXTRACT(I759, ""Affected Users(?:\s*\(From IM\))?:?\s*(\d+)"")), 0) + IFERROR(VALUE(REGEXEXTRACT(I759, ""Affected Clients:\s*(\d+)"")), 0)"),0.0)</f>
        <v>0</v>
      </c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33" t="str">
        <f>IFERROR(__xludf.DUMMYFUNCTION("LEN(REGEXREPLACE(REGEXREPLACE(REGEXEXTRACT(I760, ""(?s)Affected Nodes/Links(.*)""), ""https://[^\s]+"", """"), ""[^/]"", """")) / 2"),"#N/A")</f>
        <v>#N/A</v>
      </c>
      <c r="AC760" s="34">
        <f>IFERROR(__xludf.DUMMYFUNCTION("IFERROR(VALUE(REGEXEXTRACT(I760, ""No\.? of [Ss]ubs:\s*(\d+)"")), 0) + IFERROR(VALUE(REGEXEXTRACT(I760, ""Affected Users(?:\s*\(From IM\))?:?\s*(\d+)"")), 0) + IFERROR(VALUE(REGEXEXTRACT(I760, ""Affected Clients:\s*(\d+)"")), 0)"),0.0)</f>
        <v>0</v>
      </c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33" t="str">
        <f>IFERROR(__xludf.DUMMYFUNCTION("LEN(REGEXREPLACE(REGEXREPLACE(REGEXEXTRACT(I761, ""(?s)Affected Nodes/Links(.*)""), ""https://[^\s]+"", """"), ""[^/]"", """")) / 2"),"#N/A")</f>
        <v>#N/A</v>
      </c>
      <c r="AC761" s="34">
        <f>IFERROR(__xludf.DUMMYFUNCTION("IFERROR(VALUE(REGEXEXTRACT(I761, ""No\.? of [Ss]ubs:\s*(\d+)"")), 0) + IFERROR(VALUE(REGEXEXTRACT(I761, ""Affected Users(?:\s*\(From IM\))?:?\s*(\d+)"")), 0) + IFERROR(VALUE(REGEXEXTRACT(I761, ""Affected Clients:\s*(\d+)"")), 0)"),0.0)</f>
        <v>0</v>
      </c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33" t="str">
        <f>IFERROR(__xludf.DUMMYFUNCTION("LEN(REGEXREPLACE(REGEXREPLACE(REGEXEXTRACT(I762, ""(?s)Affected Nodes/Links(.*)""), ""https://[^\s]+"", """"), ""[^/]"", """")) / 2"),"#N/A")</f>
        <v>#N/A</v>
      </c>
      <c r="AC762" s="34">
        <f>IFERROR(__xludf.DUMMYFUNCTION("IFERROR(VALUE(REGEXEXTRACT(I762, ""No\.? of [Ss]ubs:\s*(\d+)"")), 0) + IFERROR(VALUE(REGEXEXTRACT(I762, ""Affected Users(?:\s*\(From IM\))?:?\s*(\d+)"")), 0) + IFERROR(VALUE(REGEXEXTRACT(I762, ""Affected Clients:\s*(\d+)"")), 0)"),0.0)</f>
        <v>0</v>
      </c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33" t="str">
        <f>IFERROR(__xludf.DUMMYFUNCTION("LEN(REGEXREPLACE(REGEXREPLACE(REGEXEXTRACT(I763, ""(?s)Affected Nodes/Links(.*)""), ""https://[^\s]+"", """"), ""[^/]"", """")) / 2"),"#N/A")</f>
        <v>#N/A</v>
      </c>
      <c r="AC763" s="34">
        <f>IFERROR(__xludf.DUMMYFUNCTION("IFERROR(VALUE(REGEXEXTRACT(I763, ""No\.? of [Ss]ubs:\s*(\d+)"")), 0) + IFERROR(VALUE(REGEXEXTRACT(I763, ""Affected Users(?:\s*\(From IM\))?:?\s*(\d+)"")), 0) + IFERROR(VALUE(REGEXEXTRACT(I763, ""Affected Clients:\s*(\d+)"")), 0)"),0.0)</f>
        <v>0</v>
      </c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33" t="str">
        <f>IFERROR(__xludf.DUMMYFUNCTION("LEN(REGEXREPLACE(REGEXREPLACE(REGEXEXTRACT(I764, ""(?s)Affected Nodes/Links(.*)""), ""https://[^\s]+"", """"), ""[^/]"", """")) / 2"),"#N/A")</f>
        <v>#N/A</v>
      </c>
      <c r="AC764" s="34">
        <f>IFERROR(__xludf.DUMMYFUNCTION("IFERROR(VALUE(REGEXEXTRACT(I764, ""No\.? of [Ss]ubs:\s*(\d+)"")), 0) + IFERROR(VALUE(REGEXEXTRACT(I764, ""Affected Users(?:\s*\(From IM\))?:?\s*(\d+)"")), 0) + IFERROR(VALUE(REGEXEXTRACT(I764, ""Affected Clients:\s*(\d+)"")), 0)"),0.0)</f>
        <v>0</v>
      </c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33" t="str">
        <f>IFERROR(__xludf.DUMMYFUNCTION("LEN(REGEXREPLACE(REGEXREPLACE(REGEXEXTRACT(I765, ""(?s)Affected Nodes/Links(.*)""), ""https://[^\s]+"", """"), ""[^/]"", """")) / 2"),"#N/A")</f>
        <v>#N/A</v>
      </c>
      <c r="AC765" s="34">
        <f>IFERROR(__xludf.DUMMYFUNCTION("IFERROR(VALUE(REGEXEXTRACT(I765, ""No\.? of [Ss]ubs:\s*(\d+)"")), 0) + IFERROR(VALUE(REGEXEXTRACT(I765, ""Affected Users(?:\s*\(From IM\))?:?\s*(\d+)"")), 0) + IFERROR(VALUE(REGEXEXTRACT(I765, ""Affected Clients:\s*(\d+)"")), 0)"),0.0)</f>
        <v>0</v>
      </c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33" t="str">
        <f>IFERROR(__xludf.DUMMYFUNCTION("LEN(REGEXREPLACE(REGEXREPLACE(REGEXEXTRACT(I766, ""(?s)Affected Nodes/Links(.*)""), ""https://[^\s]+"", """"), ""[^/]"", """")) / 2"),"#N/A")</f>
        <v>#N/A</v>
      </c>
      <c r="AC766" s="34">
        <f>IFERROR(__xludf.DUMMYFUNCTION("IFERROR(VALUE(REGEXEXTRACT(I766, ""No\.? of [Ss]ubs:\s*(\d+)"")), 0) + IFERROR(VALUE(REGEXEXTRACT(I766, ""Affected Users(?:\s*\(From IM\))?:?\s*(\d+)"")), 0) + IFERROR(VALUE(REGEXEXTRACT(I766, ""Affected Clients:\s*(\d+)"")), 0)"),0.0)</f>
        <v>0</v>
      </c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33" t="str">
        <f>IFERROR(__xludf.DUMMYFUNCTION("LEN(REGEXREPLACE(REGEXREPLACE(REGEXEXTRACT(I767, ""(?s)Affected Nodes/Links(.*)""), ""https://[^\s]+"", """"), ""[^/]"", """")) / 2"),"#N/A")</f>
        <v>#N/A</v>
      </c>
      <c r="AC767" s="34">
        <f>IFERROR(__xludf.DUMMYFUNCTION("IFERROR(VALUE(REGEXEXTRACT(I767, ""No\.? of [Ss]ubs:\s*(\d+)"")), 0) + IFERROR(VALUE(REGEXEXTRACT(I767, ""Affected Users(?:\s*\(From IM\))?:?\s*(\d+)"")), 0) + IFERROR(VALUE(REGEXEXTRACT(I767, ""Affected Clients:\s*(\d+)"")), 0)"),0.0)</f>
        <v>0</v>
      </c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33" t="str">
        <f>IFERROR(__xludf.DUMMYFUNCTION("LEN(REGEXREPLACE(REGEXREPLACE(REGEXEXTRACT(I768, ""(?s)Affected Nodes/Links(.*)""), ""https://[^\s]+"", """"), ""[^/]"", """")) / 2"),"#N/A")</f>
        <v>#N/A</v>
      </c>
      <c r="AC768" s="34">
        <f>IFERROR(__xludf.DUMMYFUNCTION("IFERROR(VALUE(REGEXEXTRACT(I768, ""No\.? of [Ss]ubs:\s*(\d+)"")), 0) + IFERROR(VALUE(REGEXEXTRACT(I768, ""Affected Users(?:\s*\(From IM\))?:?\s*(\d+)"")), 0) + IFERROR(VALUE(REGEXEXTRACT(I768, ""Affected Clients:\s*(\d+)"")), 0)"),0.0)</f>
        <v>0</v>
      </c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33" t="str">
        <f>IFERROR(__xludf.DUMMYFUNCTION("LEN(REGEXREPLACE(REGEXREPLACE(REGEXEXTRACT(I769, ""(?s)Affected Nodes/Links(.*)""), ""https://[^\s]+"", """"), ""[^/]"", """")) / 2"),"#N/A")</f>
        <v>#N/A</v>
      </c>
      <c r="AC769" s="34">
        <f>IFERROR(__xludf.DUMMYFUNCTION("IFERROR(VALUE(REGEXEXTRACT(I769, ""No\.? of [Ss]ubs:\s*(\d+)"")), 0) + IFERROR(VALUE(REGEXEXTRACT(I769, ""Affected Users(?:\s*\(From IM\))?:?\s*(\d+)"")), 0) + IFERROR(VALUE(REGEXEXTRACT(I769, ""Affected Clients:\s*(\d+)"")), 0)"),0.0)</f>
        <v>0</v>
      </c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33" t="str">
        <f>IFERROR(__xludf.DUMMYFUNCTION("LEN(REGEXREPLACE(REGEXREPLACE(REGEXEXTRACT(I770, ""(?s)Affected Nodes/Links(.*)""), ""https://[^\s]+"", """"), ""[^/]"", """")) / 2"),"#N/A")</f>
        <v>#N/A</v>
      </c>
      <c r="AC770" s="34">
        <f>IFERROR(__xludf.DUMMYFUNCTION("IFERROR(VALUE(REGEXEXTRACT(I770, ""No\.? of [Ss]ubs:\s*(\d+)"")), 0) + IFERROR(VALUE(REGEXEXTRACT(I770, ""Affected Users(?:\s*\(From IM\))?:?\s*(\d+)"")), 0) + IFERROR(VALUE(REGEXEXTRACT(I770, ""Affected Clients:\s*(\d+)"")), 0)"),0.0)</f>
        <v>0</v>
      </c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33" t="str">
        <f>IFERROR(__xludf.DUMMYFUNCTION("LEN(REGEXREPLACE(REGEXREPLACE(REGEXEXTRACT(I771, ""(?s)Affected Nodes/Links(.*)""), ""https://[^\s]+"", """"), ""[^/]"", """")) / 2"),"#N/A")</f>
        <v>#N/A</v>
      </c>
      <c r="AC771" s="34">
        <f>IFERROR(__xludf.DUMMYFUNCTION("IFERROR(VALUE(REGEXEXTRACT(I771, ""No\.? of [Ss]ubs:\s*(\d+)"")), 0) + IFERROR(VALUE(REGEXEXTRACT(I771, ""Affected Users(?:\s*\(From IM\))?:?\s*(\d+)"")), 0) + IFERROR(VALUE(REGEXEXTRACT(I771, ""Affected Clients:\s*(\d+)"")), 0)"),0.0)</f>
        <v>0</v>
      </c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33" t="str">
        <f>IFERROR(__xludf.DUMMYFUNCTION("LEN(REGEXREPLACE(REGEXREPLACE(REGEXEXTRACT(I772, ""(?s)Affected Nodes/Links(.*)""), ""https://[^\s]+"", """"), ""[^/]"", """")) / 2"),"#N/A")</f>
        <v>#N/A</v>
      </c>
      <c r="AC772" s="34">
        <f>IFERROR(__xludf.DUMMYFUNCTION("IFERROR(VALUE(REGEXEXTRACT(I772, ""No\.? of [Ss]ubs:\s*(\d+)"")), 0) + IFERROR(VALUE(REGEXEXTRACT(I772, ""Affected Users(?:\s*\(From IM\))?:?\s*(\d+)"")), 0) + IFERROR(VALUE(REGEXEXTRACT(I772, ""Affected Clients:\s*(\d+)"")), 0)"),0.0)</f>
        <v>0</v>
      </c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33" t="str">
        <f>IFERROR(__xludf.DUMMYFUNCTION("LEN(REGEXREPLACE(REGEXREPLACE(REGEXEXTRACT(I773, ""(?s)Affected Nodes/Links(.*)""), ""https://[^\s]+"", """"), ""[^/]"", """")) / 2"),"#N/A")</f>
        <v>#N/A</v>
      </c>
      <c r="AC773" s="34">
        <f>IFERROR(__xludf.DUMMYFUNCTION("IFERROR(VALUE(REGEXEXTRACT(I773, ""No\.? of [Ss]ubs:\s*(\d+)"")), 0) + IFERROR(VALUE(REGEXEXTRACT(I773, ""Affected Users(?:\s*\(From IM\))?:?\s*(\d+)"")), 0) + IFERROR(VALUE(REGEXEXTRACT(I773, ""Affected Clients:\s*(\d+)"")), 0)"),0.0)</f>
        <v>0</v>
      </c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33" t="str">
        <f>IFERROR(__xludf.DUMMYFUNCTION("LEN(REGEXREPLACE(REGEXREPLACE(REGEXEXTRACT(I774, ""(?s)Affected Nodes/Links(.*)""), ""https://[^\s]+"", """"), ""[^/]"", """")) / 2"),"#N/A")</f>
        <v>#N/A</v>
      </c>
      <c r="AC774" s="34">
        <f>IFERROR(__xludf.DUMMYFUNCTION("IFERROR(VALUE(REGEXEXTRACT(I774, ""No\.? of [Ss]ubs:\s*(\d+)"")), 0) + IFERROR(VALUE(REGEXEXTRACT(I774, ""Affected Users(?:\s*\(From IM\))?:?\s*(\d+)"")), 0) + IFERROR(VALUE(REGEXEXTRACT(I774, ""Affected Clients:\s*(\d+)"")), 0)"),0.0)</f>
        <v>0</v>
      </c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33" t="str">
        <f>IFERROR(__xludf.DUMMYFUNCTION("LEN(REGEXREPLACE(REGEXREPLACE(REGEXEXTRACT(I775, ""(?s)Affected Nodes/Links(.*)""), ""https://[^\s]+"", """"), ""[^/]"", """")) / 2"),"#N/A")</f>
        <v>#N/A</v>
      </c>
      <c r="AC775" s="34">
        <f>IFERROR(__xludf.DUMMYFUNCTION("IFERROR(VALUE(REGEXEXTRACT(I775, ""No\.? of [Ss]ubs:\s*(\d+)"")), 0) + IFERROR(VALUE(REGEXEXTRACT(I775, ""Affected Users(?:\s*\(From IM\))?:?\s*(\d+)"")), 0) + IFERROR(VALUE(REGEXEXTRACT(I775, ""Affected Clients:\s*(\d+)"")), 0)"),0.0)</f>
        <v>0</v>
      </c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33" t="str">
        <f>IFERROR(__xludf.DUMMYFUNCTION("LEN(REGEXREPLACE(REGEXREPLACE(REGEXEXTRACT(I776, ""(?s)Affected Nodes/Links(.*)""), ""https://[^\s]+"", """"), ""[^/]"", """")) / 2"),"#N/A")</f>
        <v>#N/A</v>
      </c>
      <c r="AC776" s="34">
        <f>IFERROR(__xludf.DUMMYFUNCTION("IFERROR(VALUE(REGEXEXTRACT(I776, ""No\.? of [Ss]ubs:\s*(\d+)"")), 0) + IFERROR(VALUE(REGEXEXTRACT(I776, ""Affected Users(?:\s*\(From IM\))?:?\s*(\d+)"")), 0) + IFERROR(VALUE(REGEXEXTRACT(I776, ""Affected Clients:\s*(\d+)"")), 0)"),0.0)</f>
        <v>0</v>
      </c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33" t="str">
        <f>IFERROR(__xludf.DUMMYFUNCTION("LEN(REGEXREPLACE(REGEXREPLACE(REGEXEXTRACT(I777, ""(?s)Affected Nodes/Links(.*)""), ""https://[^\s]+"", """"), ""[^/]"", """")) / 2"),"#N/A")</f>
        <v>#N/A</v>
      </c>
      <c r="AC777" s="34">
        <f>IFERROR(__xludf.DUMMYFUNCTION("IFERROR(VALUE(REGEXEXTRACT(I777, ""No\.? of [Ss]ubs:\s*(\d+)"")), 0) + IFERROR(VALUE(REGEXEXTRACT(I777, ""Affected Users(?:\s*\(From IM\))?:?\s*(\d+)"")), 0) + IFERROR(VALUE(REGEXEXTRACT(I777, ""Affected Clients:\s*(\d+)"")), 0)"),0.0)</f>
        <v>0</v>
      </c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33" t="str">
        <f>IFERROR(__xludf.DUMMYFUNCTION("LEN(REGEXREPLACE(REGEXREPLACE(REGEXEXTRACT(I778, ""(?s)Affected Nodes/Links(.*)""), ""https://[^\s]+"", """"), ""[^/]"", """")) / 2"),"#N/A")</f>
        <v>#N/A</v>
      </c>
      <c r="AC778" s="34">
        <f>IFERROR(__xludf.DUMMYFUNCTION("IFERROR(VALUE(REGEXEXTRACT(I778, ""No\.? of [Ss]ubs:\s*(\d+)"")), 0) + IFERROR(VALUE(REGEXEXTRACT(I778, ""Affected Users(?:\s*\(From IM\))?:?\s*(\d+)"")), 0) + IFERROR(VALUE(REGEXEXTRACT(I778, ""Affected Clients:\s*(\d+)"")), 0)"),0.0)</f>
        <v>0</v>
      </c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33" t="str">
        <f>IFERROR(__xludf.DUMMYFUNCTION("LEN(REGEXREPLACE(REGEXREPLACE(REGEXEXTRACT(I779, ""(?s)Affected Nodes/Links(.*)""), ""https://[^\s]+"", """"), ""[^/]"", """")) / 2"),"#N/A")</f>
        <v>#N/A</v>
      </c>
      <c r="AC779" s="34">
        <f>IFERROR(__xludf.DUMMYFUNCTION("IFERROR(VALUE(REGEXEXTRACT(I779, ""No\.? of [Ss]ubs:\s*(\d+)"")), 0) + IFERROR(VALUE(REGEXEXTRACT(I779, ""Affected Users(?:\s*\(From IM\))?:?\s*(\d+)"")), 0) + IFERROR(VALUE(REGEXEXTRACT(I779, ""Affected Clients:\s*(\d+)"")), 0)"),0.0)</f>
        <v>0</v>
      </c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33" t="str">
        <f>IFERROR(__xludf.DUMMYFUNCTION("LEN(REGEXREPLACE(REGEXREPLACE(REGEXEXTRACT(I780, ""(?s)Affected Nodes/Links(.*)""), ""https://[^\s]+"", """"), ""[^/]"", """")) / 2"),"#N/A")</f>
        <v>#N/A</v>
      </c>
      <c r="AC780" s="34">
        <f>IFERROR(__xludf.DUMMYFUNCTION("IFERROR(VALUE(REGEXEXTRACT(I780, ""No\.? of [Ss]ubs:\s*(\d+)"")), 0) + IFERROR(VALUE(REGEXEXTRACT(I780, ""Affected Users(?:\s*\(From IM\))?:?\s*(\d+)"")), 0) + IFERROR(VALUE(REGEXEXTRACT(I780, ""Affected Clients:\s*(\d+)"")), 0)"),0.0)</f>
        <v>0</v>
      </c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33" t="str">
        <f>IFERROR(__xludf.DUMMYFUNCTION("LEN(REGEXREPLACE(REGEXREPLACE(REGEXEXTRACT(I781, ""(?s)Affected Nodes/Links(.*)""), ""https://[^\s]+"", """"), ""[^/]"", """")) / 2"),"#N/A")</f>
        <v>#N/A</v>
      </c>
      <c r="AC781" s="34">
        <f>IFERROR(__xludf.DUMMYFUNCTION("IFERROR(VALUE(REGEXEXTRACT(I781, ""No\.? of [Ss]ubs:\s*(\d+)"")), 0) + IFERROR(VALUE(REGEXEXTRACT(I781, ""Affected Users(?:\s*\(From IM\))?:?\s*(\d+)"")), 0) + IFERROR(VALUE(REGEXEXTRACT(I781, ""Affected Clients:\s*(\d+)"")), 0)"),0.0)</f>
        <v>0</v>
      </c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33" t="str">
        <f>IFERROR(__xludf.DUMMYFUNCTION("LEN(REGEXREPLACE(REGEXREPLACE(REGEXEXTRACT(I782, ""(?s)Affected Nodes/Links(.*)""), ""https://[^\s]+"", """"), ""[^/]"", """")) / 2"),"#N/A")</f>
        <v>#N/A</v>
      </c>
      <c r="AC782" s="34">
        <f>IFERROR(__xludf.DUMMYFUNCTION("IFERROR(VALUE(REGEXEXTRACT(I782, ""No\.? of [Ss]ubs:\s*(\d+)"")), 0) + IFERROR(VALUE(REGEXEXTRACT(I782, ""Affected Users(?:\s*\(From IM\))?:?\s*(\d+)"")), 0) + IFERROR(VALUE(REGEXEXTRACT(I782, ""Affected Clients:\s*(\d+)"")), 0)"),0.0)</f>
        <v>0</v>
      </c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33" t="str">
        <f>IFERROR(__xludf.DUMMYFUNCTION("LEN(REGEXREPLACE(REGEXREPLACE(REGEXEXTRACT(I783, ""(?s)Affected Nodes/Links(.*)""), ""https://[^\s]+"", """"), ""[^/]"", """")) / 2"),"#N/A")</f>
        <v>#N/A</v>
      </c>
      <c r="AC783" s="34">
        <f>IFERROR(__xludf.DUMMYFUNCTION("IFERROR(VALUE(REGEXEXTRACT(I783, ""No\.? of [Ss]ubs:\s*(\d+)"")), 0) + IFERROR(VALUE(REGEXEXTRACT(I783, ""Affected Users(?:\s*\(From IM\))?:?\s*(\d+)"")), 0) + IFERROR(VALUE(REGEXEXTRACT(I783, ""Affected Clients:\s*(\d+)"")), 0)"),0.0)</f>
        <v>0</v>
      </c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33" t="str">
        <f>IFERROR(__xludf.DUMMYFUNCTION("LEN(REGEXREPLACE(REGEXREPLACE(REGEXEXTRACT(I784, ""(?s)Affected Nodes/Links(.*)""), ""https://[^\s]+"", """"), ""[^/]"", """")) / 2"),"#N/A")</f>
        <v>#N/A</v>
      </c>
      <c r="AC784" s="34">
        <f>IFERROR(__xludf.DUMMYFUNCTION("IFERROR(VALUE(REGEXEXTRACT(I784, ""No\.? of [Ss]ubs:\s*(\d+)"")), 0) + IFERROR(VALUE(REGEXEXTRACT(I784, ""Affected Users(?:\s*\(From IM\))?:?\s*(\d+)"")), 0) + IFERROR(VALUE(REGEXEXTRACT(I784, ""Affected Clients:\s*(\d+)"")), 0)"),0.0)</f>
        <v>0</v>
      </c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33" t="str">
        <f>IFERROR(__xludf.DUMMYFUNCTION("LEN(REGEXREPLACE(REGEXREPLACE(REGEXEXTRACT(I785, ""(?s)Affected Nodes/Links(.*)""), ""https://[^\s]+"", """"), ""[^/]"", """")) / 2"),"#N/A")</f>
        <v>#N/A</v>
      </c>
      <c r="AC785" s="34">
        <f>IFERROR(__xludf.DUMMYFUNCTION("IFERROR(VALUE(REGEXEXTRACT(I785, ""No\.? of [Ss]ubs:\s*(\d+)"")), 0) + IFERROR(VALUE(REGEXEXTRACT(I785, ""Affected Users(?:\s*\(From IM\))?:?\s*(\d+)"")), 0) + IFERROR(VALUE(REGEXEXTRACT(I785, ""Affected Clients:\s*(\d+)"")), 0)"),0.0)</f>
        <v>0</v>
      </c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33" t="str">
        <f>IFERROR(__xludf.DUMMYFUNCTION("LEN(REGEXREPLACE(REGEXREPLACE(REGEXEXTRACT(I786, ""(?s)Affected Nodes/Links(.*)""), ""https://[^\s]+"", """"), ""[^/]"", """")) / 2"),"#N/A")</f>
        <v>#N/A</v>
      </c>
      <c r="AC786" s="34">
        <f>IFERROR(__xludf.DUMMYFUNCTION("IFERROR(VALUE(REGEXEXTRACT(I786, ""No\.? of [Ss]ubs:\s*(\d+)"")), 0) + IFERROR(VALUE(REGEXEXTRACT(I786, ""Affected Users(?:\s*\(From IM\))?:?\s*(\d+)"")), 0) + IFERROR(VALUE(REGEXEXTRACT(I786, ""Affected Clients:\s*(\d+)"")), 0)"),0.0)</f>
        <v>0</v>
      </c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33" t="str">
        <f>IFERROR(__xludf.DUMMYFUNCTION("LEN(REGEXREPLACE(REGEXREPLACE(REGEXEXTRACT(I787, ""(?s)Affected Nodes/Links(.*)""), ""https://[^\s]+"", """"), ""[^/]"", """")) / 2"),"#N/A")</f>
        <v>#N/A</v>
      </c>
      <c r="AC787" s="34">
        <f>IFERROR(__xludf.DUMMYFUNCTION("IFERROR(VALUE(REGEXEXTRACT(I787, ""No\.? of [Ss]ubs:\s*(\d+)"")), 0) + IFERROR(VALUE(REGEXEXTRACT(I787, ""Affected Users(?:\s*\(From IM\))?:?\s*(\d+)"")), 0) + IFERROR(VALUE(REGEXEXTRACT(I787, ""Affected Clients:\s*(\d+)"")), 0)"),0.0)</f>
        <v>0</v>
      </c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33" t="str">
        <f>IFERROR(__xludf.DUMMYFUNCTION("LEN(REGEXREPLACE(REGEXREPLACE(REGEXEXTRACT(I788, ""(?s)Affected Nodes/Links(.*)""), ""https://[^\s]+"", """"), ""[^/]"", """")) / 2"),"#N/A")</f>
        <v>#N/A</v>
      </c>
      <c r="AC788" s="34">
        <f>IFERROR(__xludf.DUMMYFUNCTION("IFERROR(VALUE(REGEXEXTRACT(I788, ""No\.? of [Ss]ubs:\s*(\d+)"")), 0) + IFERROR(VALUE(REGEXEXTRACT(I788, ""Affected Users(?:\s*\(From IM\))?:?\s*(\d+)"")), 0) + IFERROR(VALUE(REGEXEXTRACT(I788, ""Affected Clients:\s*(\d+)"")), 0)"),0.0)</f>
        <v>0</v>
      </c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33" t="str">
        <f>IFERROR(__xludf.DUMMYFUNCTION("LEN(REGEXREPLACE(REGEXREPLACE(REGEXEXTRACT(I789, ""(?s)Affected Nodes/Links(.*)""), ""https://[^\s]+"", """"), ""[^/]"", """")) / 2"),"#N/A")</f>
        <v>#N/A</v>
      </c>
      <c r="AC789" s="34">
        <f>IFERROR(__xludf.DUMMYFUNCTION("IFERROR(VALUE(REGEXEXTRACT(I789, ""No\.? of [Ss]ubs:\s*(\d+)"")), 0) + IFERROR(VALUE(REGEXEXTRACT(I789, ""Affected Users(?:\s*\(From IM\))?:?\s*(\d+)"")), 0) + IFERROR(VALUE(REGEXEXTRACT(I789, ""Affected Clients:\s*(\d+)"")), 0)"),0.0)</f>
        <v>0</v>
      </c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33" t="str">
        <f>IFERROR(__xludf.DUMMYFUNCTION("LEN(REGEXREPLACE(REGEXREPLACE(REGEXEXTRACT(I790, ""(?s)Affected Nodes/Links(.*)""), ""https://[^\s]+"", """"), ""[^/]"", """")) / 2"),"#N/A")</f>
        <v>#N/A</v>
      </c>
      <c r="AC790" s="34">
        <f>IFERROR(__xludf.DUMMYFUNCTION("IFERROR(VALUE(REGEXEXTRACT(I790, ""No\.? of [Ss]ubs:\s*(\d+)"")), 0) + IFERROR(VALUE(REGEXEXTRACT(I790, ""Affected Users(?:\s*\(From IM\))?:?\s*(\d+)"")), 0) + IFERROR(VALUE(REGEXEXTRACT(I790, ""Affected Clients:\s*(\d+)"")), 0)"),0.0)</f>
        <v>0</v>
      </c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33" t="str">
        <f>IFERROR(__xludf.DUMMYFUNCTION("LEN(REGEXREPLACE(REGEXREPLACE(REGEXEXTRACT(I791, ""(?s)Affected Nodes/Links(.*)""), ""https://[^\s]+"", """"), ""[^/]"", """")) / 2"),"#N/A")</f>
        <v>#N/A</v>
      </c>
      <c r="AC791" s="34">
        <f>IFERROR(__xludf.DUMMYFUNCTION("IFERROR(VALUE(REGEXEXTRACT(I791, ""No\.? of [Ss]ubs:\s*(\d+)"")), 0) + IFERROR(VALUE(REGEXEXTRACT(I791, ""Affected Users(?:\s*\(From IM\))?:?\s*(\d+)"")), 0) + IFERROR(VALUE(REGEXEXTRACT(I791, ""Affected Clients:\s*(\d+)"")), 0)"),0.0)</f>
        <v>0</v>
      </c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33" t="str">
        <f>IFERROR(__xludf.DUMMYFUNCTION("LEN(REGEXREPLACE(REGEXREPLACE(REGEXEXTRACT(I792, ""(?s)Affected Nodes/Links(.*)""), ""https://[^\s]+"", """"), ""[^/]"", """")) / 2"),"#N/A")</f>
        <v>#N/A</v>
      </c>
      <c r="AC792" s="34">
        <f>IFERROR(__xludf.DUMMYFUNCTION("IFERROR(VALUE(REGEXEXTRACT(I792, ""No\.? of [Ss]ubs:\s*(\d+)"")), 0) + IFERROR(VALUE(REGEXEXTRACT(I792, ""Affected Users(?:\s*\(From IM\))?:?\s*(\d+)"")), 0) + IFERROR(VALUE(REGEXEXTRACT(I792, ""Affected Clients:\s*(\d+)"")), 0)"),0.0)</f>
        <v>0</v>
      </c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33" t="str">
        <f>IFERROR(__xludf.DUMMYFUNCTION("LEN(REGEXREPLACE(REGEXREPLACE(REGEXEXTRACT(I793, ""(?s)Affected Nodes/Links(.*)""), ""https://[^\s]+"", """"), ""[^/]"", """")) / 2"),"#N/A")</f>
        <v>#N/A</v>
      </c>
      <c r="AC793" s="34">
        <f>IFERROR(__xludf.DUMMYFUNCTION("IFERROR(VALUE(REGEXEXTRACT(I793, ""No\.? of [Ss]ubs:\s*(\d+)"")), 0) + IFERROR(VALUE(REGEXEXTRACT(I793, ""Affected Users(?:\s*\(From IM\))?:?\s*(\d+)"")), 0) + IFERROR(VALUE(REGEXEXTRACT(I793, ""Affected Clients:\s*(\d+)"")), 0)"),0.0)</f>
        <v>0</v>
      </c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33" t="str">
        <f>IFERROR(__xludf.DUMMYFUNCTION("LEN(REGEXREPLACE(REGEXREPLACE(REGEXEXTRACT(I794, ""(?s)Affected Nodes/Links(.*)""), ""https://[^\s]+"", """"), ""[^/]"", """")) / 2"),"#N/A")</f>
        <v>#N/A</v>
      </c>
      <c r="AC794" s="34">
        <f>IFERROR(__xludf.DUMMYFUNCTION("IFERROR(VALUE(REGEXEXTRACT(I794, ""No\.? of [Ss]ubs:\s*(\d+)"")), 0) + IFERROR(VALUE(REGEXEXTRACT(I794, ""Affected Users(?:\s*\(From IM\))?:?\s*(\d+)"")), 0) + IFERROR(VALUE(REGEXEXTRACT(I794, ""Affected Clients:\s*(\d+)"")), 0)"),0.0)</f>
        <v>0</v>
      </c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33" t="str">
        <f>IFERROR(__xludf.DUMMYFUNCTION("LEN(REGEXREPLACE(REGEXREPLACE(REGEXEXTRACT(I795, ""(?s)Affected Nodes/Links(.*)""), ""https://[^\s]+"", """"), ""[^/]"", """")) / 2"),"#N/A")</f>
        <v>#N/A</v>
      </c>
      <c r="AC795" s="34">
        <f>IFERROR(__xludf.DUMMYFUNCTION("IFERROR(VALUE(REGEXEXTRACT(I795, ""No\.? of [Ss]ubs:\s*(\d+)"")), 0) + IFERROR(VALUE(REGEXEXTRACT(I795, ""Affected Users(?:\s*\(From IM\))?:?\s*(\d+)"")), 0) + IFERROR(VALUE(REGEXEXTRACT(I795, ""Affected Clients:\s*(\d+)"")), 0)"),0.0)</f>
        <v>0</v>
      </c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33" t="str">
        <f>IFERROR(__xludf.DUMMYFUNCTION("LEN(REGEXREPLACE(REGEXREPLACE(REGEXEXTRACT(I796, ""(?s)Affected Nodes/Links(.*)""), ""https://[^\s]+"", """"), ""[^/]"", """")) / 2"),"#N/A")</f>
        <v>#N/A</v>
      </c>
      <c r="AC796" s="34">
        <f>IFERROR(__xludf.DUMMYFUNCTION("IFERROR(VALUE(REGEXEXTRACT(I796, ""No\.? of [Ss]ubs:\s*(\d+)"")), 0) + IFERROR(VALUE(REGEXEXTRACT(I796, ""Affected Users(?:\s*\(From IM\))?:?\s*(\d+)"")), 0) + IFERROR(VALUE(REGEXEXTRACT(I796, ""Affected Clients:\s*(\d+)"")), 0)"),0.0)</f>
        <v>0</v>
      </c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33" t="str">
        <f>IFERROR(__xludf.DUMMYFUNCTION("LEN(REGEXREPLACE(REGEXREPLACE(REGEXEXTRACT(I797, ""(?s)Affected Nodes/Links(.*)""), ""https://[^\s]+"", """"), ""[^/]"", """")) / 2"),"#N/A")</f>
        <v>#N/A</v>
      </c>
      <c r="AC797" s="34">
        <f>IFERROR(__xludf.DUMMYFUNCTION("IFERROR(VALUE(REGEXEXTRACT(I797, ""No\.? of [Ss]ubs:\s*(\d+)"")), 0) + IFERROR(VALUE(REGEXEXTRACT(I797, ""Affected Users(?:\s*\(From IM\))?:?\s*(\d+)"")), 0) + IFERROR(VALUE(REGEXEXTRACT(I797, ""Affected Clients:\s*(\d+)"")), 0)"),0.0)</f>
        <v>0</v>
      </c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33" t="str">
        <f>IFERROR(__xludf.DUMMYFUNCTION("LEN(REGEXREPLACE(REGEXREPLACE(REGEXEXTRACT(I798, ""(?s)Affected Nodes/Links(.*)""), ""https://[^\s]+"", """"), ""[^/]"", """")) / 2"),"#N/A")</f>
        <v>#N/A</v>
      </c>
      <c r="AC798" s="34">
        <f>IFERROR(__xludf.DUMMYFUNCTION("IFERROR(VALUE(REGEXEXTRACT(I798, ""No\.? of [Ss]ubs:\s*(\d+)"")), 0) + IFERROR(VALUE(REGEXEXTRACT(I798, ""Affected Users(?:\s*\(From IM\))?:?\s*(\d+)"")), 0) + IFERROR(VALUE(REGEXEXTRACT(I798, ""Affected Clients:\s*(\d+)"")), 0)"),0.0)</f>
        <v>0</v>
      </c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33" t="str">
        <f>IFERROR(__xludf.DUMMYFUNCTION("LEN(REGEXREPLACE(REGEXREPLACE(REGEXEXTRACT(I799, ""(?s)Affected Nodes/Links(.*)""), ""https://[^\s]+"", """"), ""[^/]"", """")) / 2"),"#N/A")</f>
        <v>#N/A</v>
      </c>
      <c r="AC799" s="34">
        <f>IFERROR(__xludf.DUMMYFUNCTION("IFERROR(VALUE(REGEXEXTRACT(I799, ""No\.? of [Ss]ubs:\s*(\d+)"")), 0) + IFERROR(VALUE(REGEXEXTRACT(I799, ""Affected Users(?:\s*\(From IM\))?:?\s*(\d+)"")), 0) + IFERROR(VALUE(REGEXEXTRACT(I799, ""Affected Clients:\s*(\d+)"")), 0)"),0.0)</f>
        <v>0</v>
      </c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33" t="str">
        <f>IFERROR(__xludf.DUMMYFUNCTION("LEN(REGEXREPLACE(REGEXREPLACE(REGEXEXTRACT(I800, ""(?s)Affected Nodes/Links(.*)""), ""https://[^\s]+"", """"), ""[^/]"", """")) / 2"),"#N/A")</f>
        <v>#N/A</v>
      </c>
      <c r="AC800" s="34">
        <f>IFERROR(__xludf.DUMMYFUNCTION("IFERROR(VALUE(REGEXEXTRACT(I800, ""No\.? of [Ss]ubs:\s*(\d+)"")), 0) + IFERROR(VALUE(REGEXEXTRACT(I800, ""Affected Users(?:\s*\(From IM\))?:?\s*(\d+)"")), 0) + IFERROR(VALUE(REGEXEXTRACT(I800, ""Affected Clients:\s*(\d+)"")), 0)"),0.0)</f>
        <v>0</v>
      </c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33" t="str">
        <f>IFERROR(__xludf.DUMMYFUNCTION("LEN(REGEXREPLACE(REGEXREPLACE(REGEXEXTRACT(I801, ""(?s)Affected Nodes/Links(.*)""), ""https://[^\s]+"", """"), ""[^/]"", """")) / 2"),"#N/A")</f>
        <v>#N/A</v>
      </c>
      <c r="AC801" s="34">
        <f>IFERROR(__xludf.DUMMYFUNCTION("IFERROR(VALUE(REGEXEXTRACT(I801, ""No\.? of [Ss]ubs:\s*(\d+)"")), 0) + IFERROR(VALUE(REGEXEXTRACT(I801, ""Affected Users(?:\s*\(From IM\))?:?\s*(\d+)"")), 0) + IFERROR(VALUE(REGEXEXTRACT(I801, ""Affected Clients:\s*(\d+)"")), 0)"),0.0)</f>
        <v>0</v>
      </c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33" t="str">
        <f>IFERROR(__xludf.DUMMYFUNCTION("LEN(REGEXREPLACE(REGEXREPLACE(REGEXEXTRACT(I802, ""(?s)Affected Nodes/Links(.*)""), ""https://[^\s]+"", """"), ""[^/]"", """")) / 2"),"#N/A")</f>
        <v>#N/A</v>
      </c>
      <c r="AC802" s="34">
        <f>IFERROR(__xludf.DUMMYFUNCTION("IFERROR(VALUE(REGEXEXTRACT(I802, ""No\.? of [Ss]ubs:\s*(\d+)"")), 0) + IFERROR(VALUE(REGEXEXTRACT(I802, ""Affected Users(?:\s*\(From IM\))?:?\s*(\d+)"")), 0) + IFERROR(VALUE(REGEXEXTRACT(I802, ""Affected Clients:\s*(\d+)"")), 0)"),0.0)</f>
        <v>0</v>
      </c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33" t="str">
        <f>IFERROR(__xludf.DUMMYFUNCTION("LEN(REGEXREPLACE(REGEXREPLACE(REGEXEXTRACT(I803, ""(?s)Affected Nodes/Links(.*)""), ""https://[^\s]+"", """"), ""[^/]"", """")) / 2"),"#N/A")</f>
        <v>#N/A</v>
      </c>
      <c r="AC803" s="34">
        <f>IFERROR(__xludf.DUMMYFUNCTION("IFERROR(VALUE(REGEXEXTRACT(I803, ""No\.? of [Ss]ubs:\s*(\d+)"")), 0) + IFERROR(VALUE(REGEXEXTRACT(I803, ""Affected Users(?:\s*\(From IM\))?:?\s*(\d+)"")), 0) + IFERROR(VALUE(REGEXEXTRACT(I803, ""Affected Clients:\s*(\d+)"")), 0)"),0.0)</f>
        <v>0</v>
      </c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33" t="str">
        <f>IFERROR(__xludf.DUMMYFUNCTION("LEN(REGEXREPLACE(REGEXREPLACE(REGEXEXTRACT(I804, ""(?s)Affected Nodes/Links(.*)""), ""https://[^\s]+"", """"), ""[^/]"", """")) / 2"),"#N/A")</f>
        <v>#N/A</v>
      </c>
      <c r="AC804" s="34">
        <f>IFERROR(__xludf.DUMMYFUNCTION("IFERROR(VALUE(REGEXEXTRACT(I804, ""No\.? of [Ss]ubs:\s*(\d+)"")), 0) + IFERROR(VALUE(REGEXEXTRACT(I804, ""Affected Users(?:\s*\(From IM\))?:?\s*(\d+)"")), 0) + IFERROR(VALUE(REGEXEXTRACT(I804, ""Affected Clients:\s*(\d+)"")), 0)"),0.0)</f>
        <v>0</v>
      </c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33" t="str">
        <f>IFERROR(__xludf.DUMMYFUNCTION("LEN(REGEXREPLACE(REGEXREPLACE(REGEXEXTRACT(I805, ""(?s)Affected Nodes/Links(.*)""), ""https://[^\s]+"", """"), ""[^/]"", """")) / 2"),"#N/A")</f>
        <v>#N/A</v>
      </c>
      <c r="AC805" s="34">
        <f>IFERROR(__xludf.DUMMYFUNCTION("IFERROR(VALUE(REGEXEXTRACT(I805, ""No\.? of [Ss]ubs:\s*(\d+)"")), 0) + IFERROR(VALUE(REGEXEXTRACT(I805, ""Affected Users(?:\s*\(From IM\))?:?\s*(\d+)"")), 0) + IFERROR(VALUE(REGEXEXTRACT(I805, ""Affected Clients:\s*(\d+)"")), 0)"),0.0)</f>
        <v>0</v>
      </c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33" t="str">
        <f>IFERROR(__xludf.DUMMYFUNCTION("LEN(REGEXREPLACE(REGEXREPLACE(REGEXEXTRACT(I806, ""(?s)Affected Nodes/Links(.*)""), ""https://[^\s]+"", """"), ""[^/]"", """")) / 2"),"#N/A")</f>
        <v>#N/A</v>
      </c>
      <c r="AC806" s="34">
        <f>IFERROR(__xludf.DUMMYFUNCTION("IFERROR(VALUE(REGEXEXTRACT(I806, ""No\.? of [Ss]ubs:\s*(\d+)"")), 0) + IFERROR(VALUE(REGEXEXTRACT(I806, ""Affected Users(?:\s*\(From IM\))?:?\s*(\d+)"")), 0) + IFERROR(VALUE(REGEXEXTRACT(I806, ""Affected Clients:\s*(\d+)"")), 0)"),0.0)</f>
        <v>0</v>
      </c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33" t="str">
        <f>IFERROR(__xludf.DUMMYFUNCTION("LEN(REGEXREPLACE(REGEXREPLACE(REGEXEXTRACT(I807, ""(?s)Affected Nodes/Links(.*)""), ""https://[^\s]+"", """"), ""[^/]"", """")) / 2"),"#N/A")</f>
        <v>#N/A</v>
      </c>
      <c r="AC807" s="34">
        <f>IFERROR(__xludf.DUMMYFUNCTION("IFERROR(VALUE(REGEXEXTRACT(I807, ""No\.? of [Ss]ubs:\s*(\d+)"")), 0) + IFERROR(VALUE(REGEXEXTRACT(I807, ""Affected Users(?:\s*\(From IM\))?:?\s*(\d+)"")), 0) + IFERROR(VALUE(REGEXEXTRACT(I807, ""Affected Clients:\s*(\d+)"")), 0)"),0.0)</f>
        <v>0</v>
      </c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33" t="str">
        <f>IFERROR(__xludf.DUMMYFUNCTION("LEN(REGEXREPLACE(REGEXREPLACE(REGEXEXTRACT(I808, ""(?s)Affected Nodes/Links(.*)""), ""https://[^\s]+"", """"), ""[^/]"", """")) / 2"),"#N/A")</f>
        <v>#N/A</v>
      </c>
      <c r="AC808" s="34">
        <f>IFERROR(__xludf.DUMMYFUNCTION("IFERROR(VALUE(REGEXEXTRACT(I808, ""No\.? of [Ss]ubs:\s*(\d+)"")), 0) + IFERROR(VALUE(REGEXEXTRACT(I808, ""Affected Users(?:\s*\(From IM\))?:?\s*(\d+)"")), 0) + IFERROR(VALUE(REGEXEXTRACT(I808, ""Affected Clients:\s*(\d+)"")), 0)"),0.0)</f>
        <v>0</v>
      </c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33" t="str">
        <f>IFERROR(__xludf.DUMMYFUNCTION("LEN(REGEXREPLACE(REGEXREPLACE(REGEXEXTRACT(I809, ""(?s)Affected Nodes/Links(.*)""), ""https://[^\s]+"", """"), ""[^/]"", """")) / 2"),"#N/A")</f>
        <v>#N/A</v>
      </c>
      <c r="AC809" s="34">
        <f>IFERROR(__xludf.DUMMYFUNCTION("IFERROR(VALUE(REGEXEXTRACT(I809, ""No\.? of [Ss]ubs:\s*(\d+)"")), 0) + IFERROR(VALUE(REGEXEXTRACT(I809, ""Affected Users(?:\s*\(From IM\))?:?\s*(\d+)"")), 0) + IFERROR(VALUE(REGEXEXTRACT(I809, ""Affected Clients:\s*(\d+)"")), 0)"),0.0)</f>
        <v>0</v>
      </c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33" t="str">
        <f>IFERROR(__xludf.DUMMYFUNCTION("LEN(REGEXREPLACE(REGEXREPLACE(REGEXEXTRACT(I810, ""(?s)Affected Nodes/Links(.*)""), ""https://[^\s]+"", """"), ""[^/]"", """")) / 2"),"#N/A")</f>
        <v>#N/A</v>
      </c>
      <c r="AC810" s="34">
        <f>IFERROR(__xludf.DUMMYFUNCTION("IFERROR(VALUE(REGEXEXTRACT(I810, ""No\.? of [Ss]ubs:\s*(\d+)"")), 0) + IFERROR(VALUE(REGEXEXTRACT(I810, ""Affected Users(?:\s*\(From IM\))?:?\s*(\d+)"")), 0) + IFERROR(VALUE(REGEXEXTRACT(I810, ""Affected Clients:\s*(\d+)"")), 0)"),0.0)</f>
        <v>0</v>
      </c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33" t="str">
        <f>IFERROR(__xludf.DUMMYFUNCTION("LEN(REGEXREPLACE(REGEXREPLACE(REGEXEXTRACT(I811, ""(?s)Affected Nodes/Links(.*)""), ""https://[^\s]+"", """"), ""[^/]"", """")) / 2"),"#N/A")</f>
        <v>#N/A</v>
      </c>
      <c r="AC811" s="34">
        <f>IFERROR(__xludf.DUMMYFUNCTION("IFERROR(VALUE(REGEXEXTRACT(I811, ""No\.? of [Ss]ubs:\s*(\d+)"")), 0) + IFERROR(VALUE(REGEXEXTRACT(I811, ""Affected Users(?:\s*\(From IM\))?:?\s*(\d+)"")), 0) + IFERROR(VALUE(REGEXEXTRACT(I811, ""Affected Clients:\s*(\d+)"")), 0)"),0.0)</f>
        <v>0</v>
      </c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33" t="str">
        <f>IFERROR(__xludf.DUMMYFUNCTION("LEN(REGEXREPLACE(REGEXREPLACE(REGEXEXTRACT(I812, ""(?s)Affected Nodes/Links(.*)""), ""https://[^\s]+"", """"), ""[^/]"", """")) / 2"),"#N/A")</f>
        <v>#N/A</v>
      </c>
      <c r="AC812" s="34">
        <f>IFERROR(__xludf.DUMMYFUNCTION("IFERROR(VALUE(REGEXEXTRACT(I812, ""No\.? of [Ss]ubs:\s*(\d+)"")), 0) + IFERROR(VALUE(REGEXEXTRACT(I812, ""Affected Users(?:\s*\(From IM\))?:?\s*(\d+)"")), 0) + IFERROR(VALUE(REGEXEXTRACT(I812, ""Affected Clients:\s*(\d+)"")), 0)"),0.0)</f>
        <v>0</v>
      </c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33" t="str">
        <f>IFERROR(__xludf.DUMMYFUNCTION("LEN(REGEXREPLACE(REGEXREPLACE(REGEXEXTRACT(I813, ""(?s)Affected Nodes/Links(.*)""), ""https://[^\s]+"", """"), ""[^/]"", """")) / 2"),"#N/A")</f>
        <v>#N/A</v>
      </c>
      <c r="AC813" s="34">
        <f>IFERROR(__xludf.DUMMYFUNCTION("IFERROR(VALUE(REGEXEXTRACT(I813, ""No\.? of [Ss]ubs:\s*(\d+)"")), 0) + IFERROR(VALUE(REGEXEXTRACT(I813, ""Affected Users(?:\s*\(From IM\))?:?\s*(\d+)"")), 0) + IFERROR(VALUE(REGEXEXTRACT(I813, ""Affected Clients:\s*(\d+)"")), 0)"),0.0)</f>
        <v>0</v>
      </c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33" t="str">
        <f>IFERROR(__xludf.DUMMYFUNCTION("LEN(REGEXREPLACE(REGEXREPLACE(REGEXEXTRACT(I814, ""(?s)Affected Nodes/Links(.*)""), ""https://[^\s]+"", """"), ""[^/]"", """")) / 2"),"#N/A")</f>
        <v>#N/A</v>
      </c>
      <c r="AC814" s="34">
        <f>IFERROR(__xludf.DUMMYFUNCTION("IFERROR(VALUE(REGEXEXTRACT(I814, ""No\.? of [Ss]ubs:\s*(\d+)"")), 0) + IFERROR(VALUE(REGEXEXTRACT(I814, ""Affected Users(?:\s*\(From IM\))?:?\s*(\d+)"")), 0) + IFERROR(VALUE(REGEXEXTRACT(I814, ""Affected Clients:\s*(\d+)"")), 0)"),0.0)</f>
        <v>0</v>
      </c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33" t="str">
        <f>IFERROR(__xludf.DUMMYFUNCTION("LEN(REGEXREPLACE(REGEXREPLACE(REGEXEXTRACT(I815, ""(?s)Affected Nodes/Links(.*)""), ""https://[^\s]+"", """"), ""[^/]"", """")) / 2"),"#N/A")</f>
        <v>#N/A</v>
      </c>
      <c r="AC815" s="34">
        <f>IFERROR(__xludf.DUMMYFUNCTION("IFERROR(VALUE(REGEXEXTRACT(I815, ""No\.? of [Ss]ubs:\s*(\d+)"")), 0) + IFERROR(VALUE(REGEXEXTRACT(I815, ""Affected Users(?:\s*\(From IM\))?:?\s*(\d+)"")), 0) + IFERROR(VALUE(REGEXEXTRACT(I815, ""Affected Clients:\s*(\d+)"")), 0)"),0.0)</f>
        <v>0</v>
      </c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33" t="str">
        <f>IFERROR(__xludf.DUMMYFUNCTION("LEN(REGEXREPLACE(REGEXREPLACE(REGEXEXTRACT(I816, ""(?s)Affected Nodes/Links(.*)""), ""https://[^\s]+"", """"), ""[^/]"", """")) / 2"),"#N/A")</f>
        <v>#N/A</v>
      </c>
      <c r="AC816" s="34">
        <f>IFERROR(__xludf.DUMMYFUNCTION("IFERROR(VALUE(REGEXEXTRACT(I816, ""No\.? of [Ss]ubs:\s*(\d+)"")), 0) + IFERROR(VALUE(REGEXEXTRACT(I816, ""Affected Users(?:\s*\(From IM\))?:?\s*(\d+)"")), 0) + IFERROR(VALUE(REGEXEXTRACT(I816, ""Affected Clients:\s*(\d+)"")), 0)"),0.0)</f>
        <v>0</v>
      </c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33" t="str">
        <f>IFERROR(__xludf.DUMMYFUNCTION("LEN(REGEXREPLACE(REGEXREPLACE(REGEXEXTRACT(I817, ""(?s)Affected Nodes/Links(.*)""), ""https://[^\s]+"", """"), ""[^/]"", """")) / 2"),"#N/A")</f>
        <v>#N/A</v>
      </c>
      <c r="AC817" s="34">
        <f>IFERROR(__xludf.DUMMYFUNCTION("IFERROR(VALUE(REGEXEXTRACT(I817, ""No\.? of [Ss]ubs:\s*(\d+)"")), 0) + IFERROR(VALUE(REGEXEXTRACT(I817, ""Affected Users(?:\s*\(From IM\))?:?\s*(\d+)"")), 0) + IFERROR(VALUE(REGEXEXTRACT(I817, ""Affected Clients:\s*(\d+)"")), 0)"),0.0)</f>
        <v>0</v>
      </c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33" t="str">
        <f>IFERROR(__xludf.DUMMYFUNCTION("LEN(REGEXREPLACE(REGEXREPLACE(REGEXEXTRACT(I818, ""(?s)Affected Nodes/Links(.*)""), ""https://[^\s]+"", """"), ""[^/]"", """")) / 2"),"#N/A")</f>
        <v>#N/A</v>
      </c>
      <c r="AC818" s="34">
        <f>IFERROR(__xludf.DUMMYFUNCTION("IFERROR(VALUE(REGEXEXTRACT(I818, ""No\.? of [Ss]ubs:\s*(\d+)"")), 0) + IFERROR(VALUE(REGEXEXTRACT(I818, ""Affected Users(?:\s*\(From IM\))?:?\s*(\d+)"")), 0) + IFERROR(VALUE(REGEXEXTRACT(I818, ""Affected Clients:\s*(\d+)"")), 0)"),0.0)</f>
        <v>0</v>
      </c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33" t="str">
        <f>IFERROR(__xludf.DUMMYFUNCTION("LEN(REGEXREPLACE(REGEXREPLACE(REGEXEXTRACT(I819, ""(?s)Affected Nodes/Links(.*)""), ""https://[^\s]+"", """"), ""[^/]"", """")) / 2"),"#N/A")</f>
        <v>#N/A</v>
      </c>
      <c r="AC819" s="34">
        <f>IFERROR(__xludf.DUMMYFUNCTION("IFERROR(VALUE(REGEXEXTRACT(I819, ""No\.? of [Ss]ubs:\s*(\d+)"")), 0) + IFERROR(VALUE(REGEXEXTRACT(I819, ""Affected Users(?:\s*\(From IM\))?:?\s*(\d+)"")), 0) + IFERROR(VALUE(REGEXEXTRACT(I819, ""Affected Clients:\s*(\d+)"")), 0)"),0.0)</f>
        <v>0</v>
      </c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33" t="str">
        <f>IFERROR(__xludf.DUMMYFUNCTION("LEN(REGEXREPLACE(REGEXREPLACE(REGEXEXTRACT(I820, ""(?s)Affected Nodes/Links(.*)""), ""https://[^\s]+"", """"), ""[^/]"", """")) / 2"),"#N/A")</f>
        <v>#N/A</v>
      </c>
      <c r="AC820" s="34">
        <f>IFERROR(__xludf.DUMMYFUNCTION("IFERROR(VALUE(REGEXEXTRACT(I820, ""No\.? of [Ss]ubs:\s*(\d+)"")), 0) + IFERROR(VALUE(REGEXEXTRACT(I820, ""Affected Users(?:\s*\(From IM\))?:?\s*(\d+)"")), 0) + IFERROR(VALUE(REGEXEXTRACT(I820, ""Affected Clients:\s*(\d+)"")), 0)"),0.0)</f>
        <v>0</v>
      </c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33" t="str">
        <f>IFERROR(__xludf.DUMMYFUNCTION("LEN(REGEXREPLACE(REGEXREPLACE(REGEXEXTRACT(I821, ""(?s)Affected Nodes/Links(.*)""), ""https://[^\s]+"", """"), ""[^/]"", """")) / 2"),"#N/A")</f>
        <v>#N/A</v>
      </c>
      <c r="AC821" s="34">
        <f>IFERROR(__xludf.DUMMYFUNCTION("IFERROR(VALUE(REGEXEXTRACT(I821, ""No\.? of [Ss]ubs:\s*(\d+)"")), 0) + IFERROR(VALUE(REGEXEXTRACT(I821, ""Affected Users(?:\s*\(From IM\))?:?\s*(\d+)"")), 0) + IFERROR(VALUE(REGEXEXTRACT(I821, ""Affected Clients:\s*(\d+)"")), 0)"),0.0)</f>
        <v>0</v>
      </c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33" t="str">
        <f>IFERROR(__xludf.DUMMYFUNCTION("LEN(REGEXREPLACE(REGEXREPLACE(REGEXEXTRACT(I822, ""(?s)Affected Nodes/Links(.*)""), ""https://[^\s]+"", """"), ""[^/]"", """")) / 2"),"#N/A")</f>
        <v>#N/A</v>
      </c>
      <c r="AC822" s="34">
        <f>IFERROR(__xludf.DUMMYFUNCTION("IFERROR(VALUE(REGEXEXTRACT(I822, ""No\.? of [Ss]ubs:\s*(\d+)"")), 0) + IFERROR(VALUE(REGEXEXTRACT(I822, ""Affected Users(?:\s*\(From IM\))?:?\s*(\d+)"")), 0) + IFERROR(VALUE(REGEXEXTRACT(I822, ""Affected Clients:\s*(\d+)"")), 0)"),0.0)</f>
        <v>0</v>
      </c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33" t="str">
        <f>IFERROR(__xludf.DUMMYFUNCTION("LEN(REGEXREPLACE(REGEXREPLACE(REGEXEXTRACT(I823, ""(?s)Affected Nodes/Links(.*)""), ""https://[^\s]+"", """"), ""[^/]"", """")) / 2"),"#N/A")</f>
        <v>#N/A</v>
      </c>
      <c r="AC823" s="34">
        <f>IFERROR(__xludf.DUMMYFUNCTION("IFERROR(VALUE(REGEXEXTRACT(I823, ""No\.? of [Ss]ubs:\s*(\d+)"")), 0) + IFERROR(VALUE(REGEXEXTRACT(I823, ""Affected Users(?:\s*\(From IM\))?:?\s*(\d+)"")), 0) + IFERROR(VALUE(REGEXEXTRACT(I823, ""Affected Clients:\s*(\d+)"")), 0)"),0.0)</f>
        <v>0</v>
      </c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33" t="str">
        <f>IFERROR(__xludf.DUMMYFUNCTION("LEN(REGEXREPLACE(REGEXREPLACE(REGEXEXTRACT(I824, ""(?s)Affected Nodes/Links(.*)""), ""https://[^\s]+"", """"), ""[^/]"", """")) / 2"),"#N/A")</f>
        <v>#N/A</v>
      </c>
      <c r="AC824" s="34">
        <f>IFERROR(__xludf.DUMMYFUNCTION("IFERROR(VALUE(REGEXEXTRACT(I824, ""No\.? of [Ss]ubs:\s*(\d+)"")), 0) + IFERROR(VALUE(REGEXEXTRACT(I824, ""Affected Users(?:\s*\(From IM\))?:?\s*(\d+)"")), 0) + IFERROR(VALUE(REGEXEXTRACT(I824, ""Affected Clients:\s*(\d+)"")), 0)"),0.0)</f>
        <v>0</v>
      </c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33" t="str">
        <f>IFERROR(__xludf.DUMMYFUNCTION("LEN(REGEXREPLACE(REGEXREPLACE(REGEXEXTRACT(I825, ""(?s)Affected Nodes/Links(.*)""), ""https://[^\s]+"", """"), ""[^/]"", """")) / 2"),"#N/A")</f>
        <v>#N/A</v>
      </c>
      <c r="AC825" s="34">
        <f>IFERROR(__xludf.DUMMYFUNCTION("IFERROR(VALUE(REGEXEXTRACT(I825, ""No\.? of [Ss]ubs:\s*(\d+)"")), 0) + IFERROR(VALUE(REGEXEXTRACT(I825, ""Affected Users(?:\s*\(From IM\))?:?\s*(\d+)"")), 0) + IFERROR(VALUE(REGEXEXTRACT(I825, ""Affected Clients:\s*(\d+)"")), 0)"),0.0)</f>
        <v>0</v>
      </c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33" t="str">
        <f>IFERROR(__xludf.DUMMYFUNCTION("LEN(REGEXREPLACE(REGEXREPLACE(REGEXEXTRACT(I826, ""(?s)Affected Nodes/Links(.*)""), ""https://[^\s]+"", """"), ""[^/]"", """")) / 2"),"#N/A")</f>
        <v>#N/A</v>
      </c>
      <c r="AC826" s="34">
        <f>IFERROR(__xludf.DUMMYFUNCTION("IFERROR(VALUE(REGEXEXTRACT(I826, ""No\.? of [Ss]ubs:\s*(\d+)"")), 0) + IFERROR(VALUE(REGEXEXTRACT(I826, ""Affected Users(?:\s*\(From IM\))?:?\s*(\d+)"")), 0) + IFERROR(VALUE(REGEXEXTRACT(I826, ""Affected Clients:\s*(\d+)"")), 0)"),0.0)</f>
        <v>0</v>
      </c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33" t="str">
        <f>IFERROR(__xludf.DUMMYFUNCTION("LEN(REGEXREPLACE(REGEXREPLACE(REGEXEXTRACT(I827, ""(?s)Affected Nodes/Links(.*)""), ""https://[^\s]+"", """"), ""[^/]"", """")) / 2"),"#N/A")</f>
        <v>#N/A</v>
      </c>
      <c r="AC827" s="34">
        <f>IFERROR(__xludf.DUMMYFUNCTION("IFERROR(VALUE(REGEXEXTRACT(I827, ""No\.? of [Ss]ubs:\s*(\d+)"")), 0) + IFERROR(VALUE(REGEXEXTRACT(I827, ""Affected Users(?:\s*\(From IM\))?:?\s*(\d+)"")), 0) + IFERROR(VALUE(REGEXEXTRACT(I827, ""Affected Clients:\s*(\d+)"")), 0)"),0.0)</f>
        <v>0</v>
      </c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33" t="str">
        <f>IFERROR(__xludf.DUMMYFUNCTION("LEN(REGEXREPLACE(REGEXREPLACE(REGEXEXTRACT(I828, ""(?s)Affected Nodes/Links(.*)""), ""https://[^\s]+"", """"), ""[^/]"", """")) / 2"),"#N/A")</f>
        <v>#N/A</v>
      </c>
      <c r="AC828" s="34">
        <f>IFERROR(__xludf.DUMMYFUNCTION("IFERROR(VALUE(REGEXEXTRACT(I828, ""No\.? of [Ss]ubs:\s*(\d+)"")), 0) + IFERROR(VALUE(REGEXEXTRACT(I828, ""Affected Users(?:\s*\(From IM\))?:?\s*(\d+)"")), 0) + IFERROR(VALUE(REGEXEXTRACT(I828, ""Affected Clients:\s*(\d+)"")), 0)"),0.0)</f>
        <v>0</v>
      </c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33" t="str">
        <f>IFERROR(__xludf.DUMMYFUNCTION("LEN(REGEXREPLACE(REGEXREPLACE(REGEXEXTRACT(I829, ""(?s)Affected Nodes/Links(.*)""), ""https://[^\s]+"", """"), ""[^/]"", """")) / 2"),"#N/A")</f>
        <v>#N/A</v>
      </c>
      <c r="AC829" s="34">
        <f>IFERROR(__xludf.DUMMYFUNCTION("IFERROR(VALUE(REGEXEXTRACT(I829, ""No\.? of [Ss]ubs:\s*(\d+)"")), 0) + IFERROR(VALUE(REGEXEXTRACT(I829, ""Affected Users(?:\s*\(From IM\))?:?\s*(\d+)"")), 0) + IFERROR(VALUE(REGEXEXTRACT(I829, ""Affected Clients:\s*(\d+)"")), 0)"),0.0)</f>
        <v>0</v>
      </c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33" t="str">
        <f>IFERROR(__xludf.DUMMYFUNCTION("LEN(REGEXREPLACE(REGEXREPLACE(REGEXEXTRACT(I830, ""(?s)Affected Nodes/Links(.*)""), ""https://[^\s]+"", """"), ""[^/]"", """")) / 2"),"#N/A")</f>
        <v>#N/A</v>
      </c>
      <c r="AC830" s="34">
        <f>IFERROR(__xludf.DUMMYFUNCTION("IFERROR(VALUE(REGEXEXTRACT(I830, ""No\.? of [Ss]ubs:\s*(\d+)"")), 0) + IFERROR(VALUE(REGEXEXTRACT(I830, ""Affected Users(?:\s*\(From IM\))?:?\s*(\d+)"")), 0) + IFERROR(VALUE(REGEXEXTRACT(I830, ""Affected Clients:\s*(\d+)"")), 0)"),0.0)</f>
        <v>0</v>
      </c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33" t="str">
        <f>IFERROR(__xludf.DUMMYFUNCTION("LEN(REGEXREPLACE(REGEXREPLACE(REGEXEXTRACT(I831, ""(?s)Affected Nodes/Links(.*)""), ""https://[^\s]+"", """"), ""[^/]"", """")) / 2"),"#N/A")</f>
        <v>#N/A</v>
      </c>
      <c r="AC831" s="34">
        <f>IFERROR(__xludf.DUMMYFUNCTION("IFERROR(VALUE(REGEXEXTRACT(I831, ""No\.? of [Ss]ubs:\s*(\d+)"")), 0) + IFERROR(VALUE(REGEXEXTRACT(I831, ""Affected Users(?:\s*\(From IM\))?:?\s*(\d+)"")), 0) + IFERROR(VALUE(REGEXEXTRACT(I831, ""Affected Clients:\s*(\d+)"")), 0)"),0.0)</f>
        <v>0</v>
      </c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33" t="str">
        <f>IFERROR(__xludf.DUMMYFUNCTION("LEN(REGEXREPLACE(REGEXREPLACE(REGEXEXTRACT(I832, ""(?s)Affected Nodes/Links(.*)""), ""https://[^\s]+"", """"), ""[^/]"", """")) / 2"),"#N/A")</f>
        <v>#N/A</v>
      </c>
      <c r="AC832" s="34">
        <f>IFERROR(__xludf.DUMMYFUNCTION("IFERROR(VALUE(REGEXEXTRACT(I832, ""No\.? of [Ss]ubs:\s*(\d+)"")), 0) + IFERROR(VALUE(REGEXEXTRACT(I832, ""Affected Users(?:\s*\(From IM\))?:?\s*(\d+)"")), 0) + IFERROR(VALUE(REGEXEXTRACT(I832, ""Affected Clients:\s*(\d+)"")), 0)"),0.0)</f>
        <v>0</v>
      </c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33" t="str">
        <f>IFERROR(__xludf.DUMMYFUNCTION("LEN(REGEXREPLACE(REGEXREPLACE(REGEXEXTRACT(I833, ""(?s)Affected Nodes/Links(.*)""), ""https://[^\s]+"", """"), ""[^/]"", """")) / 2"),"#N/A")</f>
        <v>#N/A</v>
      </c>
      <c r="AC833" s="34">
        <f>IFERROR(__xludf.DUMMYFUNCTION("IFERROR(VALUE(REGEXEXTRACT(I833, ""No\.? of [Ss]ubs:\s*(\d+)"")), 0) + IFERROR(VALUE(REGEXEXTRACT(I833, ""Affected Users(?:\s*\(From IM\))?:?\s*(\d+)"")), 0) + IFERROR(VALUE(REGEXEXTRACT(I833, ""Affected Clients:\s*(\d+)"")), 0)"),0.0)</f>
        <v>0</v>
      </c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33" t="str">
        <f>IFERROR(__xludf.DUMMYFUNCTION("LEN(REGEXREPLACE(REGEXREPLACE(REGEXEXTRACT(I834, ""(?s)Affected Nodes/Links(.*)""), ""https://[^\s]+"", """"), ""[^/]"", """")) / 2"),"#N/A")</f>
        <v>#N/A</v>
      </c>
      <c r="AC834" s="34">
        <f>IFERROR(__xludf.DUMMYFUNCTION("IFERROR(VALUE(REGEXEXTRACT(I834, ""No\.? of [Ss]ubs:\s*(\d+)"")), 0) + IFERROR(VALUE(REGEXEXTRACT(I834, ""Affected Users(?:\s*\(From IM\))?:?\s*(\d+)"")), 0) + IFERROR(VALUE(REGEXEXTRACT(I834, ""Affected Clients:\s*(\d+)"")), 0)"),0.0)</f>
        <v>0</v>
      </c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33" t="str">
        <f>IFERROR(__xludf.DUMMYFUNCTION("LEN(REGEXREPLACE(REGEXREPLACE(REGEXEXTRACT(I835, ""(?s)Affected Nodes/Links(.*)""), ""https://[^\s]+"", """"), ""[^/]"", """")) / 2"),"#N/A")</f>
        <v>#N/A</v>
      </c>
      <c r="AC835" s="34">
        <f>IFERROR(__xludf.DUMMYFUNCTION("IFERROR(VALUE(REGEXEXTRACT(I835, ""No\.? of [Ss]ubs:\s*(\d+)"")), 0) + IFERROR(VALUE(REGEXEXTRACT(I835, ""Affected Users(?:\s*\(From IM\))?:?\s*(\d+)"")), 0) + IFERROR(VALUE(REGEXEXTRACT(I835, ""Affected Clients:\s*(\d+)"")), 0)"),0.0)</f>
        <v>0</v>
      </c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33" t="str">
        <f>IFERROR(__xludf.DUMMYFUNCTION("LEN(REGEXREPLACE(REGEXREPLACE(REGEXEXTRACT(I836, ""(?s)Affected Nodes/Links(.*)""), ""https://[^\s]+"", """"), ""[^/]"", """")) / 2"),"#N/A")</f>
        <v>#N/A</v>
      </c>
      <c r="AC836" s="34">
        <f>IFERROR(__xludf.DUMMYFUNCTION("IFERROR(VALUE(REGEXEXTRACT(I836, ""No\.? of [Ss]ubs:\s*(\d+)"")), 0) + IFERROR(VALUE(REGEXEXTRACT(I836, ""Affected Users(?:\s*\(From IM\))?:?\s*(\d+)"")), 0) + IFERROR(VALUE(REGEXEXTRACT(I836, ""Affected Clients:\s*(\d+)"")), 0)"),0.0)</f>
        <v>0</v>
      </c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33" t="str">
        <f>IFERROR(__xludf.DUMMYFUNCTION("LEN(REGEXREPLACE(REGEXREPLACE(REGEXEXTRACT(I837, ""(?s)Affected Nodes/Links(.*)""), ""https://[^\s]+"", """"), ""[^/]"", """")) / 2"),"#N/A")</f>
        <v>#N/A</v>
      </c>
      <c r="AC837" s="34">
        <f>IFERROR(__xludf.DUMMYFUNCTION("IFERROR(VALUE(REGEXEXTRACT(I837, ""No\.? of [Ss]ubs:\s*(\d+)"")), 0) + IFERROR(VALUE(REGEXEXTRACT(I837, ""Affected Users(?:\s*\(From IM\))?:?\s*(\d+)"")), 0) + IFERROR(VALUE(REGEXEXTRACT(I837, ""Affected Clients:\s*(\d+)"")), 0)"),0.0)</f>
        <v>0</v>
      </c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33" t="str">
        <f>IFERROR(__xludf.DUMMYFUNCTION("LEN(REGEXREPLACE(REGEXREPLACE(REGEXEXTRACT(I838, ""(?s)Affected Nodes/Links(.*)""), ""https://[^\s]+"", """"), ""[^/]"", """")) / 2"),"#N/A")</f>
        <v>#N/A</v>
      </c>
      <c r="AC838" s="34">
        <f>IFERROR(__xludf.DUMMYFUNCTION("IFERROR(VALUE(REGEXEXTRACT(I838, ""No\.? of [Ss]ubs:\s*(\d+)"")), 0) + IFERROR(VALUE(REGEXEXTRACT(I838, ""Affected Users(?:\s*\(From IM\))?:?\s*(\d+)"")), 0) + IFERROR(VALUE(REGEXEXTRACT(I838, ""Affected Clients:\s*(\d+)"")), 0)"),0.0)</f>
        <v>0</v>
      </c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33" t="str">
        <f>IFERROR(__xludf.DUMMYFUNCTION("LEN(REGEXREPLACE(REGEXREPLACE(REGEXEXTRACT(I839, ""(?s)Affected Nodes/Links(.*)""), ""https://[^\s]+"", """"), ""[^/]"", """")) / 2"),"#N/A")</f>
        <v>#N/A</v>
      </c>
      <c r="AC839" s="34">
        <f>IFERROR(__xludf.DUMMYFUNCTION("IFERROR(VALUE(REGEXEXTRACT(I839, ""No\.? of [Ss]ubs:\s*(\d+)"")), 0) + IFERROR(VALUE(REGEXEXTRACT(I839, ""Affected Users(?:\s*\(From IM\))?:?\s*(\d+)"")), 0) + IFERROR(VALUE(REGEXEXTRACT(I839, ""Affected Clients:\s*(\d+)"")), 0)"),0.0)</f>
        <v>0</v>
      </c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33" t="str">
        <f>IFERROR(__xludf.DUMMYFUNCTION("LEN(REGEXREPLACE(REGEXREPLACE(REGEXEXTRACT(I840, ""(?s)Affected Nodes/Links(.*)""), ""https://[^\s]+"", """"), ""[^/]"", """")) / 2"),"#N/A")</f>
        <v>#N/A</v>
      </c>
      <c r="AC840" s="34">
        <f>IFERROR(__xludf.DUMMYFUNCTION("IFERROR(VALUE(REGEXEXTRACT(I840, ""No\.? of [Ss]ubs:\s*(\d+)"")), 0) + IFERROR(VALUE(REGEXEXTRACT(I840, ""Affected Users(?:\s*\(From IM\))?:?\s*(\d+)"")), 0) + IFERROR(VALUE(REGEXEXTRACT(I840, ""Affected Clients:\s*(\d+)"")), 0)"),0.0)</f>
        <v>0</v>
      </c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33" t="str">
        <f>IFERROR(__xludf.DUMMYFUNCTION("LEN(REGEXREPLACE(REGEXREPLACE(REGEXEXTRACT(I841, ""(?s)Affected Nodes/Links(.*)""), ""https://[^\s]+"", """"), ""[^/]"", """")) / 2"),"#N/A")</f>
        <v>#N/A</v>
      </c>
      <c r="AC841" s="34">
        <f>IFERROR(__xludf.DUMMYFUNCTION("IFERROR(VALUE(REGEXEXTRACT(I841, ""No\.? of [Ss]ubs:\s*(\d+)"")), 0) + IFERROR(VALUE(REGEXEXTRACT(I841, ""Affected Users(?:\s*\(From IM\))?:?\s*(\d+)"")), 0) + IFERROR(VALUE(REGEXEXTRACT(I841, ""Affected Clients:\s*(\d+)"")), 0)"),0.0)</f>
        <v>0</v>
      </c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33" t="str">
        <f>IFERROR(__xludf.DUMMYFUNCTION("LEN(REGEXREPLACE(REGEXREPLACE(REGEXEXTRACT(I842, ""(?s)Affected Nodes/Links(.*)""), ""https://[^\s]+"", """"), ""[^/]"", """")) / 2"),"#N/A")</f>
        <v>#N/A</v>
      </c>
      <c r="AC842" s="34">
        <f>IFERROR(__xludf.DUMMYFUNCTION("IFERROR(VALUE(REGEXEXTRACT(I842, ""No\.? of [Ss]ubs:\s*(\d+)"")), 0) + IFERROR(VALUE(REGEXEXTRACT(I842, ""Affected Users(?:\s*\(From IM\))?:?\s*(\d+)"")), 0) + IFERROR(VALUE(REGEXEXTRACT(I842, ""Affected Clients:\s*(\d+)"")), 0)"),0.0)</f>
        <v>0</v>
      </c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33" t="str">
        <f>IFERROR(__xludf.DUMMYFUNCTION("LEN(REGEXREPLACE(REGEXREPLACE(REGEXEXTRACT(I843, ""(?s)Affected Nodes/Links(.*)""), ""https://[^\s]+"", """"), ""[^/]"", """")) / 2"),"#N/A")</f>
        <v>#N/A</v>
      </c>
      <c r="AC843" s="34">
        <f>IFERROR(__xludf.DUMMYFUNCTION("IFERROR(VALUE(REGEXEXTRACT(I843, ""No\.? of [Ss]ubs:\s*(\d+)"")), 0) + IFERROR(VALUE(REGEXEXTRACT(I843, ""Affected Users(?:\s*\(From IM\))?:?\s*(\d+)"")), 0) + IFERROR(VALUE(REGEXEXTRACT(I843, ""Affected Clients:\s*(\d+)"")), 0)"),0.0)</f>
        <v>0</v>
      </c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33" t="str">
        <f>IFERROR(__xludf.DUMMYFUNCTION("LEN(REGEXREPLACE(REGEXREPLACE(REGEXEXTRACT(I844, ""(?s)Affected Nodes/Links(.*)""), ""https://[^\s]+"", """"), ""[^/]"", """")) / 2"),"#N/A")</f>
        <v>#N/A</v>
      </c>
      <c r="AC844" s="34">
        <f>IFERROR(__xludf.DUMMYFUNCTION("IFERROR(VALUE(REGEXEXTRACT(I844, ""No\.? of [Ss]ubs:\s*(\d+)"")), 0) + IFERROR(VALUE(REGEXEXTRACT(I844, ""Affected Users(?:\s*\(From IM\))?:?\s*(\d+)"")), 0) + IFERROR(VALUE(REGEXEXTRACT(I844, ""Affected Clients:\s*(\d+)"")), 0)"),0.0)</f>
        <v>0</v>
      </c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33" t="str">
        <f>IFERROR(__xludf.DUMMYFUNCTION("LEN(REGEXREPLACE(REGEXREPLACE(REGEXEXTRACT(I845, ""(?s)Affected Nodes/Links(.*)""), ""https://[^\s]+"", """"), ""[^/]"", """")) / 2"),"#N/A")</f>
        <v>#N/A</v>
      </c>
      <c r="AC845" s="34">
        <f>IFERROR(__xludf.DUMMYFUNCTION("IFERROR(VALUE(REGEXEXTRACT(I845, ""No\.? of [Ss]ubs:\s*(\d+)"")), 0) + IFERROR(VALUE(REGEXEXTRACT(I845, ""Affected Users(?:\s*\(From IM\))?:?\s*(\d+)"")), 0) + IFERROR(VALUE(REGEXEXTRACT(I845, ""Affected Clients:\s*(\d+)"")), 0)"),0.0)</f>
        <v>0</v>
      </c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33" t="str">
        <f>IFERROR(__xludf.DUMMYFUNCTION("LEN(REGEXREPLACE(REGEXREPLACE(REGEXEXTRACT(I846, ""(?s)Affected Nodes/Links(.*)""), ""https://[^\s]+"", """"), ""[^/]"", """")) / 2"),"#N/A")</f>
        <v>#N/A</v>
      </c>
      <c r="AC846" s="34">
        <f>IFERROR(__xludf.DUMMYFUNCTION("IFERROR(VALUE(REGEXEXTRACT(I846, ""No\.? of [Ss]ubs:\s*(\d+)"")), 0) + IFERROR(VALUE(REGEXEXTRACT(I846, ""Affected Users(?:\s*\(From IM\))?:?\s*(\d+)"")), 0) + IFERROR(VALUE(REGEXEXTRACT(I846, ""Affected Clients:\s*(\d+)"")), 0)"),0.0)</f>
        <v>0</v>
      </c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33" t="str">
        <f>IFERROR(__xludf.DUMMYFUNCTION("LEN(REGEXREPLACE(REGEXREPLACE(REGEXEXTRACT(I847, ""(?s)Affected Nodes/Links(.*)""), ""https://[^\s]+"", """"), ""[^/]"", """")) / 2"),"#N/A")</f>
        <v>#N/A</v>
      </c>
      <c r="AC847" s="34">
        <f>IFERROR(__xludf.DUMMYFUNCTION("IFERROR(VALUE(REGEXEXTRACT(I847, ""No\.? of [Ss]ubs:\s*(\d+)"")), 0) + IFERROR(VALUE(REGEXEXTRACT(I847, ""Affected Users(?:\s*\(From IM\))?:?\s*(\d+)"")), 0) + IFERROR(VALUE(REGEXEXTRACT(I847, ""Affected Clients:\s*(\d+)"")), 0)"),0.0)</f>
        <v>0</v>
      </c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33" t="str">
        <f>IFERROR(__xludf.DUMMYFUNCTION("LEN(REGEXREPLACE(REGEXREPLACE(REGEXEXTRACT(I848, ""(?s)Affected Nodes/Links(.*)""), ""https://[^\s]+"", """"), ""[^/]"", """")) / 2"),"#N/A")</f>
        <v>#N/A</v>
      </c>
      <c r="AC848" s="34">
        <f>IFERROR(__xludf.DUMMYFUNCTION("IFERROR(VALUE(REGEXEXTRACT(I848, ""No\.? of [Ss]ubs:\s*(\d+)"")), 0) + IFERROR(VALUE(REGEXEXTRACT(I848, ""Affected Users(?:\s*\(From IM\))?:?\s*(\d+)"")), 0) + IFERROR(VALUE(REGEXEXTRACT(I848, ""Affected Clients:\s*(\d+)"")), 0)"),0.0)</f>
        <v>0</v>
      </c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33" t="str">
        <f>IFERROR(__xludf.DUMMYFUNCTION("LEN(REGEXREPLACE(REGEXREPLACE(REGEXEXTRACT(I849, ""(?s)Affected Nodes/Links(.*)""), ""https://[^\s]+"", """"), ""[^/]"", """")) / 2"),"#N/A")</f>
        <v>#N/A</v>
      </c>
      <c r="AC849" s="34">
        <f>IFERROR(__xludf.DUMMYFUNCTION("IFERROR(VALUE(REGEXEXTRACT(I849, ""No\.? of [Ss]ubs:\s*(\d+)"")), 0) + IFERROR(VALUE(REGEXEXTRACT(I849, ""Affected Users(?:\s*\(From IM\))?:?\s*(\d+)"")), 0) + IFERROR(VALUE(REGEXEXTRACT(I849, ""Affected Clients:\s*(\d+)"")), 0)"),0.0)</f>
        <v>0</v>
      </c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33" t="str">
        <f>IFERROR(__xludf.DUMMYFUNCTION("LEN(REGEXREPLACE(REGEXREPLACE(REGEXEXTRACT(I850, ""(?s)Affected Nodes/Links(.*)""), ""https://[^\s]+"", """"), ""[^/]"", """")) / 2"),"#N/A")</f>
        <v>#N/A</v>
      </c>
      <c r="AC850" s="34">
        <f>IFERROR(__xludf.DUMMYFUNCTION("IFERROR(VALUE(REGEXEXTRACT(I850, ""No\.? of [Ss]ubs:\s*(\d+)"")), 0) + IFERROR(VALUE(REGEXEXTRACT(I850, ""Affected Users(?:\s*\(From IM\))?:?\s*(\d+)"")), 0) + IFERROR(VALUE(REGEXEXTRACT(I850, ""Affected Clients:\s*(\d+)"")), 0)"),0.0)</f>
        <v>0</v>
      </c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33" t="str">
        <f>IFERROR(__xludf.DUMMYFUNCTION("LEN(REGEXREPLACE(REGEXREPLACE(REGEXEXTRACT(I851, ""(?s)Affected Nodes/Links(.*)""), ""https://[^\s]+"", """"), ""[^/]"", """")) / 2"),"#N/A")</f>
        <v>#N/A</v>
      </c>
      <c r="AC851" s="34">
        <f>IFERROR(__xludf.DUMMYFUNCTION("IFERROR(VALUE(REGEXEXTRACT(I851, ""No\.? of [Ss]ubs:\s*(\d+)"")), 0) + IFERROR(VALUE(REGEXEXTRACT(I851, ""Affected Users(?:\s*\(From IM\))?:?\s*(\d+)"")), 0) + IFERROR(VALUE(REGEXEXTRACT(I851, ""Affected Clients:\s*(\d+)"")), 0)"),0.0)</f>
        <v>0</v>
      </c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33" t="str">
        <f>IFERROR(__xludf.DUMMYFUNCTION("LEN(REGEXREPLACE(REGEXREPLACE(REGEXEXTRACT(I852, ""(?s)Affected Nodes/Links(.*)""), ""https://[^\s]+"", """"), ""[^/]"", """")) / 2"),"#N/A")</f>
        <v>#N/A</v>
      </c>
      <c r="AC852" s="34">
        <f>IFERROR(__xludf.DUMMYFUNCTION("IFERROR(VALUE(REGEXEXTRACT(I852, ""No\.? of [Ss]ubs:\s*(\d+)"")), 0) + IFERROR(VALUE(REGEXEXTRACT(I852, ""Affected Users(?:\s*\(From IM\))?:?\s*(\d+)"")), 0) + IFERROR(VALUE(REGEXEXTRACT(I852, ""Affected Clients:\s*(\d+)"")), 0)"),0.0)</f>
        <v>0</v>
      </c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33" t="str">
        <f>IFERROR(__xludf.DUMMYFUNCTION("LEN(REGEXREPLACE(REGEXREPLACE(REGEXEXTRACT(I853, ""(?s)Affected Nodes/Links(.*)""), ""https://[^\s]+"", """"), ""[^/]"", """")) / 2"),"#N/A")</f>
        <v>#N/A</v>
      </c>
      <c r="AC853" s="34">
        <f>IFERROR(__xludf.DUMMYFUNCTION("IFERROR(VALUE(REGEXEXTRACT(I853, ""No\.? of [Ss]ubs:\s*(\d+)"")), 0) + IFERROR(VALUE(REGEXEXTRACT(I853, ""Affected Users(?:\s*\(From IM\))?:?\s*(\d+)"")), 0) + IFERROR(VALUE(REGEXEXTRACT(I853, ""Affected Clients:\s*(\d+)"")), 0)"),0.0)</f>
        <v>0</v>
      </c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33" t="str">
        <f>IFERROR(__xludf.DUMMYFUNCTION("LEN(REGEXREPLACE(REGEXREPLACE(REGEXEXTRACT(I854, ""(?s)Affected Nodes/Links(.*)""), ""https://[^\s]+"", """"), ""[^/]"", """")) / 2"),"#N/A")</f>
        <v>#N/A</v>
      </c>
      <c r="AC854" s="34">
        <f>IFERROR(__xludf.DUMMYFUNCTION("IFERROR(VALUE(REGEXEXTRACT(I854, ""No\.? of [Ss]ubs:\s*(\d+)"")), 0) + IFERROR(VALUE(REGEXEXTRACT(I854, ""Affected Users(?:\s*\(From IM\))?:?\s*(\d+)"")), 0) + IFERROR(VALUE(REGEXEXTRACT(I854, ""Affected Clients:\s*(\d+)"")), 0)"),0.0)</f>
        <v>0</v>
      </c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33" t="str">
        <f>IFERROR(__xludf.DUMMYFUNCTION("LEN(REGEXREPLACE(REGEXREPLACE(REGEXEXTRACT(I855, ""(?s)Affected Nodes/Links(.*)""), ""https://[^\s]+"", """"), ""[^/]"", """")) / 2"),"#N/A")</f>
        <v>#N/A</v>
      </c>
      <c r="AC855" s="34">
        <f>IFERROR(__xludf.DUMMYFUNCTION("IFERROR(VALUE(REGEXEXTRACT(I855, ""No\.? of [Ss]ubs:\s*(\d+)"")), 0) + IFERROR(VALUE(REGEXEXTRACT(I855, ""Affected Users(?:\s*\(From IM\))?:?\s*(\d+)"")), 0) + IFERROR(VALUE(REGEXEXTRACT(I855, ""Affected Clients:\s*(\d+)"")), 0)"),0.0)</f>
        <v>0</v>
      </c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33" t="str">
        <f>IFERROR(__xludf.DUMMYFUNCTION("LEN(REGEXREPLACE(REGEXREPLACE(REGEXEXTRACT(I856, ""(?s)Affected Nodes/Links(.*)""), ""https://[^\s]+"", """"), ""[^/]"", """")) / 2"),"#N/A")</f>
        <v>#N/A</v>
      </c>
      <c r="AC856" s="34">
        <f>IFERROR(__xludf.DUMMYFUNCTION("IFERROR(VALUE(REGEXEXTRACT(I856, ""No\.? of [Ss]ubs:\s*(\d+)"")), 0) + IFERROR(VALUE(REGEXEXTRACT(I856, ""Affected Users(?:\s*\(From IM\))?:?\s*(\d+)"")), 0) + IFERROR(VALUE(REGEXEXTRACT(I856, ""Affected Clients:\s*(\d+)"")), 0)"),0.0)</f>
        <v>0</v>
      </c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33" t="str">
        <f>IFERROR(__xludf.DUMMYFUNCTION("LEN(REGEXREPLACE(REGEXREPLACE(REGEXEXTRACT(I857, ""(?s)Affected Nodes/Links(.*)""), ""https://[^\s]+"", """"), ""[^/]"", """")) / 2"),"#N/A")</f>
        <v>#N/A</v>
      </c>
      <c r="AC857" s="34">
        <f>IFERROR(__xludf.DUMMYFUNCTION("IFERROR(VALUE(REGEXEXTRACT(I857, ""No\.? of [Ss]ubs:\s*(\d+)"")), 0) + IFERROR(VALUE(REGEXEXTRACT(I857, ""Affected Users(?:\s*\(From IM\))?:?\s*(\d+)"")), 0) + IFERROR(VALUE(REGEXEXTRACT(I857, ""Affected Clients:\s*(\d+)"")), 0)"),0.0)</f>
        <v>0</v>
      </c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33" t="str">
        <f>IFERROR(__xludf.DUMMYFUNCTION("LEN(REGEXREPLACE(REGEXREPLACE(REGEXEXTRACT(I858, ""(?s)Affected Nodes/Links(.*)""), ""https://[^\s]+"", """"), ""[^/]"", """")) / 2"),"#N/A")</f>
        <v>#N/A</v>
      </c>
      <c r="AC858" s="34">
        <f>IFERROR(__xludf.DUMMYFUNCTION("IFERROR(VALUE(REGEXEXTRACT(I858, ""No\.? of [Ss]ubs:\s*(\d+)"")), 0) + IFERROR(VALUE(REGEXEXTRACT(I858, ""Affected Users(?:\s*\(From IM\))?:?\s*(\d+)"")), 0) + IFERROR(VALUE(REGEXEXTRACT(I858, ""Affected Clients:\s*(\d+)"")), 0)"),0.0)</f>
        <v>0</v>
      </c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33" t="str">
        <f>IFERROR(__xludf.DUMMYFUNCTION("LEN(REGEXREPLACE(REGEXREPLACE(REGEXEXTRACT(I859, ""(?s)Affected Nodes/Links(.*)""), ""https://[^\s]+"", """"), ""[^/]"", """")) / 2"),"#N/A")</f>
        <v>#N/A</v>
      </c>
      <c r="AC859" s="34">
        <f>IFERROR(__xludf.DUMMYFUNCTION("IFERROR(VALUE(REGEXEXTRACT(I859, ""No\.? of [Ss]ubs:\s*(\d+)"")), 0) + IFERROR(VALUE(REGEXEXTRACT(I859, ""Affected Users(?:\s*\(From IM\))?:?\s*(\d+)"")), 0) + IFERROR(VALUE(REGEXEXTRACT(I859, ""Affected Clients:\s*(\d+)"")), 0)"),0.0)</f>
        <v>0</v>
      </c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33" t="str">
        <f>IFERROR(__xludf.DUMMYFUNCTION("LEN(REGEXREPLACE(REGEXREPLACE(REGEXEXTRACT(I860, ""(?s)Affected Nodes/Links(.*)""), ""https://[^\s]+"", """"), ""[^/]"", """")) / 2"),"#N/A")</f>
        <v>#N/A</v>
      </c>
      <c r="AC860" s="34">
        <f>IFERROR(__xludf.DUMMYFUNCTION("IFERROR(VALUE(REGEXEXTRACT(I860, ""No\.? of [Ss]ubs:\s*(\d+)"")), 0) + IFERROR(VALUE(REGEXEXTRACT(I860, ""Affected Users(?:\s*\(From IM\))?:?\s*(\d+)"")), 0) + IFERROR(VALUE(REGEXEXTRACT(I860, ""Affected Clients:\s*(\d+)"")), 0)"),0.0)</f>
        <v>0</v>
      </c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33" t="str">
        <f>IFERROR(__xludf.DUMMYFUNCTION("LEN(REGEXREPLACE(REGEXREPLACE(REGEXEXTRACT(I861, ""(?s)Affected Nodes/Links(.*)""), ""https://[^\s]+"", """"), ""[^/]"", """")) / 2"),"#N/A")</f>
        <v>#N/A</v>
      </c>
      <c r="AC861" s="34">
        <f>IFERROR(__xludf.DUMMYFUNCTION("IFERROR(VALUE(REGEXEXTRACT(I861, ""No\.? of [Ss]ubs:\s*(\d+)"")), 0) + IFERROR(VALUE(REGEXEXTRACT(I861, ""Affected Users(?:\s*\(From IM\))?:?\s*(\d+)"")), 0) + IFERROR(VALUE(REGEXEXTRACT(I861, ""Affected Clients:\s*(\d+)"")), 0)"),0.0)</f>
        <v>0</v>
      </c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33" t="str">
        <f>IFERROR(__xludf.DUMMYFUNCTION("LEN(REGEXREPLACE(REGEXREPLACE(REGEXEXTRACT(I862, ""(?s)Affected Nodes/Links(.*)""), ""https://[^\s]+"", """"), ""[^/]"", """")) / 2"),"#N/A")</f>
        <v>#N/A</v>
      </c>
      <c r="AC862" s="34">
        <f>IFERROR(__xludf.DUMMYFUNCTION("IFERROR(VALUE(REGEXEXTRACT(I862, ""No\.? of [Ss]ubs:\s*(\d+)"")), 0) + IFERROR(VALUE(REGEXEXTRACT(I862, ""Affected Users(?:\s*\(From IM\))?:?\s*(\d+)"")), 0) + IFERROR(VALUE(REGEXEXTRACT(I862, ""Affected Clients:\s*(\d+)"")), 0)"),0.0)</f>
        <v>0</v>
      </c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33" t="str">
        <f>IFERROR(__xludf.DUMMYFUNCTION("LEN(REGEXREPLACE(REGEXREPLACE(REGEXEXTRACT(I863, ""(?s)Affected Nodes/Links(.*)""), ""https://[^\s]+"", """"), ""[^/]"", """")) / 2"),"#N/A")</f>
        <v>#N/A</v>
      </c>
      <c r="AC863" s="34">
        <f>IFERROR(__xludf.DUMMYFUNCTION("IFERROR(VALUE(REGEXEXTRACT(I863, ""No\.? of [Ss]ubs:\s*(\d+)"")), 0) + IFERROR(VALUE(REGEXEXTRACT(I863, ""Affected Users(?:\s*\(From IM\))?:?\s*(\d+)"")), 0) + IFERROR(VALUE(REGEXEXTRACT(I863, ""Affected Clients:\s*(\d+)"")), 0)"),0.0)</f>
        <v>0</v>
      </c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33" t="str">
        <f>IFERROR(__xludf.DUMMYFUNCTION("LEN(REGEXREPLACE(REGEXREPLACE(REGEXEXTRACT(I864, ""(?s)Affected Nodes/Links(.*)""), ""https://[^\s]+"", """"), ""[^/]"", """")) / 2"),"#N/A")</f>
        <v>#N/A</v>
      </c>
      <c r="AC864" s="34">
        <f>IFERROR(__xludf.DUMMYFUNCTION("IFERROR(VALUE(REGEXEXTRACT(I864, ""No\.? of [Ss]ubs:\s*(\d+)"")), 0) + IFERROR(VALUE(REGEXEXTRACT(I864, ""Affected Users(?:\s*\(From IM\))?:?\s*(\d+)"")), 0) + IFERROR(VALUE(REGEXEXTRACT(I864, ""Affected Clients:\s*(\d+)"")), 0)"),0.0)</f>
        <v>0</v>
      </c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33" t="str">
        <f>IFERROR(__xludf.DUMMYFUNCTION("LEN(REGEXREPLACE(REGEXREPLACE(REGEXEXTRACT(I865, ""(?s)Affected Nodes/Links(.*)""), ""https://[^\s]+"", """"), ""[^/]"", """")) / 2"),"#N/A")</f>
        <v>#N/A</v>
      </c>
      <c r="AC865" s="34">
        <f>IFERROR(__xludf.DUMMYFUNCTION("IFERROR(VALUE(REGEXEXTRACT(I865, ""No\.? of [Ss]ubs:\s*(\d+)"")), 0) + IFERROR(VALUE(REGEXEXTRACT(I865, ""Affected Users(?:\s*\(From IM\))?:?\s*(\d+)"")), 0) + IFERROR(VALUE(REGEXEXTRACT(I865, ""Affected Clients:\s*(\d+)"")), 0)"),0.0)</f>
        <v>0</v>
      </c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33" t="str">
        <f>IFERROR(__xludf.DUMMYFUNCTION("LEN(REGEXREPLACE(REGEXREPLACE(REGEXEXTRACT(I866, ""(?s)Affected Nodes/Links(.*)""), ""https://[^\s]+"", """"), ""[^/]"", """")) / 2"),"#N/A")</f>
        <v>#N/A</v>
      </c>
      <c r="AC866" s="34">
        <f>IFERROR(__xludf.DUMMYFUNCTION("IFERROR(VALUE(REGEXEXTRACT(I866, ""No\.? of [Ss]ubs:\s*(\d+)"")), 0) + IFERROR(VALUE(REGEXEXTRACT(I866, ""Affected Users(?:\s*\(From IM\))?:?\s*(\d+)"")), 0) + IFERROR(VALUE(REGEXEXTRACT(I866, ""Affected Clients:\s*(\d+)"")), 0)"),0.0)</f>
        <v>0</v>
      </c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33" t="str">
        <f>IFERROR(__xludf.DUMMYFUNCTION("LEN(REGEXREPLACE(REGEXREPLACE(REGEXEXTRACT(I867, ""(?s)Affected Nodes/Links(.*)""), ""https://[^\s]+"", """"), ""[^/]"", """")) / 2"),"#N/A")</f>
        <v>#N/A</v>
      </c>
      <c r="AC867" s="34">
        <f>IFERROR(__xludf.DUMMYFUNCTION("IFERROR(VALUE(REGEXEXTRACT(I867, ""No\.? of [Ss]ubs:\s*(\d+)"")), 0) + IFERROR(VALUE(REGEXEXTRACT(I867, ""Affected Users(?:\s*\(From IM\))?:?\s*(\d+)"")), 0) + IFERROR(VALUE(REGEXEXTRACT(I867, ""Affected Clients:\s*(\d+)"")), 0)"),0.0)</f>
        <v>0</v>
      </c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33" t="str">
        <f>IFERROR(__xludf.DUMMYFUNCTION("LEN(REGEXREPLACE(REGEXREPLACE(REGEXEXTRACT(I868, ""(?s)Affected Nodes/Links(.*)""), ""https://[^\s]+"", """"), ""[^/]"", """")) / 2"),"#N/A")</f>
        <v>#N/A</v>
      </c>
      <c r="AC868" s="34">
        <f>IFERROR(__xludf.DUMMYFUNCTION("IFERROR(VALUE(REGEXEXTRACT(I868, ""No\.? of [Ss]ubs:\s*(\d+)"")), 0) + IFERROR(VALUE(REGEXEXTRACT(I868, ""Affected Users(?:\s*\(From IM\))?:?\s*(\d+)"")), 0) + IFERROR(VALUE(REGEXEXTRACT(I868, ""Affected Clients:\s*(\d+)"")), 0)"),0.0)</f>
        <v>0</v>
      </c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33" t="str">
        <f>IFERROR(__xludf.DUMMYFUNCTION("LEN(REGEXREPLACE(REGEXREPLACE(REGEXEXTRACT(I869, ""(?s)Affected Nodes/Links(.*)""), ""https://[^\s]+"", """"), ""[^/]"", """")) / 2"),"#N/A")</f>
        <v>#N/A</v>
      </c>
      <c r="AC869" s="34">
        <f>IFERROR(__xludf.DUMMYFUNCTION("IFERROR(VALUE(REGEXEXTRACT(I869, ""No\.? of [Ss]ubs:\s*(\d+)"")), 0) + IFERROR(VALUE(REGEXEXTRACT(I869, ""Affected Users(?:\s*\(From IM\))?:?\s*(\d+)"")), 0) + IFERROR(VALUE(REGEXEXTRACT(I869, ""Affected Clients:\s*(\d+)"")), 0)"),0.0)</f>
        <v>0</v>
      </c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33" t="str">
        <f>IFERROR(__xludf.DUMMYFUNCTION("LEN(REGEXREPLACE(REGEXREPLACE(REGEXEXTRACT(I870, ""(?s)Affected Nodes/Links(.*)""), ""https://[^\s]+"", """"), ""[^/]"", """")) / 2"),"#N/A")</f>
        <v>#N/A</v>
      </c>
      <c r="AC870" s="34">
        <f>IFERROR(__xludf.DUMMYFUNCTION("IFERROR(VALUE(REGEXEXTRACT(I870, ""No\.? of [Ss]ubs:\s*(\d+)"")), 0) + IFERROR(VALUE(REGEXEXTRACT(I870, ""Affected Users(?:\s*\(From IM\))?:?\s*(\d+)"")), 0) + IFERROR(VALUE(REGEXEXTRACT(I870, ""Affected Clients:\s*(\d+)"")), 0)"),0.0)</f>
        <v>0</v>
      </c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33" t="str">
        <f>IFERROR(__xludf.DUMMYFUNCTION("LEN(REGEXREPLACE(REGEXREPLACE(REGEXEXTRACT(I871, ""(?s)Affected Nodes/Links(.*)""), ""https://[^\s]+"", """"), ""[^/]"", """")) / 2"),"#N/A")</f>
        <v>#N/A</v>
      </c>
      <c r="AC871" s="34">
        <f>IFERROR(__xludf.DUMMYFUNCTION("IFERROR(VALUE(REGEXEXTRACT(I871, ""No\.? of [Ss]ubs:\s*(\d+)"")), 0) + IFERROR(VALUE(REGEXEXTRACT(I871, ""Affected Users(?:\s*\(From IM\))?:?\s*(\d+)"")), 0) + IFERROR(VALUE(REGEXEXTRACT(I871, ""Affected Clients:\s*(\d+)"")), 0)"),0.0)</f>
        <v>0</v>
      </c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33" t="str">
        <f>IFERROR(__xludf.DUMMYFUNCTION("LEN(REGEXREPLACE(REGEXREPLACE(REGEXEXTRACT(I872, ""(?s)Affected Nodes/Links(.*)""), ""https://[^\s]+"", """"), ""[^/]"", """")) / 2"),"#N/A")</f>
        <v>#N/A</v>
      </c>
      <c r="AC872" s="34">
        <f>IFERROR(__xludf.DUMMYFUNCTION("IFERROR(VALUE(REGEXEXTRACT(I872, ""No\.? of [Ss]ubs:\s*(\d+)"")), 0) + IFERROR(VALUE(REGEXEXTRACT(I872, ""Affected Users(?:\s*\(From IM\))?:?\s*(\d+)"")), 0) + IFERROR(VALUE(REGEXEXTRACT(I872, ""Affected Clients:\s*(\d+)"")), 0)"),0.0)</f>
        <v>0</v>
      </c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33" t="str">
        <f>IFERROR(__xludf.DUMMYFUNCTION("LEN(REGEXREPLACE(REGEXREPLACE(REGEXEXTRACT(I873, ""(?s)Affected Nodes/Links(.*)""), ""https://[^\s]+"", """"), ""[^/]"", """")) / 2"),"#N/A")</f>
        <v>#N/A</v>
      </c>
      <c r="AC873" s="34">
        <f>IFERROR(__xludf.DUMMYFUNCTION("IFERROR(VALUE(REGEXEXTRACT(I873, ""No\.? of [Ss]ubs:\s*(\d+)"")), 0) + IFERROR(VALUE(REGEXEXTRACT(I873, ""Affected Users(?:\s*\(From IM\))?:?\s*(\d+)"")), 0) + IFERROR(VALUE(REGEXEXTRACT(I873, ""Affected Clients:\s*(\d+)"")), 0)"),0.0)</f>
        <v>0</v>
      </c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33" t="str">
        <f>IFERROR(__xludf.DUMMYFUNCTION("LEN(REGEXREPLACE(REGEXREPLACE(REGEXEXTRACT(I874, ""(?s)Affected Nodes/Links(.*)""), ""https://[^\s]+"", """"), ""[^/]"", """")) / 2"),"#N/A")</f>
        <v>#N/A</v>
      </c>
      <c r="AC874" s="34">
        <f>IFERROR(__xludf.DUMMYFUNCTION("IFERROR(VALUE(REGEXEXTRACT(I874, ""No\.? of [Ss]ubs:\s*(\d+)"")), 0) + IFERROR(VALUE(REGEXEXTRACT(I874, ""Affected Users(?:\s*\(From IM\))?:?\s*(\d+)"")), 0) + IFERROR(VALUE(REGEXEXTRACT(I874, ""Affected Clients:\s*(\d+)"")), 0)"),0.0)</f>
        <v>0</v>
      </c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33" t="str">
        <f>IFERROR(__xludf.DUMMYFUNCTION("LEN(REGEXREPLACE(REGEXREPLACE(REGEXEXTRACT(I875, ""(?s)Affected Nodes/Links(.*)""), ""https://[^\s]+"", """"), ""[^/]"", """")) / 2"),"#N/A")</f>
        <v>#N/A</v>
      </c>
      <c r="AC875" s="34">
        <f>IFERROR(__xludf.DUMMYFUNCTION("IFERROR(VALUE(REGEXEXTRACT(I875, ""No\.? of [Ss]ubs:\s*(\d+)"")), 0) + IFERROR(VALUE(REGEXEXTRACT(I875, ""Affected Users(?:\s*\(From IM\))?:?\s*(\d+)"")), 0) + IFERROR(VALUE(REGEXEXTRACT(I875, ""Affected Clients:\s*(\d+)"")), 0)"),0.0)</f>
        <v>0</v>
      </c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33" t="str">
        <f>IFERROR(__xludf.DUMMYFUNCTION("LEN(REGEXREPLACE(REGEXREPLACE(REGEXEXTRACT(I876, ""(?s)Affected Nodes/Links(.*)""), ""https://[^\s]+"", """"), ""[^/]"", """")) / 2"),"#N/A")</f>
        <v>#N/A</v>
      </c>
      <c r="AC876" s="34">
        <f>IFERROR(__xludf.DUMMYFUNCTION("IFERROR(VALUE(REGEXEXTRACT(I876, ""No\.? of [Ss]ubs:\s*(\d+)"")), 0) + IFERROR(VALUE(REGEXEXTRACT(I876, ""Affected Users(?:\s*\(From IM\))?:?\s*(\d+)"")), 0) + IFERROR(VALUE(REGEXEXTRACT(I876, ""Affected Clients:\s*(\d+)"")), 0)"),0.0)</f>
        <v>0</v>
      </c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33" t="str">
        <f>IFERROR(__xludf.DUMMYFUNCTION("LEN(REGEXREPLACE(REGEXREPLACE(REGEXEXTRACT(I877, ""(?s)Affected Nodes/Links(.*)""), ""https://[^\s]+"", """"), ""[^/]"", """")) / 2"),"#N/A")</f>
        <v>#N/A</v>
      </c>
      <c r="AC877" s="34">
        <f>IFERROR(__xludf.DUMMYFUNCTION("IFERROR(VALUE(REGEXEXTRACT(I877, ""No\.? of [Ss]ubs:\s*(\d+)"")), 0) + IFERROR(VALUE(REGEXEXTRACT(I877, ""Affected Users(?:\s*\(From IM\))?:?\s*(\d+)"")), 0) + IFERROR(VALUE(REGEXEXTRACT(I877, ""Affected Clients:\s*(\d+)"")), 0)"),0.0)</f>
        <v>0</v>
      </c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33" t="str">
        <f>IFERROR(__xludf.DUMMYFUNCTION("LEN(REGEXREPLACE(REGEXREPLACE(REGEXEXTRACT(I878, ""(?s)Affected Nodes/Links(.*)""), ""https://[^\s]+"", """"), ""[^/]"", """")) / 2"),"#N/A")</f>
        <v>#N/A</v>
      </c>
      <c r="AC878" s="34">
        <f>IFERROR(__xludf.DUMMYFUNCTION("IFERROR(VALUE(REGEXEXTRACT(I878, ""No\.? of [Ss]ubs:\s*(\d+)"")), 0) + IFERROR(VALUE(REGEXEXTRACT(I878, ""Affected Users(?:\s*\(From IM\))?:?\s*(\d+)"")), 0) + IFERROR(VALUE(REGEXEXTRACT(I878, ""Affected Clients:\s*(\d+)"")), 0)"),0.0)</f>
        <v>0</v>
      </c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33" t="str">
        <f>IFERROR(__xludf.DUMMYFUNCTION("LEN(REGEXREPLACE(REGEXREPLACE(REGEXEXTRACT(I879, ""(?s)Affected Nodes/Links(.*)""), ""https://[^\s]+"", """"), ""[^/]"", """")) / 2"),"#N/A")</f>
        <v>#N/A</v>
      </c>
      <c r="AC879" s="34">
        <f>IFERROR(__xludf.DUMMYFUNCTION("IFERROR(VALUE(REGEXEXTRACT(I879, ""No\.? of [Ss]ubs:\s*(\d+)"")), 0) + IFERROR(VALUE(REGEXEXTRACT(I879, ""Affected Users(?:\s*\(From IM\))?:?\s*(\d+)"")), 0) + IFERROR(VALUE(REGEXEXTRACT(I879, ""Affected Clients:\s*(\d+)"")), 0)"),0.0)</f>
        <v>0</v>
      </c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33" t="str">
        <f>IFERROR(__xludf.DUMMYFUNCTION("LEN(REGEXREPLACE(REGEXREPLACE(REGEXEXTRACT(I880, ""(?s)Affected Nodes/Links(.*)""), ""https://[^\s]+"", """"), ""[^/]"", """")) / 2"),"#N/A")</f>
        <v>#N/A</v>
      </c>
      <c r="AC880" s="34">
        <f>IFERROR(__xludf.DUMMYFUNCTION("IFERROR(VALUE(REGEXEXTRACT(I880, ""No\.? of [Ss]ubs:\s*(\d+)"")), 0) + IFERROR(VALUE(REGEXEXTRACT(I880, ""Affected Users(?:\s*\(From IM\))?:?\s*(\d+)"")), 0) + IFERROR(VALUE(REGEXEXTRACT(I880, ""Affected Clients:\s*(\d+)"")), 0)"),0.0)</f>
        <v>0</v>
      </c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33" t="str">
        <f>IFERROR(__xludf.DUMMYFUNCTION("LEN(REGEXREPLACE(REGEXREPLACE(REGEXEXTRACT(I881, ""(?s)Affected Nodes/Links(.*)""), ""https://[^\s]+"", """"), ""[^/]"", """")) / 2"),"#N/A")</f>
        <v>#N/A</v>
      </c>
      <c r="AC881" s="34">
        <f>IFERROR(__xludf.DUMMYFUNCTION("IFERROR(VALUE(REGEXEXTRACT(I881, ""No\.? of [Ss]ubs:\s*(\d+)"")), 0) + IFERROR(VALUE(REGEXEXTRACT(I881, ""Affected Users(?:\s*\(From IM\))?:?\s*(\d+)"")), 0) + IFERROR(VALUE(REGEXEXTRACT(I881, ""Affected Clients:\s*(\d+)"")), 0)"),0.0)</f>
        <v>0</v>
      </c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33" t="str">
        <f>IFERROR(__xludf.DUMMYFUNCTION("LEN(REGEXREPLACE(REGEXREPLACE(REGEXEXTRACT(I882, ""(?s)Affected Nodes/Links(.*)""), ""https://[^\s]+"", """"), ""[^/]"", """")) / 2"),"#N/A")</f>
        <v>#N/A</v>
      </c>
      <c r="AC882" s="34">
        <f>IFERROR(__xludf.DUMMYFUNCTION("IFERROR(VALUE(REGEXEXTRACT(I882, ""No\.? of [Ss]ubs:\s*(\d+)"")), 0) + IFERROR(VALUE(REGEXEXTRACT(I882, ""Affected Users(?:\s*\(From IM\))?:?\s*(\d+)"")), 0) + IFERROR(VALUE(REGEXEXTRACT(I882, ""Affected Clients:\s*(\d+)"")), 0)"),0.0)</f>
        <v>0</v>
      </c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33" t="str">
        <f>IFERROR(__xludf.DUMMYFUNCTION("LEN(REGEXREPLACE(REGEXREPLACE(REGEXEXTRACT(I883, ""(?s)Affected Nodes/Links(.*)""), ""https://[^\s]+"", """"), ""[^/]"", """")) / 2"),"#N/A")</f>
        <v>#N/A</v>
      </c>
      <c r="AC883" s="34">
        <f>IFERROR(__xludf.DUMMYFUNCTION("IFERROR(VALUE(REGEXEXTRACT(I883, ""No\.? of [Ss]ubs:\s*(\d+)"")), 0) + IFERROR(VALUE(REGEXEXTRACT(I883, ""Affected Users(?:\s*\(From IM\))?:?\s*(\d+)"")), 0) + IFERROR(VALUE(REGEXEXTRACT(I883, ""Affected Clients:\s*(\d+)"")), 0)"),0.0)</f>
        <v>0</v>
      </c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33" t="str">
        <f>IFERROR(__xludf.DUMMYFUNCTION("LEN(REGEXREPLACE(REGEXREPLACE(REGEXEXTRACT(I884, ""(?s)Affected Nodes/Links(.*)""), ""https://[^\s]+"", """"), ""[^/]"", """")) / 2"),"#N/A")</f>
        <v>#N/A</v>
      </c>
      <c r="AC884" s="34">
        <f>IFERROR(__xludf.DUMMYFUNCTION("IFERROR(VALUE(REGEXEXTRACT(I884, ""No\.? of [Ss]ubs:\s*(\d+)"")), 0) + IFERROR(VALUE(REGEXEXTRACT(I884, ""Affected Users(?:\s*\(From IM\))?:?\s*(\d+)"")), 0) + IFERROR(VALUE(REGEXEXTRACT(I884, ""Affected Clients:\s*(\d+)"")), 0)"),0.0)</f>
        <v>0</v>
      </c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33" t="str">
        <f>IFERROR(__xludf.DUMMYFUNCTION("LEN(REGEXREPLACE(REGEXREPLACE(REGEXEXTRACT(I885, ""(?s)Affected Nodes/Links(.*)""), ""https://[^\s]+"", """"), ""[^/]"", """")) / 2"),"#N/A")</f>
        <v>#N/A</v>
      </c>
      <c r="AC885" s="34">
        <f>IFERROR(__xludf.DUMMYFUNCTION("IFERROR(VALUE(REGEXEXTRACT(I885, ""No\.? of [Ss]ubs:\s*(\d+)"")), 0) + IFERROR(VALUE(REGEXEXTRACT(I885, ""Affected Users(?:\s*\(From IM\))?:?\s*(\d+)"")), 0) + IFERROR(VALUE(REGEXEXTRACT(I885, ""Affected Clients:\s*(\d+)"")), 0)"),0.0)</f>
        <v>0</v>
      </c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33" t="str">
        <f>IFERROR(__xludf.DUMMYFUNCTION("LEN(REGEXREPLACE(REGEXREPLACE(REGEXEXTRACT(I886, ""(?s)Affected Nodes/Links(.*)""), ""https://[^\s]+"", """"), ""[^/]"", """")) / 2"),"#N/A")</f>
        <v>#N/A</v>
      </c>
      <c r="AC886" s="34">
        <f>IFERROR(__xludf.DUMMYFUNCTION("IFERROR(VALUE(REGEXEXTRACT(I886, ""No\.? of [Ss]ubs:\s*(\d+)"")), 0) + IFERROR(VALUE(REGEXEXTRACT(I886, ""Affected Users(?:\s*\(From IM\))?:?\s*(\d+)"")), 0) + IFERROR(VALUE(REGEXEXTRACT(I886, ""Affected Clients:\s*(\d+)"")), 0)"),0.0)</f>
        <v>0</v>
      </c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33" t="str">
        <f>IFERROR(__xludf.DUMMYFUNCTION("LEN(REGEXREPLACE(REGEXREPLACE(REGEXEXTRACT(I887, ""(?s)Affected Nodes/Links(.*)""), ""https://[^\s]+"", """"), ""[^/]"", """")) / 2"),"#N/A")</f>
        <v>#N/A</v>
      </c>
      <c r="AC887" s="34">
        <f>IFERROR(__xludf.DUMMYFUNCTION("IFERROR(VALUE(REGEXEXTRACT(I887, ""No\.? of [Ss]ubs:\s*(\d+)"")), 0) + IFERROR(VALUE(REGEXEXTRACT(I887, ""Affected Users(?:\s*\(From IM\))?:?\s*(\d+)"")), 0) + IFERROR(VALUE(REGEXEXTRACT(I887, ""Affected Clients:\s*(\d+)"")), 0)"),0.0)</f>
        <v>0</v>
      </c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33" t="str">
        <f>IFERROR(__xludf.DUMMYFUNCTION("LEN(REGEXREPLACE(REGEXREPLACE(REGEXEXTRACT(I888, ""(?s)Affected Nodes/Links(.*)""), ""https://[^\s]+"", """"), ""[^/]"", """")) / 2"),"#N/A")</f>
        <v>#N/A</v>
      </c>
      <c r="AC888" s="34">
        <f>IFERROR(__xludf.DUMMYFUNCTION("IFERROR(VALUE(REGEXEXTRACT(I888, ""No\.? of [Ss]ubs:\s*(\d+)"")), 0) + IFERROR(VALUE(REGEXEXTRACT(I888, ""Affected Users(?:\s*\(From IM\))?:?\s*(\d+)"")), 0) + IFERROR(VALUE(REGEXEXTRACT(I888, ""Affected Clients:\s*(\d+)"")), 0)"),0.0)</f>
        <v>0</v>
      </c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33" t="str">
        <f>IFERROR(__xludf.DUMMYFUNCTION("LEN(REGEXREPLACE(REGEXREPLACE(REGEXEXTRACT(I889, ""(?s)Affected Nodes/Links(.*)""), ""https://[^\s]+"", """"), ""[^/]"", """")) / 2"),"#N/A")</f>
        <v>#N/A</v>
      </c>
      <c r="AC889" s="34">
        <f>IFERROR(__xludf.DUMMYFUNCTION("IFERROR(VALUE(REGEXEXTRACT(I889, ""No\.? of [Ss]ubs:\s*(\d+)"")), 0) + IFERROR(VALUE(REGEXEXTRACT(I889, ""Affected Users(?:\s*\(From IM\))?:?\s*(\d+)"")), 0) + IFERROR(VALUE(REGEXEXTRACT(I889, ""Affected Clients:\s*(\d+)"")), 0)"),0.0)</f>
        <v>0</v>
      </c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33" t="str">
        <f>IFERROR(__xludf.DUMMYFUNCTION("LEN(REGEXREPLACE(REGEXREPLACE(REGEXEXTRACT(I890, ""(?s)Affected Nodes/Links(.*)""), ""https://[^\s]+"", """"), ""[^/]"", """")) / 2"),"#N/A")</f>
        <v>#N/A</v>
      </c>
      <c r="AC890" s="34">
        <f>IFERROR(__xludf.DUMMYFUNCTION("IFERROR(VALUE(REGEXEXTRACT(I890, ""No\.? of [Ss]ubs:\s*(\d+)"")), 0) + IFERROR(VALUE(REGEXEXTRACT(I890, ""Affected Users(?:\s*\(From IM\))?:?\s*(\d+)"")), 0) + IFERROR(VALUE(REGEXEXTRACT(I890, ""Affected Clients:\s*(\d+)"")), 0)"),0.0)</f>
        <v>0</v>
      </c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33" t="str">
        <f>IFERROR(__xludf.DUMMYFUNCTION("LEN(REGEXREPLACE(REGEXREPLACE(REGEXEXTRACT(I891, ""(?s)Affected Nodes/Links(.*)""), ""https://[^\s]+"", """"), ""[^/]"", """")) / 2"),"#N/A")</f>
        <v>#N/A</v>
      </c>
      <c r="AC891" s="34">
        <f>IFERROR(__xludf.DUMMYFUNCTION("IFERROR(VALUE(REGEXEXTRACT(I891, ""No\.? of [Ss]ubs:\s*(\d+)"")), 0) + IFERROR(VALUE(REGEXEXTRACT(I891, ""Affected Users(?:\s*\(From IM\))?:?\s*(\d+)"")), 0) + IFERROR(VALUE(REGEXEXTRACT(I891, ""Affected Clients:\s*(\d+)"")), 0)"),0.0)</f>
        <v>0</v>
      </c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33" t="str">
        <f>IFERROR(__xludf.DUMMYFUNCTION("LEN(REGEXREPLACE(REGEXREPLACE(REGEXEXTRACT(I892, ""(?s)Affected Nodes/Links(.*)""), ""https://[^\s]+"", """"), ""[^/]"", """")) / 2"),"#N/A")</f>
        <v>#N/A</v>
      </c>
      <c r="AC892" s="34">
        <f>IFERROR(__xludf.DUMMYFUNCTION("IFERROR(VALUE(REGEXEXTRACT(I892, ""No\.? of [Ss]ubs:\s*(\d+)"")), 0) + IFERROR(VALUE(REGEXEXTRACT(I892, ""Affected Users(?:\s*\(From IM\))?:?\s*(\d+)"")), 0) + IFERROR(VALUE(REGEXEXTRACT(I892, ""Affected Clients:\s*(\d+)"")), 0)"),0.0)</f>
        <v>0</v>
      </c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33" t="str">
        <f>IFERROR(__xludf.DUMMYFUNCTION("LEN(REGEXREPLACE(REGEXREPLACE(REGEXEXTRACT(I893, ""(?s)Affected Nodes/Links(.*)""), ""https://[^\s]+"", """"), ""[^/]"", """")) / 2"),"#N/A")</f>
        <v>#N/A</v>
      </c>
      <c r="AC893" s="34">
        <f>IFERROR(__xludf.DUMMYFUNCTION("IFERROR(VALUE(REGEXEXTRACT(I893, ""No\.? of [Ss]ubs:\s*(\d+)"")), 0) + IFERROR(VALUE(REGEXEXTRACT(I893, ""Affected Users(?:\s*\(From IM\))?:?\s*(\d+)"")), 0) + IFERROR(VALUE(REGEXEXTRACT(I893, ""Affected Clients:\s*(\d+)"")), 0)"),0.0)</f>
        <v>0</v>
      </c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33" t="str">
        <f>IFERROR(__xludf.DUMMYFUNCTION("LEN(REGEXREPLACE(REGEXREPLACE(REGEXEXTRACT(I894, ""(?s)Affected Nodes/Links(.*)""), ""https://[^\s]+"", """"), ""[^/]"", """")) / 2"),"#N/A")</f>
        <v>#N/A</v>
      </c>
      <c r="AC894" s="34">
        <f>IFERROR(__xludf.DUMMYFUNCTION("IFERROR(VALUE(REGEXEXTRACT(I894, ""No\.? of [Ss]ubs:\s*(\d+)"")), 0) + IFERROR(VALUE(REGEXEXTRACT(I894, ""Affected Users(?:\s*\(From IM\))?:?\s*(\d+)"")), 0) + IFERROR(VALUE(REGEXEXTRACT(I894, ""Affected Clients:\s*(\d+)"")), 0)"),0.0)</f>
        <v>0</v>
      </c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33" t="str">
        <f>IFERROR(__xludf.DUMMYFUNCTION("LEN(REGEXREPLACE(REGEXREPLACE(REGEXEXTRACT(I895, ""(?s)Affected Nodes/Links(.*)""), ""https://[^\s]+"", """"), ""[^/]"", """")) / 2"),"#N/A")</f>
        <v>#N/A</v>
      </c>
      <c r="AC895" s="34">
        <f>IFERROR(__xludf.DUMMYFUNCTION("IFERROR(VALUE(REGEXEXTRACT(I895, ""No\.? of [Ss]ubs:\s*(\d+)"")), 0) + IFERROR(VALUE(REGEXEXTRACT(I895, ""Affected Users(?:\s*\(From IM\))?:?\s*(\d+)"")), 0) + IFERROR(VALUE(REGEXEXTRACT(I895, ""Affected Clients:\s*(\d+)"")), 0)"),0.0)</f>
        <v>0</v>
      </c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33" t="str">
        <f>IFERROR(__xludf.DUMMYFUNCTION("LEN(REGEXREPLACE(REGEXREPLACE(REGEXEXTRACT(I896, ""(?s)Affected Nodes/Links(.*)""), ""https://[^\s]+"", """"), ""[^/]"", """")) / 2"),"#N/A")</f>
        <v>#N/A</v>
      </c>
      <c r="AC896" s="34">
        <f>IFERROR(__xludf.DUMMYFUNCTION("IFERROR(VALUE(REGEXEXTRACT(I896, ""No\.? of [Ss]ubs:\s*(\d+)"")), 0) + IFERROR(VALUE(REGEXEXTRACT(I896, ""Affected Users(?:\s*\(From IM\))?:?\s*(\d+)"")), 0) + IFERROR(VALUE(REGEXEXTRACT(I896, ""Affected Clients:\s*(\d+)"")), 0)"),0.0)</f>
        <v>0</v>
      </c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33" t="str">
        <f>IFERROR(__xludf.DUMMYFUNCTION("LEN(REGEXREPLACE(REGEXREPLACE(REGEXEXTRACT(I897, ""(?s)Affected Nodes/Links(.*)""), ""https://[^\s]+"", """"), ""[^/]"", """")) / 2"),"#N/A")</f>
        <v>#N/A</v>
      </c>
      <c r="AC897" s="34">
        <f>IFERROR(__xludf.DUMMYFUNCTION("IFERROR(VALUE(REGEXEXTRACT(I897, ""No\.? of [Ss]ubs:\s*(\d+)"")), 0) + IFERROR(VALUE(REGEXEXTRACT(I897, ""Affected Users(?:\s*\(From IM\))?:?\s*(\d+)"")), 0) + IFERROR(VALUE(REGEXEXTRACT(I897, ""Affected Clients:\s*(\d+)"")), 0)"),0.0)</f>
        <v>0</v>
      </c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33" t="str">
        <f>IFERROR(__xludf.DUMMYFUNCTION("LEN(REGEXREPLACE(REGEXREPLACE(REGEXEXTRACT(I898, ""(?s)Affected Nodes/Links(.*)""), ""https://[^\s]+"", """"), ""[^/]"", """")) / 2"),"#N/A")</f>
        <v>#N/A</v>
      </c>
      <c r="AC898" s="34">
        <f>IFERROR(__xludf.DUMMYFUNCTION("IFERROR(VALUE(REGEXEXTRACT(I898, ""No\.? of [Ss]ubs:\s*(\d+)"")), 0) + IFERROR(VALUE(REGEXEXTRACT(I898, ""Affected Users(?:\s*\(From IM\))?:?\s*(\d+)"")), 0) + IFERROR(VALUE(REGEXEXTRACT(I898, ""Affected Clients:\s*(\d+)"")), 0)"),0.0)</f>
        <v>0</v>
      </c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33" t="str">
        <f>IFERROR(__xludf.DUMMYFUNCTION("LEN(REGEXREPLACE(REGEXREPLACE(REGEXEXTRACT(I899, ""(?s)Affected Nodes/Links(.*)""), ""https://[^\s]+"", """"), ""[^/]"", """")) / 2"),"#N/A")</f>
        <v>#N/A</v>
      </c>
      <c r="AC899" s="34">
        <f>IFERROR(__xludf.DUMMYFUNCTION("IFERROR(VALUE(REGEXEXTRACT(I899, ""No\.? of [Ss]ubs:\s*(\d+)"")), 0) + IFERROR(VALUE(REGEXEXTRACT(I899, ""Affected Users(?:\s*\(From IM\))?:?\s*(\d+)"")), 0) + IFERROR(VALUE(REGEXEXTRACT(I899, ""Affected Clients:\s*(\d+)"")), 0)"),0.0)</f>
        <v>0</v>
      </c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33" t="str">
        <f>IFERROR(__xludf.DUMMYFUNCTION("LEN(REGEXREPLACE(REGEXREPLACE(REGEXEXTRACT(I900, ""(?s)Affected Nodes/Links(.*)""), ""https://[^\s]+"", """"), ""[^/]"", """")) / 2"),"#N/A")</f>
        <v>#N/A</v>
      </c>
      <c r="AC900" s="34">
        <f>IFERROR(__xludf.DUMMYFUNCTION("IFERROR(VALUE(REGEXEXTRACT(I900, ""No\.? of [Ss]ubs:\s*(\d+)"")), 0) + IFERROR(VALUE(REGEXEXTRACT(I900, ""Affected Users(?:\s*\(From IM\))?:?\s*(\d+)"")), 0) + IFERROR(VALUE(REGEXEXTRACT(I900, ""Affected Clients:\s*(\d+)"")), 0)"),0.0)</f>
        <v>0</v>
      </c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33" t="str">
        <f>IFERROR(__xludf.DUMMYFUNCTION("LEN(REGEXREPLACE(REGEXREPLACE(REGEXEXTRACT(I901, ""(?s)Affected Nodes/Links(.*)""), ""https://[^\s]+"", """"), ""[^/]"", """")) / 2"),"#N/A")</f>
        <v>#N/A</v>
      </c>
      <c r="AC901" s="34">
        <f>IFERROR(__xludf.DUMMYFUNCTION("IFERROR(VALUE(REGEXEXTRACT(I901, ""No\.? of [Ss]ubs:\s*(\d+)"")), 0) + IFERROR(VALUE(REGEXEXTRACT(I901, ""Affected Users(?:\s*\(From IM\))?:?\s*(\d+)"")), 0) + IFERROR(VALUE(REGEXEXTRACT(I901, ""Affected Clients:\s*(\d+)"")), 0)"),0.0)</f>
        <v>0</v>
      </c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33" t="str">
        <f>IFERROR(__xludf.DUMMYFUNCTION("LEN(REGEXREPLACE(REGEXREPLACE(REGEXEXTRACT(I902, ""(?s)Affected Nodes/Links(.*)""), ""https://[^\s]+"", """"), ""[^/]"", """")) / 2"),"#N/A")</f>
        <v>#N/A</v>
      </c>
      <c r="AC902" s="34">
        <f>IFERROR(__xludf.DUMMYFUNCTION("IFERROR(VALUE(REGEXEXTRACT(I902, ""No\.? of [Ss]ubs:\s*(\d+)"")), 0) + IFERROR(VALUE(REGEXEXTRACT(I902, ""Affected Users(?:\s*\(From IM\))?:?\s*(\d+)"")), 0) + IFERROR(VALUE(REGEXEXTRACT(I902, ""Affected Clients:\s*(\d+)"")), 0)"),0.0)</f>
        <v>0</v>
      </c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33" t="str">
        <f>IFERROR(__xludf.DUMMYFUNCTION("LEN(REGEXREPLACE(REGEXREPLACE(REGEXEXTRACT(I903, ""(?s)Affected Nodes/Links(.*)""), ""https://[^\s]+"", """"), ""[^/]"", """")) / 2"),"#N/A")</f>
        <v>#N/A</v>
      </c>
      <c r="AC903" s="34">
        <f>IFERROR(__xludf.DUMMYFUNCTION("IFERROR(VALUE(REGEXEXTRACT(I903, ""No\.? of [Ss]ubs:\s*(\d+)"")), 0) + IFERROR(VALUE(REGEXEXTRACT(I903, ""Affected Users(?:\s*\(From IM\))?:?\s*(\d+)"")), 0) + IFERROR(VALUE(REGEXEXTRACT(I903, ""Affected Clients:\s*(\d+)"")), 0)"),0.0)</f>
        <v>0</v>
      </c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33" t="str">
        <f>IFERROR(__xludf.DUMMYFUNCTION("LEN(REGEXREPLACE(REGEXREPLACE(REGEXEXTRACT(I904, ""(?s)Affected Nodes/Links(.*)""), ""https://[^\s]+"", """"), ""[^/]"", """")) / 2"),"#N/A")</f>
        <v>#N/A</v>
      </c>
      <c r="AC904" s="34">
        <f>IFERROR(__xludf.DUMMYFUNCTION("IFERROR(VALUE(REGEXEXTRACT(I904, ""No\.? of [Ss]ubs:\s*(\d+)"")), 0) + IFERROR(VALUE(REGEXEXTRACT(I904, ""Affected Users(?:\s*\(From IM\))?:?\s*(\d+)"")), 0) + IFERROR(VALUE(REGEXEXTRACT(I904, ""Affected Clients:\s*(\d+)"")), 0)"),0.0)</f>
        <v>0</v>
      </c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33" t="str">
        <f>IFERROR(__xludf.DUMMYFUNCTION("LEN(REGEXREPLACE(REGEXREPLACE(REGEXEXTRACT(I905, ""(?s)Affected Nodes/Links(.*)""), ""https://[^\s]+"", """"), ""[^/]"", """")) / 2"),"#N/A")</f>
        <v>#N/A</v>
      </c>
      <c r="AC905" s="34">
        <f>IFERROR(__xludf.DUMMYFUNCTION("IFERROR(VALUE(REGEXEXTRACT(I905, ""No\.? of [Ss]ubs:\s*(\d+)"")), 0) + IFERROR(VALUE(REGEXEXTRACT(I905, ""Affected Users(?:\s*\(From IM\))?:?\s*(\d+)"")), 0) + IFERROR(VALUE(REGEXEXTRACT(I905, ""Affected Clients:\s*(\d+)"")), 0)"),0.0)</f>
        <v>0</v>
      </c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33" t="str">
        <f>IFERROR(__xludf.DUMMYFUNCTION("LEN(REGEXREPLACE(REGEXREPLACE(REGEXEXTRACT(I906, ""(?s)Affected Nodes/Links(.*)""), ""https://[^\s]+"", """"), ""[^/]"", """")) / 2"),"#N/A")</f>
        <v>#N/A</v>
      </c>
      <c r="AC906" s="34">
        <f>IFERROR(__xludf.DUMMYFUNCTION("IFERROR(VALUE(REGEXEXTRACT(I906, ""No\.? of [Ss]ubs:\s*(\d+)"")), 0) + IFERROR(VALUE(REGEXEXTRACT(I906, ""Affected Users(?:\s*\(From IM\))?:?\s*(\d+)"")), 0) + IFERROR(VALUE(REGEXEXTRACT(I906, ""Affected Clients:\s*(\d+)"")), 0)"),0.0)</f>
        <v>0</v>
      </c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33" t="str">
        <f>IFERROR(__xludf.DUMMYFUNCTION("LEN(REGEXREPLACE(REGEXREPLACE(REGEXEXTRACT(I907, ""(?s)Affected Nodes/Links(.*)""), ""https://[^\s]+"", """"), ""[^/]"", """")) / 2"),"#N/A")</f>
        <v>#N/A</v>
      </c>
      <c r="AC907" s="34">
        <f>IFERROR(__xludf.DUMMYFUNCTION("IFERROR(VALUE(REGEXEXTRACT(I907, ""No\.? of [Ss]ubs:\s*(\d+)"")), 0) + IFERROR(VALUE(REGEXEXTRACT(I907, ""Affected Users(?:\s*\(From IM\))?:?\s*(\d+)"")), 0) + IFERROR(VALUE(REGEXEXTRACT(I907, ""Affected Clients:\s*(\d+)"")), 0)"),0.0)</f>
        <v>0</v>
      </c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33" t="str">
        <f>IFERROR(__xludf.DUMMYFUNCTION("LEN(REGEXREPLACE(REGEXREPLACE(REGEXEXTRACT(I908, ""(?s)Affected Nodes/Links(.*)""), ""https://[^\s]+"", """"), ""[^/]"", """")) / 2"),"#N/A")</f>
        <v>#N/A</v>
      </c>
      <c r="AC908" s="34">
        <f>IFERROR(__xludf.DUMMYFUNCTION("IFERROR(VALUE(REGEXEXTRACT(I908, ""No\.? of [Ss]ubs:\s*(\d+)"")), 0) + IFERROR(VALUE(REGEXEXTRACT(I908, ""Affected Users(?:\s*\(From IM\))?:?\s*(\d+)"")), 0) + IFERROR(VALUE(REGEXEXTRACT(I908, ""Affected Clients:\s*(\d+)"")), 0)"),0.0)</f>
        <v>0</v>
      </c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33" t="str">
        <f>IFERROR(__xludf.DUMMYFUNCTION("LEN(REGEXREPLACE(REGEXREPLACE(REGEXEXTRACT(I909, ""(?s)Affected Nodes/Links(.*)""), ""https://[^\s]+"", """"), ""[^/]"", """")) / 2"),"#N/A")</f>
        <v>#N/A</v>
      </c>
      <c r="AC909" s="34">
        <f>IFERROR(__xludf.DUMMYFUNCTION("IFERROR(VALUE(REGEXEXTRACT(I909, ""No\.? of [Ss]ubs:\s*(\d+)"")), 0) + IFERROR(VALUE(REGEXEXTRACT(I909, ""Affected Users(?:\s*\(From IM\))?:?\s*(\d+)"")), 0) + IFERROR(VALUE(REGEXEXTRACT(I909, ""Affected Clients:\s*(\d+)"")), 0)"),0.0)</f>
        <v>0</v>
      </c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33" t="str">
        <f>IFERROR(__xludf.DUMMYFUNCTION("LEN(REGEXREPLACE(REGEXREPLACE(REGEXEXTRACT(I910, ""(?s)Affected Nodes/Links(.*)""), ""https://[^\s]+"", """"), ""[^/]"", """")) / 2"),"#N/A")</f>
        <v>#N/A</v>
      </c>
      <c r="AC910" s="34">
        <f>IFERROR(__xludf.DUMMYFUNCTION("IFERROR(VALUE(REGEXEXTRACT(I910, ""No\.? of [Ss]ubs:\s*(\d+)"")), 0) + IFERROR(VALUE(REGEXEXTRACT(I910, ""Affected Users(?:\s*\(From IM\))?:?\s*(\d+)"")), 0) + IFERROR(VALUE(REGEXEXTRACT(I910, ""Affected Clients:\s*(\d+)"")), 0)"),0.0)</f>
        <v>0</v>
      </c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33" t="str">
        <f>IFERROR(__xludf.DUMMYFUNCTION("LEN(REGEXREPLACE(REGEXREPLACE(REGEXEXTRACT(I911, ""(?s)Affected Nodes/Links(.*)""), ""https://[^\s]+"", """"), ""[^/]"", """")) / 2"),"#N/A")</f>
        <v>#N/A</v>
      </c>
      <c r="AC911" s="34">
        <f>IFERROR(__xludf.DUMMYFUNCTION("IFERROR(VALUE(REGEXEXTRACT(I911, ""No\.? of [Ss]ubs:\s*(\d+)"")), 0) + IFERROR(VALUE(REGEXEXTRACT(I911, ""Affected Users(?:\s*\(From IM\))?:?\s*(\d+)"")), 0) + IFERROR(VALUE(REGEXEXTRACT(I911, ""Affected Clients:\s*(\d+)"")), 0)"),0.0)</f>
        <v>0</v>
      </c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33" t="str">
        <f>IFERROR(__xludf.DUMMYFUNCTION("LEN(REGEXREPLACE(REGEXREPLACE(REGEXEXTRACT(I912, ""(?s)Affected Nodes/Links(.*)""), ""https://[^\s]+"", """"), ""[^/]"", """")) / 2"),"#N/A")</f>
        <v>#N/A</v>
      </c>
      <c r="AC912" s="34">
        <f>IFERROR(__xludf.DUMMYFUNCTION("IFERROR(VALUE(REGEXEXTRACT(I912, ""No\.? of [Ss]ubs:\s*(\d+)"")), 0) + IFERROR(VALUE(REGEXEXTRACT(I912, ""Affected Users(?:\s*\(From IM\))?:?\s*(\d+)"")), 0) + IFERROR(VALUE(REGEXEXTRACT(I912, ""Affected Clients:\s*(\d+)"")), 0)"),0.0)</f>
        <v>0</v>
      </c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33" t="str">
        <f>IFERROR(__xludf.DUMMYFUNCTION("LEN(REGEXREPLACE(REGEXREPLACE(REGEXEXTRACT(I913, ""(?s)Affected Nodes/Links(.*)""), ""https://[^\s]+"", """"), ""[^/]"", """")) / 2"),"#N/A")</f>
        <v>#N/A</v>
      </c>
      <c r="AC913" s="34">
        <f>IFERROR(__xludf.DUMMYFUNCTION("IFERROR(VALUE(REGEXEXTRACT(I913, ""No\.? of [Ss]ubs:\s*(\d+)"")), 0) + IFERROR(VALUE(REGEXEXTRACT(I913, ""Affected Users(?:\s*\(From IM\))?:?\s*(\d+)"")), 0) + IFERROR(VALUE(REGEXEXTRACT(I913, ""Affected Clients:\s*(\d+)"")), 0)"),0.0)</f>
        <v>0</v>
      </c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33" t="str">
        <f>IFERROR(__xludf.DUMMYFUNCTION("LEN(REGEXREPLACE(REGEXREPLACE(REGEXEXTRACT(I914, ""(?s)Affected Nodes/Links(.*)""), ""https://[^\s]+"", """"), ""[^/]"", """")) / 2"),"#N/A")</f>
        <v>#N/A</v>
      </c>
      <c r="AC914" s="34">
        <f>IFERROR(__xludf.DUMMYFUNCTION("IFERROR(VALUE(REGEXEXTRACT(I914, ""No\.? of [Ss]ubs:\s*(\d+)"")), 0) + IFERROR(VALUE(REGEXEXTRACT(I914, ""Affected Users(?:\s*\(From IM\))?:?\s*(\d+)"")), 0) + IFERROR(VALUE(REGEXEXTRACT(I914, ""Affected Clients:\s*(\d+)"")), 0)"),0.0)</f>
        <v>0</v>
      </c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33" t="str">
        <f>IFERROR(__xludf.DUMMYFUNCTION("LEN(REGEXREPLACE(REGEXREPLACE(REGEXEXTRACT(I915, ""(?s)Affected Nodes/Links(.*)""), ""https://[^\s]+"", """"), ""[^/]"", """")) / 2"),"#N/A")</f>
        <v>#N/A</v>
      </c>
      <c r="AC915" s="34">
        <f>IFERROR(__xludf.DUMMYFUNCTION("IFERROR(VALUE(REGEXEXTRACT(I915, ""No\.? of [Ss]ubs:\s*(\d+)"")), 0) + IFERROR(VALUE(REGEXEXTRACT(I915, ""Affected Users(?:\s*\(From IM\))?:?\s*(\d+)"")), 0) + IFERROR(VALUE(REGEXEXTRACT(I915, ""Affected Clients:\s*(\d+)"")), 0)"),0.0)</f>
        <v>0</v>
      </c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33" t="str">
        <f>IFERROR(__xludf.DUMMYFUNCTION("LEN(REGEXREPLACE(REGEXREPLACE(REGEXEXTRACT(I916, ""(?s)Affected Nodes/Links(.*)""), ""https://[^\s]+"", """"), ""[^/]"", """")) / 2"),"#N/A")</f>
        <v>#N/A</v>
      </c>
      <c r="AC916" s="34">
        <f>IFERROR(__xludf.DUMMYFUNCTION("IFERROR(VALUE(REGEXEXTRACT(I916, ""No\.? of [Ss]ubs:\s*(\d+)"")), 0) + IFERROR(VALUE(REGEXEXTRACT(I916, ""Affected Users(?:\s*\(From IM\))?:?\s*(\d+)"")), 0) + IFERROR(VALUE(REGEXEXTRACT(I916, ""Affected Clients:\s*(\d+)"")), 0)"),0.0)</f>
        <v>0</v>
      </c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33" t="str">
        <f>IFERROR(__xludf.DUMMYFUNCTION("LEN(REGEXREPLACE(REGEXREPLACE(REGEXEXTRACT(I917, ""(?s)Affected Nodes/Links(.*)""), ""https://[^\s]+"", """"), ""[^/]"", """")) / 2"),"#N/A")</f>
        <v>#N/A</v>
      </c>
      <c r="AC917" s="34">
        <f>IFERROR(__xludf.DUMMYFUNCTION("IFERROR(VALUE(REGEXEXTRACT(I917, ""No\.? of [Ss]ubs:\s*(\d+)"")), 0) + IFERROR(VALUE(REGEXEXTRACT(I917, ""Affected Users(?:\s*\(From IM\))?:?\s*(\d+)"")), 0) + IFERROR(VALUE(REGEXEXTRACT(I917, ""Affected Clients:\s*(\d+)"")), 0)"),0.0)</f>
        <v>0</v>
      </c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33" t="str">
        <f>IFERROR(__xludf.DUMMYFUNCTION("LEN(REGEXREPLACE(REGEXREPLACE(REGEXEXTRACT(I918, ""(?s)Affected Nodes/Links(.*)""), ""https://[^\s]+"", """"), ""[^/]"", """")) / 2"),"#N/A")</f>
        <v>#N/A</v>
      </c>
      <c r="AC918" s="34">
        <f>IFERROR(__xludf.DUMMYFUNCTION("IFERROR(VALUE(REGEXEXTRACT(I918, ""No\.? of [Ss]ubs:\s*(\d+)"")), 0) + IFERROR(VALUE(REGEXEXTRACT(I918, ""Affected Users(?:\s*\(From IM\))?:?\s*(\d+)"")), 0) + IFERROR(VALUE(REGEXEXTRACT(I918, ""Affected Clients:\s*(\d+)"")), 0)"),0.0)</f>
        <v>0</v>
      </c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33" t="str">
        <f>IFERROR(__xludf.DUMMYFUNCTION("LEN(REGEXREPLACE(REGEXREPLACE(REGEXEXTRACT(I919, ""(?s)Affected Nodes/Links(.*)""), ""https://[^\s]+"", """"), ""[^/]"", """")) / 2"),"#N/A")</f>
        <v>#N/A</v>
      </c>
      <c r="AC919" s="34">
        <f>IFERROR(__xludf.DUMMYFUNCTION("IFERROR(VALUE(REGEXEXTRACT(I919, ""No\.? of [Ss]ubs:\s*(\d+)"")), 0) + IFERROR(VALUE(REGEXEXTRACT(I919, ""Affected Users(?:\s*\(From IM\))?:?\s*(\d+)"")), 0) + IFERROR(VALUE(REGEXEXTRACT(I919, ""Affected Clients:\s*(\d+)"")), 0)"),0.0)</f>
        <v>0</v>
      </c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33" t="str">
        <f>IFERROR(__xludf.DUMMYFUNCTION("LEN(REGEXREPLACE(REGEXREPLACE(REGEXEXTRACT(I920, ""(?s)Affected Nodes/Links(.*)""), ""https://[^\s]+"", """"), ""[^/]"", """")) / 2"),"#N/A")</f>
        <v>#N/A</v>
      </c>
      <c r="AC920" s="34">
        <f>IFERROR(__xludf.DUMMYFUNCTION("IFERROR(VALUE(REGEXEXTRACT(I920, ""No\.? of [Ss]ubs:\s*(\d+)"")), 0) + IFERROR(VALUE(REGEXEXTRACT(I920, ""Affected Users(?:\s*\(From IM\))?:?\s*(\d+)"")), 0) + IFERROR(VALUE(REGEXEXTRACT(I920, ""Affected Clients:\s*(\d+)"")), 0)"),0.0)</f>
        <v>0</v>
      </c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33" t="str">
        <f>IFERROR(__xludf.DUMMYFUNCTION("LEN(REGEXREPLACE(REGEXREPLACE(REGEXEXTRACT(I921, ""(?s)Affected Nodes/Links(.*)""), ""https://[^\s]+"", """"), ""[^/]"", """")) / 2"),"#N/A")</f>
        <v>#N/A</v>
      </c>
      <c r="AC921" s="34">
        <f>IFERROR(__xludf.DUMMYFUNCTION("IFERROR(VALUE(REGEXEXTRACT(I921, ""No\.? of [Ss]ubs:\s*(\d+)"")), 0) + IFERROR(VALUE(REGEXEXTRACT(I921, ""Affected Users(?:\s*\(From IM\))?:?\s*(\d+)"")), 0) + IFERROR(VALUE(REGEXEXTRACT(I921, ""Affected Clients:\s*(\d+)"")), 0)"),0.0)</f>
        <v>0</v>
      </c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33" t="str">
        <f>IFERROR(__xludf.DUMMYFUNCTION("LEN(REGEXREPLACE(REGEXREPLACE(REGEXEXTRACT(I922, ""(?s)Affected Nodes/Links(.*)""), ""https://[^\s]+"", """"), ""[^/]"", """")) / 2"),"#N/A")</f>
        <v>#N/A</v>
      </c>
      <c r="AC922" s="34">
        <f>IFERROR(__xludf.DUMMYFUNCTION("IFERROR(VALUE(REGEXEXTRACT(I922, ""No\.? of [Ss]ubs:\s*(\d+)"")), 0) + IFERROR(VALUE(REGEXEXTRACT(I922, ""Affected Users(?:\s*\(From IM\))?:?\s*(\d+)"")), 0) + IFERROR(VALUE(REGEXEXTRACT(I922, ""Affected Clients:\s*(\d+)"")), 0)"),0.0)</f>
        <v>0</v>
      </c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33" t="str">
        <f>IFERROR(__xludf.DUMMYFUNCTION("LEN(REGEXREPLACE(REGEXREPLACE(REGEXEXTRACT(I923, ""(?s)Affected Nodes/Links(.*)""), ""https://[^\s]+"", """"), ""[^/]"", """")) / 2"),"#N/A")</f>
        <v>#N/A</v>
      </c>
      <c r="AC923" s="34">
        <f>IFERROR(__xludf.DUMMYFUNCTION("IFERROR(VALUE(REGEXEXTRACT(I923, ""No\.? of [Ss]ubs:\s*(\d+)"")), 0) + IFERROR(VALUE(REGEXEXTRACT(I923, ""Affected Users(?:\s*\(From IM\))?:?\s*(\d+)"")), 0) + IFERROR(VALUE(REGEXEXTRACT(I923, ""Affected Clients:\s*(\d+)"")), 0)"),0.0)</f>
        <v>0</v>
      </c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33" t="str">
        <f>IFERROR(__xludf.DUMMYFUNCTION("LEN(REGEXREPLACE(REGEXREPLACE(REGEXEXTRACT(I924, ""(?s)Affected Nodes/Links(.*)""), ""https://[^\s]+"", """"), ""[^/]"", """")) / 2"),"#N/A")</f>
        <v>#N/A</v>
      </c>
      <c r="AC924" s="34">
        <f>IFERROR(__xludf.DUMMYFUNCTION("IFERROR(VALUE(REGEXEXTRACT(I924, ""No\.? of [Ss]ubs:\s*(\d+)"")), 0) + IFERROR(VALUE(REGEXEXTRACT(I924, ""Affected Users(?:\s*\(From IM\))?:?\s*(\d+)"")), 0) + IFERROR(VALUE(REGEXEXTRACT(I924, ""Affected Clients:\s*(\d+)"")), 0)"),0.0)</f>
        <v>0</v>
      </c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33" t="str">
        <f>IFERROR(__xludf.DUMMYFUNCTION("LEN(REGEXREPLACE(REGEXREPLACE(REGEXEXTRACT(I925, ""(?s)Affected Nodes/Links(.*)""), ""https://[^\s]+"", """"), ""[^/]"", """")) / 2"),"#N/A")</f>
        <v>#N/A</v>
      </c>
      <c r="AC925" s="34">
        <f>IFERROR(__xludf.DUMMYFUNCTION("IFERROR(VALUE(REGEXEXTRACT(I925, ""No\.? of [Ss]ubs:\s*(\d+)"")), 0) + IFERROR(VALUE(REGEXEXTRACT(I925, ""Affected Users(?:\s*\(From IM\))?:?\s*(\d+)"")), 0) + IFERROR(VALUE(REGEXEXTRACT(I925, ""Affected Clients:\s*(\d+)"")), 0)"),0.0)</f>
        <v>0</v>
      </c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33" t="str">
        <f>IFERROR(__xludf.DUMMYFUNCTION("LEN(REGEXREPLACE(REGEXREPLACE(REGEXEXTRACT(I926, ""(?s)Affected Nodes/Links(.*)""), ""https://[^\s]+"", """"), ""[^/]"", """")) / 2"),"#N/A")</f>
        <v>#N/A</v>
      </c>
      <c r="AC926" s="34">
        <f>IFERROR(__xludf.DUMMYFUNCTION("IFERROR(VALUE(REGEXEXTRACT(I926, ""No\.? of [Ss]ubs:\s*(\d+)"")), 0) + IFERROR(VALUE(REGEXEXTRACT(I926, ""Affected Users(?:\s*\(From IM\))?:?\s*(\d+)"")), 0) + IFERROR(VALUE(REGEXEXTRACT(I926, ""Affected Clients:\s*(\d+)"")), 0)"),0.0)</f>
        <v>0</v>
      </c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33" t="str">
        <f>IFERROR(__xludf.DUMMYFUNCTION("LEN(REGEXREPLACE(REGEXREPLACE(REGEXEXTRACT(I927, ""(?s)Affected Nodes/Links(.*)""), ""https://[^\s]+"", """"), ""[^/]"", """")) / 2"),"#N/A")</f>
        <v>#N/A</v>
      </c>
      <c r="AC927" s="34">
        <f>IFERROR(__xludf.DUMMYFUNCTION("IFERROR(VALUE(REGEXEXTRACT(I927, ""No\.? of [Ss]ubs:\s*(\d+)"")), 0) + IFERROR(VALUE(REGEXEXTRACT(I927, ""Affected Users(?:\s*\(From IM\))?:?\s*(\d+)"")), 0) + IFERROR(VALUE(REGEXEXTRACT(I927, ""Affected Clients:\s*(\d+)"")), 0)"),0.0)</f>
        <v>0</v>
      </c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33" t="str">
        <f>IFERROR(__xludf.DUMMYFUNCTION("LEN(REGEXREPLACE(REGEXREPLACE(REGEXEXTRACT(I928, ""(?s)Affected Nodes/Links(.*)""), ""https://[^\s]+"", """"), ""[^/]"", """")) / 2"),"#N/A")</f>
        <v>#N/A</v>
      </c>
      <c r="AC928" s="34">
        <f>IFERROR(__xludf.DUMMYFUNCTION("IFERROR(VALUE(REGEXEXTRACT(I928, ""No\.? of [Ss]ubs:\s*(\d+)"")), 0) + IFERROR(VALUE(REGEXEXTRACT(I928, ""Affected Users(?:\s*\(From IM\))?:?\s*(\d+)"")), 0) + IFERROR(VALUE(REGEXEXTRACT(I928, ""Affected Clients:\s*(\d+)"")), 0)"),0.0)</f>
        <v>0</v>
      </c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33" t="str">
        <f>IFERROR(__xludf.DUMMYFUNCTION("LEN(REGEXREPLACE(REGEXREPLACE(REGEXEXTRACT(I929, ""(?s)Affected Nodes/Links(.*)""), ""https://[^\s]+"", """"), ""[^/]"", """")) / 2"),"#N/A")</f>
        <v>#N/A</v>
      </c>
      <c r="AC929" s="34">
        <f>IFERROR(__xludf.DUMMYFUNCTION("IFERROR(VALUE(REGEXEXTRACT(I929, ""No\.? of [Ss]ubs:\s*(\d+)"")), 0) + IFERROR(VALUE(REGEXEXTRACT(I929, ""Affected Users(?:\s*\(From IM\))?:?\s*(\d+)"")), 0) + IFERROR(VALUE(REGEXEXTRACT(I929, ""Affected Clients:\s*(\d+)"")), 0)"),0.0)</f>
        <v>0</v>
      </c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33" t="str">
        <f>IFERROR(__xludf.DUMMYFUNCTION("LEN(REGEXREPLACE(REGEXREPLACE(REGEXEXTRACT(I930, ""(?s)Affected Nodes/Links(.*)""), ""https://[^\s]+"", """"), ""[^/]"", """")) / 2"),"#N/A")</f>
        <v>#N/A</v>
      </c>
      <c r="AC930" s="34">
        <f>IFERROR(__xludf.DUMMYFUNCTION("IFERROR(VALUE(REGEXEXTRACT(I930, ""No\.? of [Ss]ubs:\s*(\d+)"")), 0) + IFERROR(VALUE(REGEXEXTRACT(I930, ""Affected Users(?:\s*\(From IM\))?:?\s*(\d+)"")), 0) + IFERROR(VALUE(REGEXEXTRACT(I930, ""Affected Clients:\s*(\d+)"")), 0)"),0.0)</f>
        <v>0</v>
      </c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33" t="str">
        <f>IFERROR(__xludf.DUMMYFUNCTION("LEN(REGEXREPLACE(REGEXREPLACE(REGEXEXTRACT(I931, ""(?s)Affected Nodes/Links(.*)""), ""https://[^\s]+"", """"), ""[^/]"", """")) / 2"),"#N/A")</f>
        <v>#N/A</v>
      </c>
      <c r="AC931" s="34">
        <f>IFERROR(__xludf.DUMMYFUNCTION("IFERROR(VALUE(REGEXEXTRACT(I931, ""No\.? of [Ss]ubs:\s*(\d+)"")), 0) + IFERROR(VALUE(REGEXEXTRACT(I931, ""Affected Users(?:\s*\(From IM\))?:?\s*(\d+)"")), 0) + IFERROR(VALUE(REGEXEXTRACT(I931, ""Affected Clients:\s*(\d+)"")), 0)"),0.0)</f>
        <v>0</v>
      </c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33" t="str">
        <f>IFERROR(__xludf.DUMMYFUNCTION("LEN(REGEXREPLACE(REGEXREPLACE(REGEXEXTRACT(I932, ""(?s)Affected Nodes/Links(.*)""), ""https://[^\s]+"", """"), ""[^/]"", """")) / 2"),"#N/A")</f>
        <v>#N/A</v>
      </c>
      <c r="AC932" s="34">
        <f>IFERROR(__xludf.DUMMYFUNCTION("IFERROR(VALUE(REGEXEXTRACT(I932, ""No\.? of [Ss]ubs:\s*(\d+)"")), 0) + IFERROR(VALUE(REGEXEXTRACT(I932, ""Affected Users(?:\s*\(From IM\))?:?\s*(\d+)"")), 0) + IFERROR(VALUE(REGEXEXTRACT(I932, ""Affected Clients:\s*(\d+)"")), 0)"),0.0)</f>
        <v>0</v>
      </c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33" t="str">
        <f>IFERROR(__xludf.DUMMYFUNCTION("LEN(REGEXREPLACE(REGEXREPLACE(REGEXEXTRACT(I933, ""(?s)Affected Nodes/Links(.*)""), ""https://[^\s]+"", """"), ""[^/]"", """")) / 2"),"#N/A")</f>
        <v>#N/A</v>
      </c>
      <c r="AC933" s="34">
        <f>IFERROR(__xludf.DUMMYFUNCTION("IFERROR(VALUE(REGEXEXTRACT(I933, ""No\.? of [Ss]ubs:\s*(\d+)"")), 0) + IFERROR(VALUE(REGEXEXTRACT(I933, ""Affected Users(?:\s*\(From IM\))?:?\s*(\d+)"")), 0) + IFERROR(VALUE(REGEXEXTRACT(I933, ""Affected Clients:\s*(\d+)"")), 0)"),0.0)</f>
        <v>0</v>
      </c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33" t="str">
        <f>IFERROR(__xludf.DUMMYFUNCTION("LEN(REGEXREPLACE(REGEXREPLACE(REGEXEXTRACT(I934, ""(?s)Affected Nodes/Links(.*)""), ""https://[^\s]+"", """"), ""[^/]"", """")) / 2"),"#N/A")</f>
        <v>#N/A</v>
      </c>
      <c r="AC934" s="34">
        <f>IFERROR(__xludf.DUMMYFUNCTION("IFERROR(VALUE(REGEXEXTRACT(I934, ""No\.? of [Ss]ubs:\s*(\d+)"")), 0) + IFERROR(VALUE(REGEXEXTRACT(I934, ""Affected Users(?:\s*\(From IM\))?:?\s*(\d+)"")), 0) + IFERROR(VALUE(REGEXEXTRACT(I934, ""Affected Clients:\s*(\d+)"")), 0)"),0.0)</f>
        <v>0</v>
      </c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33" t="str">
        <f>IFERROR(__xludf.DUMMYFUNCTION("LEN(REGEXREPLACE(REGEXREPLACE(REGEXEXTRACT(I935, ""(?s)Affected Nodes/Links(.*)""), ""https://[^\s]+"", """"), ""[^/]"", """")) / 2"),"#N/A")</f>
        <v>#N/A</v>
      </c>
      <c r="AC935" s="34">
        <f>IFERROR(__xludf.DUMMYFUNCTION("IFERROR(VALUE(REGEXEXTRACT(I935, ""No\.? of [Ss]ubs:\s*(\d+)"")), 0) + IFERROR(VALUE(REGEXEXTRACT(I935, ""Affected Users(?:\s*\(From IM\))?:?\s*(\d+)"")), 0) + IFERROR(VALUE(REGEXEXTRACT(I935, ""Affected Clients:\s*(\d+)"")), 0)"),0.0)</f>
        <v>0</v>
      </c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33" t="str">
        <f>IFERROR(__xludf.DUMMYFUNCTION("LEN(REGEXREPLACE(REGEXREPLACE(REGEXEXTRACT(I936, ""(?s)Affected Nodes/Links(.*)""), ""https://[^\s]+"", """"), ""[^/]"", """")) / 2"),"#N/A")</f>
        <v>#N/A</v>
      </c>
      <c r="AC936" s="34">
        <f>IFERROR(__xludf.DUMMYFUNCTION("IFERROR(VALUE(REGEXEXTRACT(I936, ""No\.? of [Ss]ubs:\s*(\d+)"")), 0) + IFERROR(VALUE(REGEXEXTRACT(I936, ""Affected Users(?:\s*\(From IM\))?:?\s*(\d+)"")), 0) + IFERROR(VALUE(REGEXEXTRACT(I936, ""Affected Clients:\s*(\d+)"")), 0)"),0.0)</f>
        <v>0</v>
      </c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33" t="str">
        <f>IFERROR(__xludf.DUMMYFUNCTION("LEN(REGEXREPLACE(REGEXREPLACE(REGEXEXTRACT(I937, ""(?s)Affected Nodes/Links(.*)""), ""https://[^\s]+"", """"), ""[^/]"", """")) / 2"),"#N/A")</f>
        <v>#N/A</v>
      </c>
      <c r="AC937" s="34">
        <f>IFERROR(__xludf.DUMMYFUNCTION("IFERROR(VALUE(REGEXEXTRACT(I937, ""No\.? of [Ss]ubs:\s*(\d+)"")), 0) + IFERROR(VALUE(REGEXEXTRACT(I937, ""Affected Users(?:\s*\(From IM\))?:?\s*(\d+)"")), 0) + IFERROR(VALUE(REGEXEXTRACT(I937, ""Affected Clients:\s*(\d+)"")), 0)"),0.0)</f>
        <v>0</v>
      </c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33" t="str">
        <f>IFERROR(__xludf.DUMMYFUNCTION("LEN(REGEXREPLACE(REGEXREPLACE(REGEXEXTRACT(I938, ""(?s)Affected Nodes/Links(.*)""), ""https://[^\s]+"", """"), ""[^/]"", """")) / 2"),"#N/A")</f>
        <v>#N/A</v>
      </c>
      <c r="AC938" s="34">
        <f>IFERROR(__xludf.DUMMYFUNCTION("IFERROR(VALUE(REGEXEXTRACT(I938, ""No\.? of [Ss]ubs:\s*(\d+)"")), 0) + IFERROR(VALUE(REGEXEXTRACT(I938, ""Affected Users(?:\s*\(From IM\))?:?\s*(\d+)"")), 0) + IFERROR(VALUE(REGEXEXTRACT(I938, ""Affected Clients:\s*(\d+)"")), 0)"),0.0)</f>
        <v>0</v>
      </c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33" t="str">
        <f>IFERROR(__xludf.DUMMYFUNCTION("LEN(REGEXREPLACE(REGEXREPLACE(REGEXEXTRACT(I939, ""(?s)Affected Nodes/Links(.*)""), ""https://[^\s]+"", """"), ""[^/]"", """")) / 2"),"#N/A")</f>
        <v>#N/A</v>
      </c>
      <c r="AC939" s="34">
        <f>IFERROR(__xludf.DUMMYFUNCTION("IFERROR(VALUE(REGEXEXTRACT(I939, ""No\.? of [Ss]ubs:\s*(\d+)"")), 0) + IFERROR(VALUE(REGEXEXTRACT(I939, ""Affected Users(?:\s*\(From IM\))?:?\s*(\d+)"")), 0) + IFERROR(VALUE(REGEXEXTRACT(I939, ""Affected Clients:\s*(\d+)"")), 0)"),0.0)</f>
        <v>0</v>
      </c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33" t="str">
        <f>IFERROR(__xludf.DUMMYFUNCTION("LEN(REGEXREPLACE(REGEXREPLACE(REGEXEXTRACT(I940, ""(?s)Affected Nodes/Links(.*)""), ""https://[^\s]+"", """"), ""[^/]"", """")) / 2"),"#N/A")</f>
        <v>#N/A</v>
      </c>
      <c r="AC940" s="34">
        <f>IFERROR(__xludf.DUMMYFUNCTION("IFERROR(VALUE(REGEXEXTRACT(I940, ""No\.? of [Ss]ubs:\s*(\d+)"")), 0) + IFERROR(VALUE(REGEXEXTRACT(I940, ""Affected Users(?:\s*\(From IM\))?:?\s*(\d+)"")), 0) + IFERROR(VALUE(REGEXEXTRACT(I940, ""Affected Clients:\s*(\d+)"")), 0)"),0.0)</f>
        <v>0</v>
      </c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33" t="str">
        <f>IFERROR(__xludf.DUMMYFUNCTION("LEN(REGEXREPLACE(REGEXREPLACE(REGEXEXTRACT(I941, ""(?s)Affected Nodes/Links(.*)""), ""https://[^\s]+"", """"), ""[^/]"", """")) / 2"),"#N/A")</f>
        <v>#N/A</v>
      </c>
      <c r="AC941" s="34">
        <f>IFERROR(__xludf.DUMMYFUNCTION("IFERROR(VALUE(REGEXEXTRACT(I941, ""No\.? of [Ss]ubs:\s*(\d+)"")), 0) + IFERROR(VALUE(REGEXEXTRACT(I941, ""Affected Users(?:\s*\(From IM\))?:?\s*(\d+)"")), 0) + IFERROR(VALUE(REGEXEXTRACT(I941, ""Affected Clients:\s*(\d+)"")), 0)"),0.0)</f>
        <v>0</v>
      </c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33" t="str">
        <f>IFERROR(__xludf.DUMMYFUNCTION("LEN(REGEXREPLACE(REGEXREPLACE(REGEXEXTRACT(I942, ""(?s)Affected Nodes/Links(.*)""), ""https://[^\s]+"", """"), ""[^/]"", """")) / 2"),"#N/A")</f>
        <v>#N/A</v>
      </c>
      <c r="AC942" s="34">
        <f>IFERROR(__xludf.DUMMYFUNCTION("IFERROR(VALUE(REGEXEXTRACT(I942, ""No\.? of [Ss]ubs:\s*(\d+)"")), 0) + IFERROR(VALUE(REGEXEXTRACT(I942, ""Affected Users(?:\s*\(From IM\))?:?\s*(\d+)"")), 0) + IFERROR(VALUE(REGEXEXTRACT(I942, ""Affected Clients:\s*(\d+)"")), 0)"),0.0)</f>
        <v>0</v>
      </c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33" t="str">
        <f>IFERROR(__xludf.DUMMYFUNCTION("LEN(REGEXREPLACE(REGEXREPLACE(REGEXEXTRACT(I943, ""(?s)Affected Nodes/Links(.*)""), ""https://[^\s]+"", """"), ""[^/]"", """")) / 2"),"#N/A")</f>
        <v>#N/A</v>
      </c>
      <c r="AC943" s="34">
        <f>IFERROR(__xludf.DUMMYFUNCTION("IFERROR(VALUE(REGEXEXTRACT(I943, ""No\.? of [Ss]ubs:\s*(\d+)"")), 0) + IFERROR(VALUE(REGEXEXTRACT(I943, ""Affected Users(?:\s*\(From IM\))?:?\s*(\d+)"")), 0) + IFERROR(VALUE(REGEXEXTRACT(I943, ""Affected Clients:\s*(\d+)"")), 0)"),0.0)</f>
        <v>0</v>
      </c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33" t="str">
        <f>IFERROR(__xludf.DUMMYFUNCTION("LEN(REGEXREPLACE(REGEXREPLACE(REGEXEXTRACT(I944, ""(?s)Affected Nodes/Links(.*)""), ""https://[^\s]+"", """"), ""[^/]"", """")) / 2"),"#N/A")</f>
        <v>#N/A</v>
      </c>
      <c r="AC944" s="34">
        <f>IFERROR(__xludf.DUMMYFUNCTION("IFERROR(VALUE(REGEXEXTRACT(I944, ""No\.? of [Ss]ubs:\s*(\d+)"")), 0) + IFERROR(VALUE(REGEXEXTRACT(I944, ""Affected Users(?:\s*\(From IM\))?:?\s*(\d+)"")), 0) + IFERROR(VALUE(REGEXEXTRACT(I944, ""Affected Clients:\s*(\d+)"")), 0)"),0.0)</f>
        <v>0</v>
      </c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33" t="str">
        <f>IFERROR(__xludf.DUMMYFUNCTION("LEN(REGEXREPLACE(REGEXREPLACE(REGEXEXTRACT(I945, ""(?s)Affected Nodes/Links(.*)""), ""https://[^\s]+"", """"), ""[^/]"", """")) / 2"),"#N/A")</f>
        <v>#N/A</v>
      </c>
      <c r="AC945" s="34">
        <f>IFERROR(__xludf.DUMMYFUNCTION("IFERROR(VALUE(REGEXEXTRACT(I945, ""No\.? of [Ss]ubs:\s*(\d+)"")), 0) + IFERROR(VALUE(REGEXEXTRACT(I945, ""Affected Users(?:\s*\(From IM\))?:?\s*(\d+)"")), 0) + IFERROR(VALUE(REGEXEXTRACT(I945, ""Affected Clients:\s*(\d+)"")), 0)"),0.0)</f>
        <v>0</v>
      </c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33" t="str">
        <f>IFERROR(__xludf.DUMMYFUNCTION("LEN(REGEXREPLACE(REGEXREPLACE(REGEXEXTRACT(I946, ""(?s)Affected Nodes/Links(.*)""), ""https://[^\s]+"", """"), ""[^/]"", """")) / 2"),"#N/A")</f>
        <v>#N/A</v>
      </c>
      <c r="AC946" s="34">
        <f>IFERROR(__xludf.DUMMYFUNCTION("IFERROR(VALUE(REGEXEXTRACT(I946, ""No\.? of [Ss]ubs:\s*(\d+)"")), 0) + IFERROR(VALUE(REGEXEXTRACT(I946, ""Affected Users(?:\s*\(From IM\))?:?\s*(\d+)"")), 0) + IFERROR(VALUE(REGEXEXTRACT(I946, ""Affected Clients:\s*(\d+)"")), 0)"),0.0)</f>
        <v>0</v>
      </c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33" t="str">
        <f>IFERROR(__xludf.DUMMYFUNCTION("LEN(REGEXREPLACE(REGEXREPLACE(REGEXEXTRACT(I947, ""(?s)Affected Nodes/Links(.*)""), ""https://[^\s]+"", """"), ""[^/]"", """")) / 2"),"#N/A")</f>
        <v>#N/A</v>
      </c>
      <c r="AC947" s="34">
        <f>IFERROR(__xludf.DUMMYFUNCTION("IFERROR(VALUE(REGEXEXTRACT(I947, ""No\.? of [Ss]ubs:\s*(\d+)"")), 0) + IFERROR(VALUE(REGEXEXTRACT(I947, ""Affected Users(?:\s*\(From IM\))?:?\s*(\d+)"")), 0) + IFERROR(VALUE(REGEXEXTRACT(I947, ""Affected Clients:\s*(\d+)"")), 0)"),0.0)</f>
        <v>0</v>
      </c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33" t="str">
        <f>IFERROR(__xludf.DUMMYFUNCTION("LEN(REGEXREPLACE(REGEXREPLACE(REGEXEXTRACT(I948, ""(?s)Affected Nodes/Links(.*)""), ""https://[^\s]+"", """"), ""[^/]"", """")) / 2"),"#N/A")</f>
        <v>#N/A</v>
      </c>
      <c r="AC948" s="34">
        <f>IFERROR(__xludf.DUMMYFUNCTION("IFERROR(VALUE(REGEXEXTRACT(I948, ""No\.? of [Ss]ubs:\s*(\d+)"")), 0) + IFERROR(VALUE(REGEXEXTRACT(I948, ""Affected Users(?:\s*\(From IM\))?:?\s*(\d+)"")), 0) + IFERROR(VALUE(REGEXEXTRACT(I948, ""Affected Clients:\s*(\d+)"")), 0)"),0.0)</f>
        <v>0</v>
      </c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33" t="str">
        <f>IFERROR(__xludf.DUMMYFUNCTION("LEN(REGEXREPLACE(REGEXREPLACE(REGEXEXTRACT(I949, ""(?s)Affected Nodes/Links(.*)""), ""https://[^\s]+"", """"), ""[^/]"", """")) / 2"),"#N/A")</f>
        <v>#N/A</v>
      </c>
      <c r="AC949" s="34">
        <f>IFERROR(__xludf.DUMMYFUNCTION("IFERROR(VALUE(REGEXEXTRACT(I949, ""No\.? of [Ss]ubs:\s*(\d+)"")), 0) + IFERROR(VALUE(REGEXEXTRACT(I949, ""Affected Users(?:\s*\(From IM\))?:?\s*(\d+)"")), 0) + IFERROR(VALUE(REGEXEXTRACT(I949, ""Affected Clients:\s*(\d+)"")), 0)"),0.0)</f>
        <v>0</v>
      </c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33" t="str">
        <f>IFERROR(__xludf.DUMMYFUNCTION("LEN(REGEXREPLACE(REGEXREPLACE(REGEXEXTRACT(I950, ""(?s)Affected Nodes/Links(.*)""), ""https://[^\s]+"", """"), ""[^/]"", """")) / 2"),"#N/A")</f>
        <v>#N/A</v>
      </c>
      <c r="AC950" s="34">
        <f>IFERROR(__xludf.DUMMYFUNCTION("IFERROR(VALUE(REGEXEXTRACT(I950, ""No\.? of [Ss]ubs:\s*(\d+)"")), 0) + IFERROR(VALUE(REGEXEXTRACT(I950, ""Affected Users(?:\s*\(From IM\))?:?\s*(\d+)"")), 0) + IFERROR(VALUE(REGEXEXTRACT(I950, ""Affected Clients:\s*(\d+)"")), 0)"),0.0)</f>
        <v>0</v>
      </c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33" t="str">
        <f>IFERROR(__xludf.DUMMYFUNCTION("LEN(REGEXREPLACE(REGEXREPLACE(REGEXEXTRACT(I951, ""(?s)Affected Nodes/Links(.*)""), ""https://[^\s]+"", """"), ""[^/]"", """")) / 2"),"#N/A")</f>
        <v>#N/A</v>
      </c>
      <c r="AC951" s="34">
        <f>IFERROR(__xludf.DUMMYFUNCTION("IFERROR(VALUE(REGEXEXTRACT(I951, ""No\.? of [Ss]ubs:\s*(\d+)"")), 0) + IFERROR(VALUE(REGEXEXTRACT(I951, ""Affected Users(?:\s*\(From IM\))?:?\s*(\d+)"")), 0) + IFERROR(VALUE(REGEXEXTRACT(I951, ""Affected Clients:\s*(\d+)"")), 0)"),0.0)</f>
        <v>0</v>
      </c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33" t="str">
        <f>IFERROR(__xludf.DUMMYFUNCTION("LEN(REGEXREPLACE(REGEXREPLACE(REGEXEXTRACT(I952, ""(?s)Affected Nodes/Links(.*)""), ""https://[^\s]+"", """"), ""[^/]"", """")) / 2"),"#N/A")</f>
        <v>#N/A</v>
      </c>
      <c r="AC952" s="34">
        <f>IFERROR(__xludf.DUMMYFUNCTION("IFERROR(VALUE(REGEXEXTRACT(I952, ""No\.? of [Ss]ubs:\s*(\d+)"")), 0) + IFERROR(VALUE(REGEXEXTRACT(I952, ""Affected Users(?:\s*\(From IM\))?:?\s*(\d+)"")), 0) + IFERROR(VALUE(REGEXEXTRACT(I952, ""Affected Clients:\s*(\d+)"")), 0)"),0.0)</f>
        <v>0</v>
      </c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33" t="str">
        <f>IFERROR(__xludf.DUMMYFUNCTION("LEN(REGEXREPLACE(REGEXREPLACE(REGEXEXTRACT(I953, ""(?s)Affected Nodes/Links(.*)""), ""https://[^\s]+"", """"), ""[^/]"", """")) / 2"),"#N/A")</f>
        <v>#N/A</v>
      </c>
      <c r="AC953" s="34">
        <f>IFERROR(__xludf.DUMMYFUNCTION("IFERROR(VALUE(REGEXEXTRACT(I953, ""No\.? of [Ss]ubs:\s*(\d+)"")), 0) + IFERROR(VALUE(REGEXEXTRACT(I953, ""Affected Users(?:\s*\(From IM\))?:?\s*(\d+)"")), 0) + IFERROR(VALUE(REGEXEXTRACT(I953, ""Affected Clients:\s*(\d+)"")), 0)"),0.0)</f>
        <v>0</v>
      </c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33" t="str">
        <f>IFERROR(__xludf.DUMMYFUNCTION("LEN(REGEXREPLACE(REGEXREPLACE(REGEXEXTRACT(I954, ""(?s)Affected Nodes/Links(.*)""), ""https://[^\s]+"", """"), ""[^/]"", """")) / 2"),"#N/A")</f>
        <v>#N/A</v>
      </c>
      <c r="AC954" s="34">
        <f>IFERROR(__xludf.DUMMYFUNCTION("IFERROR(VALUE(REGEXEXTRACT(I954, ""No\.? of [Ss]ubs:\s*(\d+)"")), 0) + IFERROR(VALUE(REGEXEXTRACT(I954, ""Affected Users(?:\s*\(From IM\))?:?\s*(\d+)"")), 0) + IFERROR(VALUE(REGEXEXTRACT(I954, ""Affected Clients:\s*(\d+)"")), 0)"),0.0)</f>
        <v>0</v>
      </c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33" t="str">
        <f>IFERROR(__xludf.DUMMYFUNCTION("LEN(REGEXREPLACE(REGEXREPLACE(REGEXEXTRACT(I955, ""(?s)Affected Nodes/Links(.*)""), ""https://[^\s]+"", """"), ""[^/]"", """")) / 2"),"#N/A")</f>
        <v>#N/A</v>
      </c>
      <c r="AC955" s="34">
        <f>IFERROR(__xludf.DUMMYFUNCTION("IFERROR(VALUE(REGEXEXTRACT(I955, ""No\.? of [Ss]ubs:\s*(\d+)"")), 0) + IFERROR(VALUE(REGEXEXTRACT(I955, ""Affected Users(?:\s*\(From IM\))?:?\s*(\d+)"")), 0) + IFERROR(VALUE(REGEXEXTRACT(I955, ""Affected Clients:\s*(\d+)"")), 0)"),0.0)</f>
        <v>0</v>
      </c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33" t="str">
        <f>IFERROR(__xludf.DUMMYFUNCTION("LEN(REGEXREPLACE(REGEXREPLACE(REGEXEXTRACT(I956, ""(?s)Affected Nodes/Links(.*)""), ""https://[^\s]+"", """"), ""[^/]"", """")) / 2"),"#N/A")</f>
        <v>#N/A</v>
      </c>
      <c r="AC956" s="34">
        <f>IFERROR(__xludf.DUMMYFUNCTION("IFERROR(VALUE(REGEXEXTRACT(I956, ""No\.? of [Ss]ubs:\s*(\d+)"")), 0) + IFERROR(VALUE(REGEXEXTRACT(I956, ""Affected Users(?:\s*\(From IM\))?:?\s*(\d+)"")), 0) + IFERROR(VALUE(REGEXEXTRACT(I956, ""Affected Clients:\s*(\d+)"")), 0)"),0.0)</f>
        <v>0</v>
      </c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33" t="str">
        <f>IFERROR(__xludf.DUMMYFUNCTION("LEN(REGEXREPLACE(REGEXREPLACE(REGEXEXTRACT(I957, ""(?s)Affected Nodes/Links(.*)""), ""https://[^\s]+"", """"), ""[^/]"", """")) / 2"),"#N/A")</f>
        <v>#N/A</v>
      </c>
      <c r="AC957" s="34">
        <f>IFERROR(__xludf.DUMMYFUNCTION("IFERROR(VALUE(REGEXEXTRACT(I957, ""No\.? of [Ss]ubs:\s*(\d+)"")), 0) + IFERROR(VALUE(REGEXEXTRACT(I957, ""Affected Users(?:\s*\(From IM\))?:?\s*(\d+)"")), 0) + IFERROR(VALUE(REGEXEXTRACT(I957, ""Affected Clients:\s*(\d+)"")), 0)"),0.0)</f>
        <v>0</v>
      </c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33" t="str">
        <f>IFERROR(__xludf.DUMMYFUNCTION("LEN(REGEXREPLACE(REGEXREPLACE(REGEXEXTRACT(I958, ""(?s)Affected Nodes/Links(.*)""), ""https://[^\s]+"", """"), ""[^/]"", """")) / 2"),"#N/A")</f>
        <v>#N/A</v>
      </c>
      <c r="AC958" s="34">
        <f>IFERROR(__xludf.DUMMYFUNCTION("IFERROR(VALUE(REGEXEXTRACT(I958, ""No\.? of [Ss]ubs:\s*(\d+)"")), 0) + IFERROR(VALUE(REGEXEXTRACT(I958, ""Affected Users(?:\s*\(From IM\))?:?\s*(\d+)"")), 0) + IFERROR(VALUE(REGEXEXTRACT(I958, ""Affected Clients:\s*(\d+)"")), 0)"),0.0)</f>
        <v>0</v>
      </c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33" t="str">
        <f>IFERROR(__xludf.DUMMYFUNCTION("LEN(REGEXREPLACE(REGEXREPLACE(REGEXEXTRACT(I959, ""(?s)Affected Nodes/Links(.*)""), ""https://[^\s]+"", """"), ""[^/]"", """")) / 2"),"#N/A")</f>
        <v>#N/A</v>
      </c>
      <c r="AC959" s="34">
        <f>IFERROR(__xludf.DUMMYFUNCTION("IFERROR(VALUE(REGEXEXTRACT(I959, ""No\.? of [Ss]ubs:\s*(\d+)"")), 0) + IFERROR(VALUE(REGEXEXTRACT(I959, ""Affected Users(?:\s*\(From IM\))?:?\s*(\d+)"")), 0) + IFERROR(VALUE(REGEXEXTRACT(I959, ""Affected Clients:\s*(\d+)"")), 0)"),0.0)</f>
        <v>0</v>
      </c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33" t="str">
        <f>IFERROR(__xludf.DUMMYFUNCTION("LEN(REGEXREPLACE(REGEXREPLACE(REGEXEXTRACT(I960, ""(?s)Affected Nodes/Links(.*)""), ""https://[^\s]+"", """"), ""[^/]"", """")) / 2"),"#N/A")</f>
        <v>#N/A</v>
      </c>
      <c r="AC960" s="34">
        <f>IFERROR(__xludf.DUMMYFUNCTION("IFERROR(VALUE(REGEXEXTRACT(I960, ""No\.? of [Ss]ubs:\s*(\d+)"")), 0) + IFERROR(VALUE(REGEXEXTRACT(I960, ""Affected Users(?:\s*\(From IM\))?:?\s*(\d+)"")), 0) + IFERROR(VALUE(REGEXEXTRACT(I960, ""Affected Clients:\s*(\d+)"")), 0)"),0.0)</f>
        <v>0</v>
      </c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33" t="str">
        <f>IFERROR(__xludf.DUMMYFUNCTION("LEN(REGEXREPLACE(REGEXREPLACE(REGEXEXTRACT(I961, ""(?s)Affected Nodes/Links(.*)""), ""https://[^\s]+"", """"), ""[^/]"", """")) / 2"),"#N/A")</f>
        <v>#N/A</v>
      </c>
      <c r="AC961" s="34">
        <f>IFERROR(__xludf.DUMMYFUNCTION("IFERROR(VALUE(REGEXEXTRACT(I961, ""No\.? of [Ss]ubs:\s*(\d+)"")), 0) + IFERROR(VALUE(REGEXEXTRACT(I961, ""Affected Users(?:\s*\(From IM\))?:?\s*(\d+)"")), 0) + IFERROR(VALUE(REGEXEXTRACT(I961, ""Affected Clients:\s*(\d+)"")), 0)"),0.0)</f>
        <v>0</v>
      </c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33" t="str">
        <f>IFERROR(__xludf.DUMMYFUNCTION("LEN(REGEXREPLACE(REGEXREPLACE(REGEXEXTRACT(I962, ""(?s)Affected Nodes/Links(.*)""), ""https://[^\s]+"", """"), ""[^/]"", """")) / 2"),"#N/A")</f>
        <v>#N/A</v>
      </c>
      <c r="AC962" s="34">
        <f>IFERROR(__xludf.DUMMYFUNCTION("IFERROR(VALUE(REGEXEXTRACT(I962, ""No\.? of [Ss]ubs:\s*(\d+)"")), 0) + IFERROR(VALUE(REGEXEXTRACT(I962, ""Affected Users(?:\s*\(From IM\))?:?\s*(\d+)"")), 0) + IFERROR(VALUE(REGEXEXTRACT(I962, ""Affected Clients:\s*(\d+)"")), 0)"),0.0)</f>
        <v>0</v>
      </c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33" t="str">
        <f>IFERROR(__xludf.DUMMYFUNCTION("LEN(REGEXREPLACE(REGEXREPLACE(REGEXEXTRACT(I963, ""(?s)Affected Nodes/Links(.*)""), ""https://[^\s]+"", """"), ""[^/]"", """")) / 2"),"#N/A")</f>
        <v>#N/A</v>
      </c>
      <c r="AC963" s="34">
        <f>IFERROR(__xludf.DUMMYFUNCTION("IFERROR(VALUE(REGEXEXTRACT(I963, ""No\.? of [Ss]ubs:\s*(\d+)"")), 0) + IFERROR(VALUE(REGEXEXTRACT(I963, ""Affected Users(?:\s*\(From IM\))?:?\s*(\d+)"")), 0) + IFERROR(VALUE(REGEXEXTRACT(I963, ""Affected Clients:\s*(\d+)"")), 0)"),0.0)</f>
        <v>0</v>
      </c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33" t="str">
        <f>IFERROR(__xludf.DUMMYFUNCTION("LEN(REGEXREPLACE(REGEXREPLACE(REGEXEXTRACT(I964, ""(?s)Affected Nodes/Links(.*)""), ""https://[^\s]+"", """"), ""[^/]"", """")) / 2"),"#N/A")</f>
        <v>#N/A</v>
      </c>
      <c r="AC964" s="34">
        <f>IFERROR(__xludf.DUMMYFUNCTION("IFERROR(VALUE(REGEXEXTRACT(I964, ""No\.? of [Ss]ubs:\s*(\d+)"")), 0) + IFERROR(VALUE(REGEXEXTRACT(I964, ""Affected Users(?:\s*\(From IM\))?:?\s*(\d+)"")), 0) + IFERROR(VALUE(REGEXEXTRACT(I964, ""Affected Clients:\s*(\d+)"")), 0)"),0.0)</f>
        <v>0</v>
      </c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33" t="str">
        <f>IFERROR(__xludf.DUMMYFUNCTION("LEN(REGEXREPLACE(REGEXREPLACE(REGEXEXTRACT(I965, ""(?s)Affected Nodes/Links(.*)""), ""https://[^\s]+"", """"), ""[^/]"", """")) / 2"),"#N/A")</f>
        <v>#N/A</v>
      </c>
      <c r="AC965" s="34">
        <f>IFERROR(__xludf.DUMMYFUNCTION("IFERROR(VALUE(REGEXEXTRACT(I965, ""No\.? of [Ss]ubs:\s*(\d+)"")), 0) + IFERROR(VALUE(REGEXEXTRACT(I965, ""Affected Users(?:\s*\(From IM\))?:?\s*(\d+)"")), 0) + IFERROR(VALUE(REGEXEXTRACT(I965, ""Affected Clients:\s*(\d+)"")), 0)"),0.0)</f>
        <v>0</v>
      </c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33" t="str">
        <f>IFERROR(__xludf.DUMMYFUNCTION("LEN(REGEXREPLACE(REGEXREPLACE(REGEXEXTRACT(I966, ""(?s)Affected Nodes/Links(.*)""), ""https://[^\s]+"", """"), ""[^/]"", """")) / 2"),"#N/A")</f>
        <v>#N/A</v>
      </c>
      <c r="AC966" s="34">
        <f>IFERROR(__xludf.DUMMYFUNCTION("IFERROR(VALUE(REGEXEXTRACT(I966, ""No\.? of [Ss]ubs:\s*(\d+)"")), 0) + IFERROR(VALUE(REGEXEXTRACT(I966, ""Affected Users(?:\s*\(From IM\))?:?\s*(\d+)"")), 0) + IFERROR(VALUE(REGEXEXTRACT(I966, ""Affected Clients:\s*(\d+)"")), 0)"),0.0)</f>
        <v>0</v>
      </c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33" t="str">
        <f>IFERROR(__xludf.DUMMYFUNCTION("LEN(REGEXREPLACE(REGEXREPLACE(REGEXEXTRACT(I967, ""(?s)Affected Nodes/Links(.*)""), ""https://[^\s]+"", """"), ""[^/]"", """")) / 2"),"#N/A")</f>
        <v>#N/A</v>
      </c>
      <c r="AC967" s="34">
        <f>IFERROR(__xludf.DUMMYFUNCTION("IFERROR(VALUE(REGEXEXTRACT(I967, ""No\.? of [Ss]ubs:\s*(\d+)"")), 0) + IFERROR(VALUE(REGEXEXTRACT(I967, ""Affected Users(?:\s*\(From IM\))?:?\s*(\d+)"")), 0) + IFERROR(VALUE(REGEXEXTRACT(I967, ""Affected Clients:\s*(\d+)"")), 0)"),0.0)</f>
        <v>0</v>
      </c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33" t="str">
        <f>IFERROR(__xludf.DUMMYFUNCTION("LEN(REGEXREPLACE(REGEXREPLACE(REGEXEXTRACT(I968, ""(?s)Affected Nodes/Links(.*)""), ""https://[^\s]+"", """"), ""[^/]"", """")) / 2"),"#N/A")</f>
        <v>#N/A</v>
      </c>
      <c r="AC968" s="34">
        <f>IFERROR(__xludf.DUMMYFUNCTION("IFERROR(VALUE(REGEXEXTRACT(I968, ""No\.? of [Ss]ubs:\s*(\d+)"")), 0) + IFERROR(VALUE(REGEXEXTRACT(I968, ""Affected Users(?:\s*\(From IM\))?:?\s*(\d+)"")), 0) + IFERROR(VALUE(REGEXEXTRACT(I968, ""Affected Clients:\s*(\d+)"")), 0)"),0.0)</f>
        <v>0</v>
      </c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33" t="str">
        <f>IFERROR(__xludf.DUMMYFUNCTION("LEN(REGEXREPLACE(REGEXREPLACE(REGEXEXTRACT(I969, ""(?s)Affected Nodes/Links(.*)""), ""https://[^\s]+"", """"), ""[^/]"", """")) / 2"),"#N/A")</f>
        <v>#N/A</v>
      </c>
      <c r="AC969" s="34">
        <f>IFERROR(__xludf.DUMMYFUNCTION("IFERROR(VALUE(REGEXEXTRACT(I969, ""No\.? of [Ss]ubs:\s*(\d+)"")), 0) + IFERROR(VALUE(REGEXEXTRACT(I969, ""Affected Users(?:\s*\(From IM\))?:?\s*(\d+)"")), 0) + IFERROR(VALUE(REGEXEXTRACT(I969, ""Affected Clients:\s*(\d+)"")), 0)"),0.0)</f>
        <v>0</v>
      </c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33" t="str">
        <f>IFERROR(__xludf.DUMMYFUNCTION("LEN(REGEXREPLACE(REGEXREPLACE(REGEXEXTRACT(I970, ""(?s)Affected Nodes/Links(.*)""), ""https://[^\s]+"", """"), ""[^/]"", """")) / 2"),"#N/A")</f>
        <v>#N/A</v>
      </c>
      <c r="AC970" s="34">
        <f>IFERROR(__xludf.DUMMYFUNCTION("IFERROR(VALUE(REGEXEXTRACT(I970, ""No\.? of [Ss]ubs:\s*(\d+)"")), 0) + IFERROR(VALUE(REGEXEXTRACT(I970, ""Affected Users(?:\s*\(From IM\))?:?\s*(\d+)"")), 0) + IFERROR(VALUE(REGEXEXTRACT(I970, ""Affected Clients:\s*(\d+)"")), 0)"),0.0)</f>
        <v>0</v>
      </c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33" t="str">
        <f>IFERROR(__xludf.DUMMYFUNCTION("LEN(REGEXREPLACE(REGEXREPLACE(REGEXEXTRACT(I971, ""(?s)Affected Nodes/Links(.*)""), ""https://[^\s]+"", """"), ""[^/]"", """")) / 2"),"#N/A")</f>
        <v>#N/A</v>
      </c>
      <c r="AC971" s="34">
        <f>IFERROR(__xludf.DUMMYFUNCTION("IFERROR(VALUE(REGEXEXTRACT(I971, ""No\.? of [Ss]ubs:\s*(\d+)"")), 0) + IFERROR(VALUE(REGEXEXTRACT(I971, ""Affected Users(?:\s*\(From IM\))?:?\s*(\d+)"")), 0) + IFERROR(VALUE(REGEXEXTRACT(I971, ""Affected Clients:\s*(\d+)"")), 0)"),0.0)</f>
        <v>0</v>
      </c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33" t="str">
        <f>IFERROR(__xludf.DUMMYFUNCTION("LEN(REGEXREPLACE(REGEXREPLACE(REGEXEXTRACT(I972, ""(?s)Affected Nodes/Links(.*)""), ""https://[^\s]+"", """"), ""[^/]"", """")) / 2"),"#N/A")</f>
        <v>#N/A</v>
      </c>
      <c r="AC972" s="34">
        <f>IFERROR(__xludf.DUMMYFUNCTION("IFERROR(VALUE(REGEXEXTRACT(I972, ""No\.? of [Ss]ubs:\s*(\d+)"")), 0) + IFERROR(VALUE(REGEXEXTRACT(I972, ""Affected Users(?:\s*\(From IM\))?:?\s*(\d+)"")), 0) + IFERROR(VALUE(REGEXEXTRACT(I972, ""Affected Clients:\s*(\d+)"")), 0)"),0.0)</f>
        <v>0</v>
      </c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33" t="str">
        <f>IFERROR(__xludf.DUMMYFUNCTION("LEN(REGEXREPLACE(REGEXREPLACE(REGEXEXTRACT(I973, ""(?s)Affected Nodes/Links(.*)""), ""https://[^\s]+"", """"), ""[^/]"", """")) / 2"),"#N/A")</f>
        <v>#N/A</v>
      </c>
      <c r="AC973" s="34">
        <f>IFERROR(__xludf.DUMMYFUNCTION("IFERROR(VALUE(REGEXEXTRACT(I973, ""No\.? of [Ss]ubs:\s*(\d+)"")), 0) + IFERROR(VALUE(REGEXEXTRACT(I973, ""Affected Users(?:\s*\(From IM\))?:?\s*(\d+)"")), 0) + IFERROR(VALUE(REGEXEXTRACT(I973, ""Affected Clients:\s*(\d+)"")), 0)"),0.0)</f>
        <v>0</v>
      </c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33" t="str">
        <f>IFERROR(__xludf.DUMMYFUNCTION("LEN(REGEXREPLACE(REGEXREPLACE(REGEXEXTRACT(I974, ""(?s)Affected Nodes/Links(.*)""), ""https://[^\s]+"", """"), ""[^/]"", """")) / 2"),"#N/A")</f>
        <v>#N/A</v>
      </c>
      <c r="AC974" s="34">
        <f>IFERROR(__xludf.DUMMYFUNCTION("IFERROR(VALUE(REGEXEXTRACT(I974, ""No\.? of [Ss]ubs:\s*(\d+)"")), 0) + IFERROR(VALUE(REGEXEXTRACT(I974, ""Affected Users(?:\s*\(From IM\))?:?\s*(\d+)"")), 0) + IFERROR(VALUE(REGEXEXTRACT(I974, ""Affected Clients:\s*(\d+)"")), 0)"),0.0)</f>
        <v>0</v>
      </c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33" t="str">
        <f>IFERROR(__xludf.DUMMYFUNCTION("LEN(REGEXREPLACE(REGEXREPLACE(REGEXEXTRACT(I975, ""(?s)Affected Nodes/Links(.*)""), ""https://[^\s]+"", """"), ""[^/]"", """")) / 2"),"#N/A")</f>
        <v>#N/A</v>
      </c>
      <c r="AC975" s="34">
        <f>IFERROR(__xludf.DUMMYFUNCTION("IFERROR(VALUE(REGEXEXTRACT(I975, ""No\.? of [Ss]ubs:\s*(\d+)"")), 0) + IFERROR(VALUE(REGEXEXTRACT(I975, ""Affected Users(?:\s*\(From IM\))?:?\s*(\d+)"")), 0) + IFERROR(VALUE(REGEXEXTRACT(I975, ""Affected Clients:\s*(\d+)"")), 0)"),0.0)</f>
        <v>0</v>
      </c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33" t="str">
        <f>IFERROR(__xludf.DUMMYFUNCTION("LEN(REGEXREPLACE(REGEXREPLACE(REGEXEXTRACT(I976, ""(?s)Affected Nodes/Links(.*)""), ""https://[^\s]+"", """"), ""[^/]"", """")) / 2"),"#N/A")</f>
        <v>#N/A</v>
      </c>
      <c r="AC976" s="34">
        <f>IFERROR(__xludf.DUMMYFUNCTION("IFERROR(VALUE(REGEXEXTRACT(I976, ""No\.? of [Ss]ubs:\s*(\d+)"")), 0) + IFERROR(VALUE(REGEXEXTRACT(I976, ""Affected Users(?:\s*\(From IM\))?:?\s*(\d+)"")), 0) + IFERROR(VALUE(REGEXEXTRACT(I976, ""Affected Clients:\s*(\d+)"")), 0)"),0.0)</f>
        <v>0</v>
      </c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33" t="str">
        <f>IFERROR(__xludf.DUMMYFUNCTION("LEN(REGEXREPLACE(REGEXREPLACE(REGEXEXTRACT(I977, ""(?s)Affected Nodes/Links(.*)""), ""https://[^\s]+"", """"), ""[^/]"", """")) / 2"),"#N/A")</f>
        <v>#N/A</v>
      </c>
      <c r="AC977" s="34">
        <f>IFERROR(__xludf.DUMMYFUNCTION("IFERROR(VALUE(REGEXEXTRACT(I977, ""No\.? of [Ss]ubs:\s*(\d+)"")), 0) + IFERROR(VALUE(REGEXEXTRACT(I977, ""Affected Users(?:\s*\(From IM\))?:?\s*(\d+)"")), 0) + IFERROR(VALUE(REGEXEXTRACT(I977, ""Affected Clients:\s*(\d+)"")), 0)"),0.0)</f>
        <v>0</v>
      </c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33" t="str">
        <f>IFERROR(__xludf.DUMMYFUNCTION("LEN(REGEXREPLACE(REGEXREPLACE(REGEXEXTRACT(I978, ""(?s)Affected Nodes/Links(.*)""), ""https://[^\s]+"", """"), ""[^/]"", """")) / 2"),"#N/A")</f>
        <v>#N/A</v>
      </c>
      <c r="AC978" s="34">
        <f>IFERROR(__xludf.DUMMYFUNCTION("IFERROR(VALUE(REGEXEXTRACT(I978, ""No\.? of [Ss]ubs:\s*(\d+)"")), 0) + IFERROR(VALUE(REGEXEXTRACT(I978, ""Affected Users(?:\s*\(From IM\))?:?\s*(\d+)"")), 0) + IFERROR(VALUE(REGEXEXTRACT(I978, ""Affected Clients:\s*(\d+)"")), 0)"),0.0)</f>
        <v>0</v>
      </c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33" t="str">
        <f>IFERROR(__xludf.DUMMYFUNCTION("LEN(REGEXREPLACE(REGEXREPLACE(REGEXEXTRACT(I979, ""(?s)Affected Nodes/Links(.*)""), ""https://[^\s]+"", """"), ""[^/]"", """")) / 2"),"#N/A")</f>
        <v>#N/A</v>
      </c>
      <c r="AC979" s="34">
        <f>IFERROR(__xludf.DUMMYFUNCTION("IFERROR(VALUE(REGEXEXTRACT(I979, ""No\.? of [Ss]ubs:\s*(\d+)"")), 0) + IFERROR(VALUE(REGEXEXTRACT(I979, ""Affected Users(?:\s*\(From IM\))?:?\s*(\d+)"")), 0) + IFERROR(VALUE(REGEXEXTRACT(I979, ""Affected Clients:\s*(\d+)"")), 0)"),0.0)</f>
        <v>0</v>
      </c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33" t="str">
        <f>IFERROR(__xludf.DUMMYFUNCTION("LEN(REGEXREPLACE(REGEXREPLACE(REGEXEXTRACT(I980, ""(?s)Affected Nodes/Links(.*)""), ""https://[^\s]+"", """"), ""[^/]"", """")) / 2"),"#N/A")</f>
        <v>#N/A</v>
      </c>
      <c r="AC980" s="34">
        <f>IFERROR(__xludf.DUMMYFUNCTION("IFERROR(VALUE(REGEXEXTRACT(I980, ""No\.? of [Ss]ubs:\s*(\d+)"")), 0) + IFERROR(VALUE(REGEXEXTRACT(I980, ""Affected Users(?:\s*\(From IM\))?:?\s*(\d+)"")), 0) + IFERROR(VALUE(REGEXEXTRACT(I980, ""Affected Clients:\s*(\d+)"")), 0)"),0.0)</f>
        <v>0</v>
      </c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33" t="str">
        <f>IFERROR(__xludf.DUMMYFUNCTION("LEN(REGEXREPLACE(REGEXREPLACE(REGEXEXTRACT(I981, ""(?s)Affected Nodes/Links(.*)""), ""https://[^\s]+"", """"), ""[^/]"", """")) / 2"),"#N/A")</f>
        <v>#N/A</v>
      </c>
      <c r="AC981" s="34">
        <f>IFERROR(__xludf.DUMMYFUNCTION("IFERROR(VALUE(REGEXEXTRACT(I981, ""No\.? of [Ss]ubs:\s*(\d+)"")), 0) + IFERROR(VALUE(REGEXEXTRACT(I981, ""Affected Users(?:\s*\(From IM\))?:?\s*(\d+)"")), 0) + IFERROR(VALUE(REGEXEXTRACT(I981, ""Affected Clients:\s*(\d+)"")), 0)"),0.0)</f>
        <v>0</v>
      </c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33" t="str">
        <f>IFERROR(__xludf.DUMMYFUNCTION("LEN(REGEXREPLACE(REGEXREPLACE(REGEXEXTRACT(I982, ""(?s)Affected Nodes/Links(.*)""), ""https://[^\s]+"", """"), ""[^/]"", """")) / 2"),"#N/A")</f>
        <v>#N/A</v>
      </c>
      <c r="AC982" s="34">
        <f>IFERROR(__xludf.DUMMYFUNCTION("IFERROR(VALUE(REGEXEXTRACT(I982, ""No\.? of [Ss]ubs:\s*(\d+)"")), 0) + IFERROR(VALUE(REGEXEXTRACT(I982, ""Affected Users(?:\s*\(From IM\))?:?\s*(\d+)"")), 0) + IFERROR(VALUE(REGEXEXTRACT(I982, ""Affected Clients:\s*(\d+)"")), 0)"),0.0)</f>
        <v>0</v>
      </c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33" t="str">
        <f>IFERROR(__xludf.DUMMYFUNCTION("LEN(REGEXREPLACE(REGEXREPLACE(REGEXEXTRACT(I983, ""(?s)Affected Nodes/Links(.*)""), ""https://[^\s]+"", """"), ""[^/]"", """")) / 2"),"#N/A")</f>
        <v>#N/A</v>
      </c>
      <c r="AC983" s="34">
        <f>IFERROR(__xludf.DUMMYFUNCTION("IFERROR(VALUE(REGEXEXTRACT(I983, ""No\.? of [Ss]ubs:\s*(\d+)"")), 0) + IFERROR(VALUE(REGEXEXTRACT(I983, ""Affected Users(?:\s*\(From IM\))?:?\s*(\d+)"")), 0) + IFERROR(VALUE(REGEXEXTRACT(I983, ""Affected Clients:\s*(\d+)"")), 0)"),0.0)</f>
        <v>0</v>
      </c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33" t="str">
        <f>IFERROR(__xludf.DUMMYFUNCTION("LEN(REGEXREPLACE(REGEXREPLACE(REGEXEXTRACT(I984, ""(?s)Affected Nodes/Links(.*)""), ""https://[^\s]+"", """"), ""[^/]"", """")) / 2"),"#N/A")</f>
        <v>#N/A</v>
      </c>
      <c r="AC984" s="34">
        <f>IFERROR(__xludf.DUMMYFUNCTION("IFERROR(VALUE(REGEXEXTRACT(I984, ""No\.? of [Ss]ubs:\s*(\d+)"")), 0) + IFERROR(VALUE(REGEXEXTRACT(I984, ""Affected Users(?:\s*\(From IM\))?:?\s*(\d+)"")), 0) + IFERROR(VALUE(REGEXEXTRACT(I984, ""Affected Clients:\s*(\d+)"")), 0)"),0.0)</f>
        <v>0</v>
      </c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33" t="str">
        <f>IFERROR(__xludf.DUMMYFUNCTION("LEN(REGEXREPLACE(REGEXREPLACE(REGEXEXTRACT(I985, ""(?s)Affected Nodes/Links(.*)""), ""https://[^\s]+"", """"), ""[^/]"", """")) / 2"),"#N/A")</f>
        <v>#N/A</v>
      </c>
      <c r="AC985" s="34">
        <f>IFERROR(__xludf.DUMMYFUNCTION("IFERROR(VALUE(REGEXEXTRACT(I985, ""No\.? of [Ss]ubs:\s*(\d+)"")), 0) + IFERROR(VALUE(REGEXEXTRACT(I985, ""Affected Users(?:\s*\(From IM\))?:?\s*(\d+)"")), 0) + IFERROR(VALUE(REGEXEXTRACT(I985, ""Affected Clients:\s*(\d+)"")), 0)"),0.0)</f>
        <v>0</v>
      </c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33" t="str">
        <f>IFERROR(__xludf.DUMMYFUNCTION("LEN(REGEXREPLACE(REGEXREPLACE(REGEXEXTRACT(I986, ""(?s)Affected Nodes/Links(.*)""), ""https://[^\s]+"", """"), ""[^/]"", """")) / 2"),"#N/A")</f>
        <v>#N/A</v>
      </c>
      <c r="AC986" s="34">
        <f>IFERROR(__xludf.DUMMYFUNCTION("IFERROR(VALUE(REGEXEXTRACT(I986, ""No\.? of [Ss]ubs:\s*(\d+)"")), 0) + IFERROR(VALUE(REGEXEXTRACT(I986, ""Affected Users(?:\s*\(From IM\))?:?\s*(\d+)"")), 0) + IFERROR(VALUE(REGEXEXTRACT(I986, ""Affected Clients:\s*(\d+)"")), 0)"),0.0)</f>
        <v>0</v>
      </c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33" t="str">
        <f>IFERROR(__xludf.DUMMYFUNCTION("LEN(REGEXREPLACE(REGEXREPLACE(REGEXEXTRACT(I987, ""(?s)Affected Nodes/Links(.*)""), ""https://[^\s]+"", """"), ""[^/]"", """")) / 2"),"#N/A")</f>
        <v>#N/A</v>
      </c>
      <c r="AC987" s="34">
        <f>IFERROR(__xludf.DUMMYFUNCTION("IFERROR(VALUE(REGEXEXTRACT(I987, ""No\.? of [Ss]ubs:\s*(\d+)"")), 0) + IFERROR(VALUE(REGEXEXTRACT(I987, ""Affected Users(?:\s*\(From IM\))?:?\s*(\d+)"")), 0) + IFERROR(VALUE(REGEXEXTRACT(I987, ""Affected Clients:\s*(\d+)"")), 0)"),0.0)</f>
        <v>0</v>
      </c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33" t="str">
        <f>IFERROR(__xludf.DUMMYFUNCTION("LEN(REGEXREPLACE(REGEXREPLACE(REGEXEXTRACT(I988, ""(?s)Affected Nodes/Links(.*)""), ""https://[^\s]+"", """"), ""[^/]"", """")) / 2"),"#N/A")</f>
        <v>#N/A</v>
      </c>
      <c r="AC988" s="34">
        <f>IFERROR(__xludf.DUMMYFUNCTION("IFERROR(VALUE(REGEXEXTRACT(I988, ""No\.? of [Ss]ubs:\s*(\d+)"")), 0) + IFERROR(VALUE(REGEXEXTRACT(I988, ""Affected Users(?:\s*\(From IM\))?:?\s*(\d+)"")), 0) + IFERROR(VALUE(REGEXEXTRACT(I988, ""Affected Clients:\s*(\d+)"")), 0)"),0.0)</f>
        <v>0</v>
      </c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33" t="str">
        <f>IFERROR(__xludf.DUMMYFUNCTION("LEN(REGEXREPLACE(REGEXREPLACE(REGEXEXTRACT(I989, ""(?s)Affected Nodes/Links(.*)""), ""https://[^\s]+"", """"), ""[^/]"", """")) / 2"),"#N/A")</f>
        <v>#N/A</v>
      </c>
      <c r="AC989" s="34">
        <f>IFERROR(__xludf.DUMMYFUNCTION("IFERROR(VALUE(REGEXEXTRACT(I989, ""No\.? of [Ss]ubs:\s*(\d+)"")), 0) + IFERROR(VALUE(REGEXEXTRACT(I989, ""Affected Users(?:\s*\(From IM\))?:?\s*(\d+)"")), 0) + IFERROR(VALUE(REGEXEXTRACT(I989, ""Affected Clients:\s*(\d+)"")), 0)"),0.0)</f>
        <v>0</v>
      </c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33" t="str">
        <f>IFERROR(__xludf.DUMMYFUNCTION("LEN(REGEXREPLACE(REGEXREPLACE(REGEXEXTRACT(I990, ""(?s)Affected Nodes/Links(.*)""), ""https://[^\s]+"", """"), ""[^/]"", """")) / 2"),"#N/A")</f>
        <v>#N/A</v>
      </c>
      <c r="AC990" s="34">
        <f>IFERROR(__xludf.DUMMYFUNCTION("IFERROR(VALUE(REGEXEXTRACT(I990, ""No\.? of [Ss]ubs:\s*(\d+)"")), 0) + IFERROR(VALUE(REGEXEXTRACT(I990, ""Affected Users(?:\s*\(From IM\))?:?\s*(\d+)"")), 0) + IFERROR(VALUE(REGEXEXTRACT(I990, ""Affected Clients:\s*(\d+)"")), 0)"),0.0)</f>
        <v>0</v>
      </c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33" t="str">
        <f>IFERROR(__xludf.DUMMYFUNCTION("LEN(REGEXREPLACE(REGEXREPLACE(REGEXEXTRACT(I991, ""(?s)Affected Nodes/Links(.*)""), ""https://[^\s]+"", """"), ""[^/]"", """")) / 2"),"#N/A")</f>
        <v>#N/A</v>
      </c>
      <c r="AC991" s="34">
        <f>IFERROR(__xludf.DUMMYFUNCTION("IFERROR(VALUE(REGEXEXTRACT(I991, ""No\.? of [Ss]ubs:\s*(\d+)"")), 0) + IFERROR(VALUE(REGEXEXTRACT(I991, ""Affected Users(?:\s*\(From IM\))?:?\s*(\d+)"")), 0) + IFERROR(VALUE(REGEXEXTRACT(I991, ""Affected Clients:\s*(\d+)"")), 0)"),0.0)</f>
        <v>0</v>
      </c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33" t="str">
        <f>IFERROR(__xludf.DUMMYFUNCTION("LEN(REGEXREPLACE(REGEXREPLACE(REGEXEXTRACT(I992, ""(?s)Affected Nodes/Links(.*)""), ""https://[^\s]+"", """"), ""[^/]"", """")) / 2"),"#N/A")</f>
        <v>#N/A</v>
      </c>
      <c r="AC992" s="34">
        <f>IFERROR(__xludf.DUMMYFUNCTION("IFERROR(VALUE(REGEXEXTRACT(I992, ""No\.? of [Ss]ubs:\s*(\d+)"")), 0) + IFERROR(VALUE(REGEXEXTRACT(I992, ""Affected Users(?:\s*\(From IM\))?:?\s*(\d+)"")), 0) + IFERROR(VALUE(REGEXEXTRACT(I992, ""Affected Clients:\s*(\d+)"")), 0)"),0.0)</f>
        <v>0</v>
      </c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33" t="str">
        <f>IFERROR(__xludf.DUMMYFUNCTION("LEN(REGEXREPLACE(REGEXREPLACE(REGEXEXTRACT(I993, ""(?s)Affected Nodes/Links(.*)""), ""https://[^\s]+"", """"), ""[^/]"", """")) / 2"),"#N/A")</f>
        <v>#N/A</v>
      </c>
      <c r="AC993" s="34">
        <f>IFERROR(__xludf.DUMMYFUNCTION("IFERROR(VALUE(REGEXEXTRACT(I993, ""No\.? of [Ss]ubs:\s*(\d+)"")), 0) + IFERROR(VALUE(REGEXEXTRACT(I993, ""Affected Users(?:\s*\(From IM\))?:?\s*(\d+)"")), 0) + IFERROR(VALUE(REGEXEXTRACT(I993, ""Affected Clients:\s*(\d+)"")), 0)"),0.0)</f>
        <v>0</v>
      </c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33" t="str">
        <f>IFERROR(__xludf.DUMMYFUNCTION("LEN(REGEXREPLACE(REGEXREPLACE(REGEXEXTRACT(I994, ""(?s)Affected Nodes/Links(.*)""), ""https://[^\s]+"", """"), ""[^/]"", """")) / 2"),"#N/A")</f>
        <v>#N/A</v>
      </c>
      <c r="AC994" s="34">
        <f>IFERROR(__xludf.DUMMYFUNCTION("IFERROR(VALUE(REGEXEXTRACT(I994, ""No\.? of [Ss]ubs:\s*(\d+)"")), 0) + IFERROR(VALUE(REGEXEXTRACT(I994, ""Affected Users(?:\s*\(From IM\))?:?\s*(\d+)"")), 0) + IFERROR(VALUE(REGEXEXTRACT(I994, ""Affected Clients:\s*(\d+)"")), 0)"),0.0)</f>
        <v>0</v>
      </c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33" t="str">
        <f>IFERROR(__xludf.DUMMYFUNCTION("LEN(REGEXREPLACE(REGEXREPLACE(REGEXEXTRACT(I995, ""(?s)Affected Nodes/Links(.*)""), ""https://[^\s]+"", """"), ""[^/]"", """")) / 2"),"#N/A")</f>
        <v>#N/A</v>
      </c>
      <c r="AC995" s="34">
        <f>IFERROR(__xludf.DUMMYFUNCTION("IFERROR(VALUE(REGEXEXTRACT(I995, ""No\.? of [Ss]ubs:\s*(\d+)"")), 0) + IFERROR(VALUE(REGEXEXTRACT(I995, ""Affected Users(?:\s*\(From IM\))?:?\s*(\d+)"")), 0) + IFERROR(VALUE(REGEXEXTRACT(I995, ""Affected Clients:\s*(\d+)"")), 0)"),0.0)</f>
        <v>0</v>
      </c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33" t="str">
        <f>IFERROR(__xludf.DUMMYFUNCTION("LEN(REGEXREPLACE(REGEXREPLACE(REGEXEXTRACT(I996, ""(?s)Affected Nodes/Links(.*)""), ""https://[^\s]+"", """"), ""[^/]"", """")) / 2"),"#N/A")</f>
        <v>#N/A</v>
      </c>
      <c r="AC996" s="34">
        <f>IFERROR(__xludf.DUMMYFUNCTION("IFERROR(VALUE(REGEXEXTRACT(I996, ""No\.? of [Ss]ubs:\s*(\d+)"")), 0) + IFERROR(VALUE(REGEXEXTRACT(I996, ""Affected Users(?:\s*\(From IM\))?:?\s*(\d+)"")), 0) + IFERROR(VALUE(REGEXEXTRACT(I996, ""Affected Clients:\s*(\d+)"")), 0)"),0.0)</f>
        <v>0</v>
      </c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33" t="str">
        <f>IFERROR(__xludf.DUMMYFUNCTION("LEN(REGEXREPLACE(REGEXREPLACE(REGEXEXTRACT(I997, ""(?s)Affected Nodes/Links(.*)""), ""https://[^\s]+"", """"), ""[^/]"", """")) / 2"),"#N/A")</f>
        <v>#N/A</v>
      </c>
      <c r="AC997" s="34">
        <f>IFERROR(__xludf.DUMMYFUNCTION("IFERROR(VALUE(REGEXEXTRACT(I997, ""No\.? of [Ss]ubs:\s*(\d+)"")), 0) + IFERROR(VALUE(REGEXEXTRACT(I997, ""Affected Users(?:\s*\(From IM\))?:?\s*(\d+)"")), 0) + IFERROR(VALUE(REGEXEXTRACT(I997, ""Affected Clients:\s*(\d+)"")), 0)"),0.0)</f>
        <v>0</v>
      </c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33" t="str">
        <f>IFERROR(__xludf.DUMMYFUNCTION("LEN(REGEXREPLACE(REGEXREPLACE(REGEXEXTRACT(I998, ""(?s)Affected Nodes/Links(.*)""), ""https://[^\s]+"", """"), ""[^/]"", """")) / 2"),"#N/A")</f>
        <v>#N/A</v>
      </c>
      <c r="AC998" s="34">
        <f>IFERROR(__xludf.DUMMYFUNCTION("IFERROR(VALUE(REGEXEXTRACT(I998, ""No\.? of [Ss]ubs:\s*(\d+)"")), 0) + IFERROR(VALUE(REGEXEXTRACT(I998, ""Affected Users(?:\s*\(From IM\))?:?\s*(\d+)"")), 0) + IFERROR(VALUE(REGEXEXTRACT(I998, ""Affected Clients:\s*(\d+)"")), 0)"),0.0)</f>
        <v>0</v>
      </c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33" t="str">
        <f>IFERROR(__xludf.DUMMYFUNCTION("LEN(REGEXREPLACE(REGEXREPLACE(REGEXEXTRACT(I999, ""(?s)Affected Nodes/Links(.*)""), ""https://[^\s]+"", """"), ""[^/]"", """")) / 2"),"#N/A")</f>
        <v>#N/A</v>
      </c>
      <c r="AC999" s="34">
        <f>IFERROR(__xludf.DUMMYFUNCTION("IFERROR(VALUE(REGEXEXTRACT(I999, ""No\.? of [Ss]ubs:\s*(\d+)"")), 0) + IFERROR(VALUE(REGEXEXTRACT(I999, ""Affected Users(?:\s*\(From IM\))?:?\s*(\d+)"")), 0) + IFERROR(VALUE(REGEXEXTRACT(I999, ""Affected Clients:\s*(\d+)"")), 0)"),0.0)</f>
        <v>0</v>
      </c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33" t="str">
        <f>IFERROR(__xludf.DUMMYFUNCTION("LEN(REGEXREPLACE(REGEXREPLACE(REGEXEXTRACT(I1000, ""(?s)Affected Nodes/Links(.*)""), ""https://[^\s]+"", """"), ""[^/]"", """")) / 2"),"#N/A")</f>
        <v>#N/A</v>
      </c>
      <c r="AC1000" s="34">
        <f>IFERROR(__xludf.DUMMYFUNCTION("IFERROR(VALUE(REGEXEXTRACT(I1000, ""No\.? of [Ss]ubs:\s*(\d+)"")), 0) + IFERROR(VALUE(REGEXEXTRACT(I1000, ""Affected Users(?:\s*\(From IM\))?:?\s*(\d+)"")), 0) + IFERROR(VALUE(REGEXEXTRACT(I1000, ""Affected Clients:\s*(\d+)"")), 0)"),0.0)</f>
        <v>0</v>
      </c>
    </row>
  </sheetData>
  <conditionalFormatting sqref="A2:AC1000">
    <cfRule type="expression" dxfId="17" priority="1">
      <formula>$J2&lt;&gt;$AC2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8.88"/>
    <col customWidth="1" min="4" max="4" width="9.25"/>
    <col customWidth="1" min="5" max="5" width="6.63"/>
    <col customWidth="1" min="6" max="6" width="14.63"/>
    <col hidden="1" min="7" max="8" width="12.63"/>
    <col customWidth="1" min="9" max="9" width="45.63"/>
    <col min="10" max="13" width="12.63" outlineLevel="1"/>
    <col customWidth="1" min="14" max="14" width="27.0" outlineLevel="1"/>
    <col customWidth="1" min="15" max="15" width="22.13" outlineLevel="1"/>
    <col hidden="1" min="16" max="23" width="12.63" outlineLevel="1"/>
    <col min="24" max="24" width="12.63" outlineLevel="1"/>
    <col customWidth="1" min="25" max="26" width="15.5" outlineLevel="1"/>
    <col customWidth="1" min="27" max="28" width="15.5"/>
  </cols>
  <sheetData>
    <row r="1">
      <c r="A1" s="41"/>
      <c r="B1" s="42" t="s">
        <v>11</v>
      </c>
      <c r="C1" s="43" t="s">
        <v>12</v>
      </c>
      <c r="D1" s="42" t="s">
        <v>2</v>
      </c>
      <c r="E1" s="42" t="s">
        <v>1</v>
      </c>
      <c r="F1" s="42" t="s">
        <v>14</v>
      </c>
      <c r="G1" s="41"/>
      <c r="H1" s="41"/>
      <c r="I1" s="42" t="s">
        <v>17</v>
      </c>
      <c r="J1" s="42" t="s">
        <v>19</v>
      </c>
      <c r="K1" s="42" t="s">
        <v>20</v>
      </c>
      <c r="L1" s="42" t="s">
        <v>21</v>
      </c>
      <c r="M1" s="42" t="s">
        <v>22</v>
      </c>
      <c r="N1" s="42" t="s">
        <v>23</v>
      </c>
      <c r="O1" s="42" t="s">
        <v>25</v>
      </c>
      <c r="P1" s="41"/>
      <c r="Q1" s="41"/>
      <c r="R1" s="41"/>
      <c r="S1" s="41"/>
      <c r="T1" s="41"/>
      <c r="U1" s="41"/>
      <c r="V1" s="41"/>
      <c r="W1" s="41"/>
      <c r="X1" s="42" t="s">
        <v>74</v>
      </c>
      <c r="Y1" s="44" t="s">
        <v>75</v>
      </c>
      <c r="Z1" s="45" t="s">
        <v>41</v>
      </c>
      <c r="AA1" s="45" t="s">
        <v>76</v>
      </c>
      <c r="AB1" s="45"/>
    </row>
    <row r="2">
      <c r="A2" s="46" t="str">
        <f>IFERROR(__xludf.DUMMYFUNCTION("IFERROR(QUERY(IMPORTRANGE(""https://docs.google.com/spreadsheets/d/159m0SlQEB-oUSGHGADISir5i6z0XvjIus0AdRtE24Lg"",""2025 NOC TICKETS!A2:O""), ""Select * where Col1 = 'OLT/SWITCH' and (Col12 = 'OLT UPLINK DOWN' or Col12 = 'OLT DOWN' or Col12 = 'OLT UPLINK "&amp;"LOW POWER' or Col12 = 'OLT SERVICE DEGRADATION') ORDER BY Col5""), ""NO PENDING TICKET"")"),"OLT/SWITCH")</f>
        <v>OLT/SWITCH</v>
      </c>
      <c r="B2" s="46" t="str">
        <f>IFERROR(__xludf.DUMMYFUNCTION("""COMPUTED_VALUE"""),"August, 2026")</f>
        <v>August, 2026</v>
      </c>
      <c r="C2" s="47">
        <f>IFERROR(__xludf.DUMMYFUNCTION("""COMPUTED_VALUE"""),46240.0)</f>
        <v>46240</v>
      </c>
      <c r="D2" s="46" t="str">
        <f>IFERROR(__xludf.DUMMYFUNCTION("""COMPUTED_VALUE"""),"BENGUET")</f>
        <v>BENGUET</v>
      </c>
      <c r="E2" s="46" t="str">
        <f>IFERROR(__xludf.DUMMYFUNCTION("""COMPUTED_VALUE"""),"KABAYAN")</f>
        <v>KABAYAN</v>
      </c>
      <c r="F2" s="46" t="str">
        <f>IFERROR(__xludf.DUMMYFUNCTION("""COMPUTED_VALUE"""),"TT-20260806-00000620")</f>
        <v>TT-20260806-00000620</v>
      </c>
      <c r="G2" s="46"/>
      <c r="H2" s="46" t="str">
        <f>IFERROR(__xludf.DUMMYFUNCTION("""COMPUTED_VALUE"""),"TT-20260806-00000620 | BENGUET | KABAYAN | NSA | OLT DOWN | TT-20260806-00000620 | ACCESS | MINOR | NSA | OLT DOWN | BENGUET | KYB001-OLT-01
SFDC Ticket ID        undefined
Affected Users (From IM)        0
Start Time        2026-08-06 22:13:14 | Duration"&amp;": 0Days 0Hours 17Minutes
Affected Nodes/Links
KYB001-OLT-01""")</f>
        <v>TT-20260806-00000620 | BENGUET | KABAYAN | NSA | OLT DOWN | TT-20260806-00000620 | ACCESS | MINOR | NSA | OLT DOWN | BENGUET | KYB001-OLT-01
SFDC Ticket ID        undefined
Affected Users (From IM)        0
Start Time        2026-08-06 22:13:14 | Duration: 0Days 0Hours 17Minutes
Affected Nodes/Links
KYB001-OLT-01"</v>
      </c>
      <c r="I2" s="46" t="str">
        <f>IFERROR(__xludf.DUMMYFUNCTION("""COMPUTED_VALUE"""),"TT-20260806-00000620 | ACCESS | MINOR | NSA | OLT DOWN | BENGUET | KYB001-OLT-01
SFDC Ticket ID        undefined
Affected Users (From IM)        0
Start Time        2026-08-06 22:13:14 | Duration: 0Days 0Hours 17Minutes
Affected Nodes/Links
KYB001-OLT-01"&amp;"""")</f>
        <v>TT-20260806-00000620 | ACCESS | MINOR | NSA | OLT DOWN | BENGUET | KYB001-OLT-01
SFDC Ticket ID        undefined
Affected Users (From IM)        0
Start Time        2026-08-06 22:13:14 | Duration: 0Days 0Hours 17Minutes
Affected Nodes/Links
KYB001-OLT-01"</v>
      </c>
      <c r="J2" s="46">
        <f>IFERROR(__xludf.DUMMYFUNCTION("""COMPUTED_VALUE"""),0.0)</f>
        <v>0</v>
      </c>
      <c r="K2" s="46" t="str">
        <f>IFERROR(__xludf.DUMMYFUNCTION("""COMPUTED_VALUE"""),"NSA")</f>
        <v>NSA</v>
      </c>
      <c r="L2" s="46" t="str">
        <f>IFERROR(__xludf.DUMMYFUNCTION("""COMPUTED_VALUE"""),"OLT DOWN")</f>
        <v>OLT DOWN</v>
      </c>
      <c r="M2" s="46" t="str">
        <f>IFERROR(__xludf.DUMMYFUNCTION("""COMPUTED_VALUE"""),"GNOC")</f>
        <v>GNOC</v>
      </c>
      <c r="N2" s="48">
        <f>IFERROR(__xludf.DUMMYFUNCTION("""COMPUTED_VALUE"""),46240.92600694444)</f>
        <v>46240.92601</v>
      </c>
      <c r="O2" s="48">
        <f>IFERROR(__xludf.DUMMYFUNCTION("""COMPUTED_VALUE"""),46240.92600694444)</f>
        <v>46240.92601</v>
      </c>
      <c r="P2" s="48"/>
      <c r="Q2" s="46"/>
      <c r="R2" s="46"/>
      <c r="S2" s="46"/>
      <c r="T2" s="46"/>
      <c r="U2" s="46"/>
      <c r="V2" s="46"/>
      <c r="W2" s="46"/>
      <c r="X2" s="49" t="s">
        <v>77</v>
      </c>
      <c r="Y2" s="50">
        <f t="shared" ref="Y2:Y50" si="1">IF(AB2="", "", (LEN(AB2)-LEN(SUBSTITUTE(UPPER(AB2),"OLT","")))/3)</f>
        <v>1</v>
      </c>
      <c r="Z2" s="51">
        <f>IFERROR(__xludf.DUMMYFUNCTION("IF(I2="""", """", IFERROR(VALUE(REGEXEXTRACT(I2, ""(?:No\.?\s*of\s*)?[Ss]ubs:?\s*(\d+)"")), 0) + IFERROR(VALUE(REGEXEXTRACT(I2, ""Affected Users(?:\s*\(From IM\))?:?\s*(\d+)"")), 0) + IFERROR(VALUE(REGEXEXTRACT(I2, ""Affected Clients:\s*(\d+)"")), 0))"),0.0)</f>
        <v>0</v>
      </c>
      <c r="AA2" s="51"/>
      <c r="AB2" s="52" t="str">
        <f t="shared" ref="AB2:AB15" si="2">IF(ISBLANK(I2), "", EXTRACT_OLT(I2))</f>
        <v>KYB001-OLT-01</v>
      </c>
    </row>
    <row r="3">
      <c r="A3" s="46" t="str">
        <f>IFERROR(__xludf.DUMMYFUNCTION("""COMPUTED_VALUE"""),"OLT/SWITCH")</f>
        <v>OLT/SWITCH</v>
      </c>
      <c r="B3" s="46" t="str">
        <f>IFERROR(__xludf.DUMMYFUNCTION("""COMPUTED_VALUE"""),"August, 2026")</f>
        <v>August, 2026</v>
      </c>
      <c r="C3" s="47">
        <f>IFERROR(__xludf.DUMMYFUNCTION("""COMPUTED_VALUE"""),46248.0)</f>
        <v>46248</v>
      </c>
      <c r="D3" s="46" t="str">
        <f>IFERROR(__xludf.DUMMYFUNCTION("""COMPUTED_VALUE"""),"BENGUET")</f>
        <v>BENGUET</v>
      </c>
      <c r="E3" s="46" t="str">
        <f>IFERROR(__xludf.DUMMYFUNCTION("""COMPUTED_VALUE"""),"KIBUNGAN")</f>
        <v>KIBUNGAN</v>
      </c>
      <c r="F3" s="46" t="str">
        <f>IFERROR(__xludf.DUMMYFUNCTION("""COMPUTED_VALUE"""),"TT-20260814-00000434")</f>
        <v>TT-20260814-00000434</v>
      </c>
      <c r="G3" s="46"/>
      <c r="H3" s="46" t="str">
        <f>IFERROR(__xludf.DUMMYFUNCTION("""COMPUTED_VALUE"""),"TT-20260814-00000434 | BENGUET | KIBUNGAN | SA | OLT UPLINK LOW POWER | TT-20260814-00000434
SA - OLT UPLINK LOW POWER - BENGUET - KIB001-OLT-01
Termination:
BGC005-NPE-03 GE0/2/10
Affected Users (From IM) 87
Start Time 2026-08-14 19:54:28")</f>
        <v>TT-20260814-00000434 | BENGUET | KIBUNGAN | SA | OLT UPLINK LOW POWER | TT-20260814-00000434
SA - OLT UPLINK LOW POWER - BENGUET - KIB001-OLT-01
Termination:
BGC005-NPE-03 GE0/2/10
Affected Users (From IM) 87
Start Time 2026-08-14 19:54:28</v>
      </c>
      <c r="I3" s="46" t="str">
        <f>IFERROR(__xludf.DUMMYFUNCTION("""COMPUTED_VALUE"""),"TT-20260814-00000434
SA - OLT UPLINK LOW POWER - BENGUET - KIB001-OLT-01
Termination:
BGC005-NPE-03 GE0/2/10
Affected Users (From IM) 87
Start Time 2026-08-14 19:54:28")</f>
        <v>TT-20260814-00000434
SA - OLT UPLINK LOW POWER - BENGUET - KIB001-OLT-01
Termination:
BGC005-NPE-03 GE0/2/10
Affected Users (From IM) 87
Start Time 2026-08-14 19:54:28</v>
      </c>
      <c r="J3" s="46"/>
      <c r="K3" s="46" t="str">
        <f>IFERROR(__xludf.DUMMYFUNCTION("""COMPUTED_VALUE"""),"SA")</f>
        <v>SA</v>
      </c>
      <c r="L3" s="46" t="str">
        <f>IFERROR(__xludf.DUMMYFUNCTION("""COMPUTED_VALUE"""),"OLT UPLINK LOW POWER")</f>
        <v>OLT UPLINK LOW POWER</v>
      </c>
      <c r="M3" s="46" t="str">
        <f>IFERROR(__xludf.DUMMYFUNCTION("""COMPUTED_VALUE"""),"GNOC")</f>
        <v>GNOC</v>
      </c>
      <c r="N3" s="48">
        <f>IFERROR(__xludf.DUMMYFUNCTION("""COMPUTED_VALUE"""),46248.82949074074)</f>
        <v>46248.82949</v>
      </c>
      <c r="O3" s="48">
        <f>IFERROR(__xludf.DUMMYFUNCTION("""COMPUTED_VALUE"""),46248.82949074074)</f>
        <v>46248.82949</v>
      </c>
      <c r="P3" s="48"/>
      <c r="Q3" s="46"/>
      <c r="R3" s="46"/>
      <c r="S3" s="46"/>
      <c r="T3" s="46"/>
      <c r="U3" s="46"/>
      <c r="V3" s="46"/>
      <c r="W3" s="46"/>
      <c r="X3" s="49" t="s">
        <v>80</v>
      </c>
      <c r="Y3" s="50">
        <f t="shared" si="1"/>
        <v>1</v>
      </c>
      <c r="Z3" s="51">
        <f>IFERROR(__xludf.DUMMYFUNCTION("IF(I3="""", """", IFERROR(VALUE(REGEXEXTRACT(I3, ""(?:No\.?\s*of\s*)?[Ss]ubs:?\s*(\d+)"")), 0) + IFERROR(VALUE(REGEXEXTRACT(I3, ""Affected Users(?:\s*\(From IM\))?:?\s*(\d+)"")), 0) + IFERROR(VALUE(REGEXEXTRACT(I3, ""Affected Clients:\s*(\d+)"")), 0))"),87.0)</f>
        <v>87</v>
      </c>
      <c r="AA3" s="51"/>
      <c r="AB3" s="52" t="str">
        <f t="shared" si="2"/>
        <v>KIB001-OLT-01</v>
      </c>
    </row>
    <row r="4">
      <c r="A4" s="46"/>
      <c r="B4" s="46"/>
      <c r="C4" s="47"/>
      <c r="D4" s="46"/>
      <c r="E4" s="46"/>
      <c r="F4" s="46"/>
      <c r="G4" s="46"/>
      <c r="H4" s="46"/>
      <c r="I4" s="49"/>
      <c r="J4" s="46"/>
      <c r="K4" s="46"/>
      <c r="L4" s="46"/>
      <c r="M4" s="46"/>
      <c r="N4" s="48"/>
      <c r="O4" s="48"/>
      <c r="P4" s="48"/>
      <c r="Q4" s="46"/>
      <c r="R4" s="46"/>
      <c r="S4" s="46"/>
      <c r="T4" s="46"/>
      <c r="U4" s="46"/>
      <c r="V4" s="46"/>
      <c r="W4" s="46"/>
      <c r="X4" s="46"/>
      <c r="Y4" s="50" t="str">
        <f t="shared" si="1"/>
        <v/>
      </c>
      <c r="Z4" s="51" t="str">
        <f>IFERROR(__xludf.DUMMYFUNCTION("IF(I4="""", """", IFERROR(VALUE(REGEXEXTRACT(I4, ""(?:No\.?\s*of\s*)?[Ss]ubs:?\s*(\d+)"")), 0) + IFERROR(VALUE(REGEXEXTRACT(I4, ""Affected Users(?:\s*\(From IM\))?:?\s*(\d+)"")), 0) + IFERROR(VALUE(REGEXEXTRACT(I4, ""Affected Clients:\s*(\d+)"")), 0))"),"")</f>
        <v/>
      </c>
      <c r="AA4" s="51"/>
      <c r="AB4" s="52" t="str">
        <f t="shared" si="2"/>
        <v/>
      </c>
    </row>
    <row r="5">
      <c r="A5" s="46"/>
      <c r="B5" s="46"/>
      <c r="C5" s="47"/>
      <c r="D5" s="46"/>
      <c r="E5" s="46"/>
      <c r="F5" s="46"/>
      <c r="G5" s="46"/>
      <c r="H5" s="46"/>
      <c r="I5" s="46"/>
      <c r="J5" s="46"/>
      <c r="K5" s="46"/>
      <c r="L5" s="46"/>
      <c r="M5" s="46"/>
      <c r="N5" s="48"/>
      <c r="O5" s="48"/>
      <c r="P5" s="48"/>
      <c r="Q5" s="46"/>
      <c r="R5" s="46"/>
      <c r="S5" s="46"/>
      <c r="T5" s="46"/>
      <c r="U5" s="46"/>
      <c r="V5" s="46"/>
      <c r="W5" s="46"/>
      <c r="X5" s="46"/>
      <c r="Y5" s="50" t="str">
        <f t="shared" si="1"/>
        <v/>
      </c>
      <c r="Z5" s="51" t="str">
        <f>IFERROR(__xludf.DUMMYFUNCTION("IF(I5="""", """", IFERROR(VALUE(REGEXEXTRACT(I5, ""(?:No\.?\s*of\s*)?[Ss]ubs:?\s*(\d+)"")), 0) + IFERROR(VALUE(REGEXEXTRACT(I5, ""Affected Users(?:\s*\(From IM\))?:?\s*(\d+)"")), 0) + IFERROR(VALUE(REGEXEXTRACT(I5, ""Affected Clients:\s*(\d+)"")), 0))"),"")</f>
        <v/>
      </c>
      <c r="AA5" s="51"/>
      <c r="AB5" s="52" t="str">
        <f t="shared" si="2"/>
        <v/>
      </c>
    </row>
    <row r="6">
      <c r="A6" s="46"/>
      <c r="B6" s="46"/>
      <c r="C6" s="47"/>
      <c r="D6" s="46"/>
      <c r="E6" s="46"/>
      <c r="F6" s="46"/>
      <c r="G6" s="46"/>
      <c r="H6" s="46"/>
      <c r="I6" s="46"/>
      <c r="J6" s="46"/>
      <c r="K6" s="46"/>
      <c r="L6" s="46"/>
      <c r="M6" s="46"/>
      <c r="N6" s="48"/>
      <c r="O6" s="48"/>
      <c r="P6" s="48"/>
      <c r="Q6" s="46"/>
      <c r="R6" s="46"/>
      <c r="S6" s="46"/>
      <c r="T6" s="46"/>
      <c r="U6" s="46"/>
      <c r="V6" s="46"/>
      <c r="W6" s="46"/>
      <c r="X6" s="46"/>
      <c r="Y6" s="50" t="str">
        <f t="shared" si="1"/>
        <v/>
      </c>
      <c r="Z6" s="51" t="str">
        <f>IFERROR(__xludf.DUMMYFUNCTION("IF(I6="""", """", IFERROR(VALUE(REGEXEXTRACT(I6, ""(?:No\.?\s*of\s*)?[Ss]ubs:?\s*(\d+)"")), 0) + IFERROR(VALUE(REGEXEXTRACT(I6, ""Affected Users(?:\s*\(From IM\))?:?\s*(\d+)"")), 0) + IFERROR(VALUE(REGEXEXTRACT(I6, ""Affected Clients:\s*(\d+)"")), 0))"),"")</f>
        <v/>
      </c>
      <c r="AA6" s="51"/>
      <c r="AB6" s="52" t="str">
        <f t="shared" si="2"/>
        <v/>
      </c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8"/>
      <c r="O7" s="48"/>
      <c r="P7" s="48"/>
      <c r="Q7" s="46"/>
      <c r="R7" s="46"/>
      <c r="S7" s="46"/>
      <c r="T7" s="46"/>
      <c r="U7" s="46"/>
      <c r="V7" s="46"/>
      <c r="W7" s="46"/>
      <c r="X7" s="46"/>
      <c r="Y7" s="50" t="str">
        <f t="shared" si="1"/>
        <v/>
      </c>
      <c r="Z7" s="51" t="str">
        <f>IFERROR(__xludf.DUMMYFUNCTION("IF(I7="""", """", IFERROR(VALUE(REGEXEXTRACT(I7, ""(?:No\.?\s*of\s*)?[Ss]ubs:?\s*(\d+)"")), 0) + IFERROR(VALUE(REGEXEXTRACT(I7, ""Affected Users(?:\s*\(From IM\))?:?\s*(\d+)"")), 0) + IFERROR(VALUE(REGEXEXTRACT(I7, ""Affected Clients:\s*(\d+)"")), 0))"),"")</f>
        <v/>
      </c>
      <c r="AA7" s="51"/>
      <c r="AB7" s="52" t="str">
        <f t="shared" si="2"/>
        <v/>
      </c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8"/>
      <c r="O8" s="48"/>
      <c r="P8" s="48"/>
      <c r="Q8" s="46"/>
      <c r="R8" s="46"/>
      <c r="S8" s="46"/>
      <c r="T8" s="46"/>
      <c r="U8" s="46"/>
      <c r="V8" s="46"/>
      <c r="W8" s="46"/>
      <c r="X8" s="46"/>
      <c r="Y8" s="50" t="str">
        <f t="shared" si="1"/>
        <v/>
      </c>
      <c r="Z8" s="51" t="str">
        <f>IFERROR(__xludf.DUMMYFUNCTION("IF(I8="""", """", IFERROR(VALUE(REGEXEXTRACT(I8, ""(?:No\.?\s*of\s*)?[Ss]ubs:?\s*(\d+)"")), 0) + IFERROR(VALUE(REGEXEXTRACT(I8, ""Affected Users(?:\s*\(From IM\))?:?\s*(\d+)"")), 0) + IFERROR(VALUE(REGEXEXTRACT(I8, ""Affected Clients:\s*(\d+)"")), 0))"),"")</f>
        <v/>
      </c>
      <c r="AA8" s="51"/>
      <c r="AB8" s="52" t="str">
        <f t="shared" si="2"/>
        <v/>
      </c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8"/>
      <c r="O9" s="48"/>
      <c r="P9" s="48"/>
      <c r="Q9" s="46"/>
      <c r="R9" s="46"/>
      <c r="S9" s="46"/>
      <c r="T9" s="46"/>
      <c r="U9" s="46"/>
      <c r="V9" s="46"/>
      <c r="W9" s="46"/>
      <c r="X9" s="46"/>
      <c r="Y9" s="50" t="str">
        <f t="shared" si="1"/>
        <v/>
      </c>
      <c r="Z9" s="51" t="str">
        <f>IFERROR(__xludf.DUMMYFUNCTION("IF(I9="""", """", IFERROR(VALUE(REGEXEXTRACT(I9, ""(?:No\.?\s*of\s*)?[Ss]ubs:?\s*(\d+)"")), 0) + IFERROR(VALUE(REGEXEXTRACT(I9, ""Affected Users(?:\s*\(From IM\))?:?\s*(\d+)"")), 0) + IFERROR(VALUE(REGEXEXTRACT(I9, ""Affected Clients:\s*(\d+)"")), 0))"),"")</f>
        <v/>
      </c>
      <c r="AA9" s="51"/>
      <c r="AB9" s="52" t="str">
        <f t="shared" si="2"/>
        <v/>
      </c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50" t="str">
        <f t="shared" si="1"/>
        <v/>
      </c>
      <c r="Z10" s="51" t="str">
        <f>IFERROR(__xludf.DUMMYFUNCTION("IF(I10="""", """", IFERROR(VALUE(REGEXEXTRACT(I10, ""(?:No\.?\s*of\s*)?[Ss]ubs:?\s*(\d+)"")), 0) + IFERROR(VALUE(REGEXEXTRACT(I10, ""Affected Users(?:\s*\(From IM\))?:?\s*(\d+)"")), 0) + IFERROR(VALUE(REGEXEXTRACT(I10, ""Affected Clients:\s*(\d+)"")), 0))"),"")</f>
        <v/>
      </c>
      <c r="AA10" s="51"/>
      <c r="AB10" s="52" t="str">
        <f t="shared" si="2"/>
        <v/>
      </c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50" t="str">
        <f t="shared" si="1"/>
        <v/>
      </c>
      <c r="Z11" s="51" t="str">
        <f>IFERROR(__xludf.DUMMYFUNCTION("IF(I11="""", """", IFERROR(VALUE(REGEXEXTRACT(I11, ""(?:No\.?\s*of\s*)?[Ss]ubs:?\s*(\d+)"")), 0) + IFERROR(VALUE(REGEXEXTRACT(I11, ""Affected Users(?:\s*\(From IM\))?:?\s*(\d+)"")), 0) + IFERROR(VALUE(REGEXEXTRACT(I11, ""Affected Clients:\s*(\d+)"")), 0))"),"")</f>
        <v/>
      </c>
      <c r="AA11" s="51"/>
      <c r="AB11" s="52" t="str">
        <f t="shared" si="2"/>
        <v/>
      </c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50" t="str">
        <f t="shared" si="1"/>
        <v/>
      </c>
      <c r="Z12" s="51" t="str">
        <f>IFERROR(__xludf.DUMMYFUNCTION("IF(I12="""", """", IFERROR(VALUE(REGEXEXTRACT(I12, ""(?:No\.?\s*of\s*)?[Ss]ubs:?\s*(\d+)"")), 0) + IFERROR(VALUE(REGEXEXTRACT(I12, ""Affected Users(?:\s*\(From IM\))?:?\s*(\d+)"")), 0) + IFERROR(VALUE(REGEXEXTRACT(I12, ""Affected Clients:\s*(\d+)"")), 0))"),"")</f>
        <v/>
      </c>
      <c r="AA12" s="51"/>
      <c r="AB12" s="52" t="str">
        <f t="shared" si="2"/>
        <v/>
      </c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50" t="str">
        <f t="shared" si="1"/>
        <v/>
      </c>
      <c r="Z13" s="51" t="str">
        <f>IFERROR(__xludf.DUMMYFUNCTION("IF(I13="""", """", IFERROR(VALUE(REGEXEXTRACT(I13, ""(?:No\.?\s*of\s*)?[Ss]ubs:?\s*(\d+)"")), 0) + IFERROR(VALUE(REGEXEXTRACT(I13, ""Affected Users(?:\s*\(From IM\))?:?\s*(\d+)"")), 0) + IFERROR(VALUE(REGEXEXTRACT(I13, ""Affected Clients:\s*(\d+)"")), 0))"),"")</f>
        <v/>
      </c>
      <c r="AA13" s="51"/>
      <c r="AB13" s="52" t="str">
        <f t="shared" si="2"/>
        <v/>
      </c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50" t="str">
        <f t="shared" si="1"/>
        <v/>
      </c>
      <c r="Z14" s="51" t="str">
        <f>IFERROR(__xludf.DUMMYFUNCTION("IF(I14="""", """", IFERROR(VALUE(REGEXEXTRACT(I14, ""(?:No\.?\s*of\s*)?[Ss]ubs:?\s*(\d+)"")), 0) + IFERROR(VALUE(REGEXEXTRACT(I14, ""Affected Users(?:\s*\(From IM\))?:?\s*(\d+)"")), 0) + IFERROR(VALUE(REGEXEXTRACT(I14, ""Affected Clients:\s*(\d+)"")), 0))"),"")</f>
        <v/>
      </c>
      <c r="AA14" s="51"/>
      <c r="AB14" s="52" t="str">
        <f t="shared" si="2"/>
        <v/>
      </c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50" t="str">
        <f t="shared" si="1"/>
        <v/>
      </c>
      <c r="Z15" s="51" t="str">
        <f>IFERROR(__xludf.DUMMYFUNCTION("IF(I15="""", """", IFERROR(VALUE(REGEXEXTRACT(I15, ""(?:No\.?\s*of\s*)?[Ss]ubs:?\s*(\d+)"")), 0) + IFERROR(VALUE(REGEXEXTRACT(I15, ""Affected Users(?:\s*\(From IM\))?:?\s*(\d+)"")), 0) + IFERROR(VALUE(REGEXEXTRACT(I15, ""Affected Clients:\s*(\d+)"")), 0))"),"")</f>
        <v/>
      </c>
      <c r="AA15" s="51"/>
      <c r="AB15" s="52" t="str">
        <f t="shared" si="2"/>
        <v/>
      </c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50" t="str">
        <f t="shared" si="1"/>
        <v/>
      </c>
      <c r="Z16" s="51" t="str">
        <f>IFERROR(__xludf.DUMMYFUNCTION("IF(I16="""", """", IFERROR(VALUE(REGEXEXTRACT(I16, ""(?:No\.?\s*of\s*)?[Ss]ubs:?\s*(\d+)"")), 0) + IFERROR(VALUE(REGEXEXTRACT(I16, ""Affected Users(?:\s*\(From IM\))?:?\s*(\d+)"")), 0) + IFERROR(VALUE(REGEXEXTRACT(I16, ""Affected Clients:\s*(\d+)"")), 0))"),"")</f>
        <v/>
      </c>
      <c r="AA16" s="51"/>
      <c r="AB16" s="54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50" t="str">
        <f t="shared" si="1"/>
        <v/>
      </c>
      <c r="Z17" s="51" t="str">
        <f>IFERROR(__xludf.DUMMYFUNCTION("IF(I17="""", """", IFERROR(VALUE(REGEXEXTRACT(I17, ""(?:No\.?\s*of\s*)?[Ss]ubs:?\s*(\d+)"")), 0) + IFERROR(VALUE(REGEXEXTRACT(I17, ""Affected Users(?:\s*\(From IM\))?:?\s*(\d+)"")), 0) + IFERROR(VALUE(REGEXEXTRACT(I17, ""Affected Clients:\s*(\d+)"")), 0))"),"")</f>
        <v/>
      </c>
      <c r="AA17" s="51"/>
      <c r="AB17" s="54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50" t="str">
        <f t="shared" si="1"/>
        <v/>
      </c>
      <c r="Z18" s="51" t="str">
        <f>IFERROR(__xludf.DUMMYFUNCTION("IF(I18="""", """", IFERROR(VALUE(REGEXEXTRACT(I18, ""(?:No\.?\s*of\s*)?[Ss]ubs:?\s*(\d+)"")), 0) + IFERROR(VALUE(REGEXEXTRACT(I18, ""Affected Users(?:\s*\(From IM\))?:?\s*(\d+)"")), 0) + IFERROR(VALUE(REGEXEXTRACT(I18, ""Affected Clients:\s*(\d+)"")), 0))"),"")</f>
        <v/>
      </c>
      <c r="AA18" s="51"/>
      <c r="AB18" s="54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50" t="str">
        <f t="shared" si="1"/>
        <v/>
      </c>
      <c r="Z19" s="51" t="str">
        <f>IFERROR(__xludf.DUMMYFUNCTION("IF(I19="""", """", IFERROR(VALUE(REGEXEXTRACT(I19, ""(?:No\.?\s*of\s*)?[Ss]ubs:?\s*(\d+)"")), 0) + IFERROR(VALUE(REGEXEXTRACT(I19, ""Affected Users(?:\s*\(From IM\))?:?\s*(\d+)"")), 0) + IFERROR(VALUE(REGEXEXTRACT(I19, ""Affected Clients:\s*(\d+)"")), 0))"),"")</f>
        <v/>
      </c>
      <c r="AA19" s="51"/>
      <c r="AB19" s="54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50" t="str">
        <f t="shared" si="1"/>
        <v/>
      </c>
      <c r="Z20" s="51" t="str">
        <f>IFERROR(__xludf.DUMMYFUNCTION("IF(I20="""", """", IFERROR(VALUE(REGEXEXTRACT(I20, ""(?:No\.?\s*of\s*)?[Ss]ubs:?\s*(\d+)"")), 0) + IFERROR(VALUE(REGEXEXTRACT(I20, ""Affected Users(?:\s*\(From IM\))?:?\s*(\d+)"")), 0) + IFERROR(VALUE(REGEXEXTRACT(I20, ""Affected Clients:\s*(\d+)"")), 0))"),"")</f>
        <v/>
      </c>
      <c r="AA20" s="51"/>
      <c r="AB20" s="54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50" t="str">
        <f t="shared" si="1"/>
        <v/>
      </c>
      <c r="Z21" s="51" t="str">
        <f>IFERROR(__xludf.DUMMYFUNCTION("IF(I21="""", """", IFERROR(VALUE(REGEXEXTRACT(I21, ""(?:No\.?\s*of\s*)?[Ss]ubs:?\s*(\d+)"")), 0) + IFERROR(VALUE(REGEXEXTRACT(I21, ""Affected Users(?:\s*\(From IM\))?:?\s*(\d+)"")), 0) + IFERROR(VALUE(REGEXEXTRACT(I21, ""Affected Clients:\s*(\d+)"")), 0))"),"")</f>
        <v/>
      </c>
      <c r="AA21" s="51"/>
      <c r="AB21" s="54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50" t="str">
        <f t="shared" si="1"/>
        <v/>
      </c>
      <c r="Z22" s="51" t="str">
        <f>IFERROR(__xludf.DUMMYFUNCTION("IF(I22="""", """", IFERROR(VALUE(REGEXEXTRACT(I22, ""(?:No\.?\s*of\s*)?[Ss]ubs:?\s*(\d+)"")), 0) + IFERROR(VALUE(REGEXEXTRACT(I22, ""Affected Users(?:\s*\(From IM\))?:?\s*(\d+)"")), 0) + IFERROR(VALUE(REGEXEXTRACT(I22, ""Affected Clients:\s*(\d+)"")), 0))"),"")</f>
        <v/>
      </c>
      <c r="AA22" s="51"/>
      <c r="AB22" s="54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50" t="str">
        <f t="shared" si="1"/>
        <v/>
      </c>
      <c r="Z23" s="51" t="str">
        <f>IFERROR(__xludf.DUMMYFUNCTION("IF(I23="""", """", IFERROR(VALUE(REGEXEXTRACT(I23, ""(?:No\.?\s*of\s*)?[Ss]ubs:?\s*(\d+)"")), 0) + IFERROR(VALUE(REGEXEXTRACT(I23, ""Affected Users(?:\s*\(From IM\))?:?\s*(\d+)"")), 0) + IFERROR(VALUE(REGEXEXTRACT(I23, ""Affected Clients:\s*(\d+)"")), 0))"),"")</f>
        <v/>
      </c>
      <c r="AA23" s="51"/>
      <c r="AB23" s="54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50" t="str">
        <f t="shared" si="1"/>
        <v/>
      </c>
      <c r="Z24" s="51" t="str">
        <f>IFERROR(__xludf.DUMMYFUNCTION("IF(I24="""", """", IFERROR(VALUE(REGEXEXTRACT(I24, ""(?:No\.?\s*of\s*)?[Ss]ubs:?\s*(\d+)"")), 0) + IFERROR(VALUE(REGEXEXTRACT(I24, ""Affected Users(?:\s*\(From IM\))?:?\s*(\d+)"")), 0) + IFERROR(VALUE(REGEXEXTRACT(I24, ""Affected Clients:\s*(\d+)"")), 0))"),"")</f>
        <v/>
      </c>
      <c r="AA24" s="51"/>
      <c r="AB24" s="54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50" t="str">
        <f t="shared" si="1"/>
        <v/>
      </c>
      <c r="Z25" s="51" t="str">
        <f>IFERROR(__xludf.DUMMYFUNCTION("IF(I25="""", """", IFERROR(VALUE(REGEXEXTRACT(I25, ""(?:No\.?\s*of\s*)?[Ss]ubs:?\s*(\d+)"")), 0) + IFERROR(VALUE(REGEXEXTRACT(I25, ""Affected Users(?:\s*\(From IM\))?:?\s*(\d+)"")), 0) + IFERROR(VALUE(REGEXEXTRACT(I25, ""Affected Clients:\s*(\d+)"")), 0))"),"")</f>
        <v/>
      </c>
      <c r="AA25" s="51"/>
      <c r="AB25" s="54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50" t="str">
        <f t="shared" si="1"/>
        <v/>
      </c>
      <c r="Z26" s="51" t="str">
        <f>IFERROR(__xludf.DUMMYFUNCTION("IF(I26="""", """", IFERROR(VALUE(REGEXEXTRACT(I26, ""(?:No\.?\s*of\s*)?[Ss]ubs:?\s*(\d+)"")), 0) + IFERROR(VALUE(REGEXEXTRACT(I26, ""Affected Users(?:\s*\(From IM\))?:?\s*(\d+)"")), 0) + IFERROR(VALUE(REGEXEXTRACT(I26, ""Affected Clients:\s*(\d+)"")), 0))"),"")</f>
        <v/>
      </c>
      <c r="AA26" s="51"/>
      <c r="AB26" s="54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50" t="str">
        <f t="shared" si="1"/>
        <v/>
      </c>
      <c r="Z27" s="51" t="str">
        <f>IFERROR(__xludf.DUMMYFUNCTION("IF(I27="""", """", IFERROR(VALUE(REGEXEXTRACT(I27, ""(?:No\.?\s*of\s*)?[Ss]ubs:?\s*(\d+)"")), 0) + IFERROR(VALUE(REGEXEXTRACT(I27, ""Affected Users(?:\s*\(From IM\))?:?\s*(\d+)"")), 0) + IFERROR(VALUE(REGEXEXTRACT(I27, ""Affected Clients:\s*(\d+)"")), 0))"),"")</f>
        <v/>
      </c>
      <c r="AA27" s="51"/>
      <c r="AB27" s="54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50" t="str">
        <f t="shared" si="1"/>
        <v/>
      </c>
      <c r="Z28" s="51" t="str">
        <f>IFERROR(__xludf.DUMMYFUNCTION("IF(I28="""", """", IFERROR(VALUE(REGEXEXTRACT(I28, ""(?:No\.?\s*of\s*)?[Ss]ubs:?\s*(\d+)"")), 0) + IFERROR(VALUE(REGEXEXTRACT(I28, ""Affected Users(?:\s*\(From IM\))?:?\s*(\d+)"")), 0) + IFERROR(VALUE(REGEXEXTRACT(I28, ""Affected Clients:\s*(\d+)"")), 0))"),"")</f>
        <v/>
      </c>
      <c r="AA28" s="51"/>
      <c r="AB28" s="54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50" t="str">
        <f t="shared" si="1"/>
        <v/>
      </c>
      <c r="Z29" s="51" t="str">
        <f>IFERROR(__xludf.DUMMYFUNCTION("IF(I29="""", """", IFERROR(VALUE(REGEXEXTRACT(I29, ""(?:No\.?\s*of\s*)?[Ss]ubs:?\s*(\d+)"")), 0) + IFERROR(VALUE(REGEXEXTRACT(I29, ""Affected Users(?:\s*\(From IM\))?:?\s*(\d+)"")), 0) + IFERROR(VALUE(REGEXEXTRACT(I29, ""Affected Clients:\s*(\d+)"")), 0))"),"")</f>
        <v/>
      </c>
      <c r="AA29" s="51"/>
      <c r="AB29" s="54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50" t="str">
        <f t="shared" si="1"/>
        <v/>
      </c>
      <c r="Z30" s="51" t="str">
        <f>IFERROR(__xludf.DUMMYFUNCTION("IF(I30="""", """", IFERROR(VALUE(REGEXEXTRACT(I30, ""(?:No\.?\s*of\s*)?[Ss]ubs:?\s*(\d+)"")), 0) + IFERROR(VALUE(REGEXEXTRACT(I30, ""Affected Users(?:\s*\(From IM\))?:?\s*(\d+)"")), 0) + IFERROR(VALUE(REGEXEXTRACT(I30, ""Affected Clients:\s*(\d+)"")), 0))"),"")</f>
        <v/>
      </c>
      <c r="AA30" s="51"/>
      <c r="AB30" s="54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50" t="str">
        <f t="shared" si="1"/>
        <v/>
      </c>
      <c r="Z31" s="51" t="str">
        <f>IFERROR(__xludf.DUMMYFUNCTION("IF(I31="""", """", IFERROR(VALUE(REGEXEXTRACT(I31, ""(?:No\.?\s*of\s*)?[Ss]ubs:?\s*(\d+)"")), 0) + IFERROR(VALUE(REGEXEXTRACT(I31, ""Affected Users(?:\s*\(From IM\))?:?\s*(\d+)"")), 0) + IFERROR(VALUE(REGEXEXTRACT(I31, ""Affected Clients:\s*(\d+)"")), 0))"),"")</f>
        <v/>
      </c>
      <c r="AA31" s="51"/>
      <c r="AB31" s="54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50" t="str">
        <f t="shared" si="1"/>
        <v/>
      </c>
      <c r="Z32" s="51" t="str">
        <f>IFERROR(__xludf.DUMMYFUNCTION("IF(I32="""", """", IFERROR(VALUE(REGEXEXTRACT(I32, ""(?:No\.?\s*of\s*)?[Ss]ubs:?\s*(\d+)"")), 0) + IFERROR(VALUE(REGEXEXTRACT(I32, ""Affected Users(?:\s*\(From IM\))?:?\s*(\d+)"")), 0) + IFERROR(VALUE(REGEXEXTRACT(I32, ""Affected Clients:\s*(\d+)"")), 0))"),"")</f>
        <v/>
      </c>
      <c r="AA32" s="51"/>
      <c r="AB32" s="54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50" t="str">
        <f t="shared" si="1"/>
        <v/>
      </c>
      <c r="Z33" s="51" t="str">
        <f>IFERROR(__xludf.DUMMYFUNCTION("IF(I33="""", """", IFERROR(VALUE(REGEXEXTRACT(I33, ""(?:No\.?\s*of\s*)?[Ss]ubs:?\s*(\d+)"")), 0) + IFERROR(VALUE(REGEXEXTRACT(I33, ""Affected Users(?:\s*\(From IM\))?:?\s*(\d+)"")), 0) + IFERROR(VALUE(REGEXEXTRACT(I33, ""Affected Clients:\s*(\d+)"")), 0))"),"")</f>
        <v/>
      </c>
      <c r="AA33" s="51"/>
      <c r="AB33" s="54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50" t="str">
        <f t="shared" si="1"/>
        <v/>
      </c>
      <c r="Z34" s="51" t="str">
        <f>IFERROR(__xludf.DUMMYFUNCTION("IF(I34="""", """", IFERROR(VALUE(REGEXEXTRACT(I34, ""(?:No\.?\s*of\s*)?[Ss]ubs:?\s*(\d+)"")), 0) + IFERROR(VALUE(REGEXEXTRACT(I34, ""Affected Users(?:\s*\(From IM\))?:?\s*(\d+)"")), 0) + IFERROR(VALUE(REGEXEXTRACT(I34, ""Affected Clients:\s*(\d+)"")), 0))"),"")</f>
        <v/>
      </c>
      <c r="AA34" s="51"/>
      <c r="AB34" s="54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50" t="str">
        <f t="shared" si="1"/>
        <v/>
      </c>
      <c r="Z35" s="51" t="str">
        <f>IFERROR(__xludf.DUMMYFUNCTION("IF(I35="""", """", IFERROR(VALUE(REGEXEXTRACT(I35, ""(?:No\.?\s*of\s*)?[Ss]ubs:?\s*(\d+)"")), 0) + IFERROR(VALUE(REGEXEXTRACT(I35, ""Affected Users(?:\s*\(From IM\))?:?\s*(\d+)"")), 0) + IFERROR(VALUE(REGEXEXTRACT(I35, ""Affected Clients:\s*(\d+)"")), 0))"),"")</f>
        <v/>
      </c>
      <c r="AA35" s="51"/>
      <c r="AB35" s="52" t="str">
        <f t="shared" ref="AB35:AB50" si="3">IF(ISBLANK(I35), "", EXTRACT_OLT(I35))</f>
        <v/>
      </c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50" t="str">
        <f t="shared" si="1"/>
        <v/>
      </c>
      <c r="Z36" s="51" t="str">
        <f>IFERROR(__xludf.DUMMYFUNCTION("IF(I36="""", """", IFERROR(VALUE(REGEXEXTRACT(I36, ""(?:No\.?\s*of\s*)?[Ss]ubs:?\s*(\d+)"")), 0) + IFERROR(VALUE(REGEXEXTRACT(I36, ""Affected Users(?:\s*\(From IM\))?:?\s*(\d+)"")), 0) + IFERROR(VALUE(REGEXEXTRACT(I36, ""Affected Clients:\s*(\d+)"")), 0))"),"")</f>
        <v/>
      </c>
      <c r="AA36" s="51"/>
      <c r="AB36" s="52" t="str">
        <f t="shared" si="3"/>
        <v/>
      </c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50" t="str">
        <f t="shared" si="1"/>
        <v/>
      </c>
      <c r="Z37" s="51" t="str">
        <f>IFERROR(__xludf.DUMMYFUNCTION("IF(I37="""", """", IFERROR(VALUE(REGEXEXTRACT(I37, ""(?:No\.?\s*of\s*)?[Ss]ubs:?\s*(\d+)"")), 0) + IFERROR(VALUE(REGEXEXTRACT(I37, ""Affected Users(?:\s*\(From IM\))?:?\s*(\d+)"")), 0) + IFERROR(VALUE(REGEXEXTRACT(I37, ""Affected Clients:\s*(\d+)"")), 0))"),"")</f>
        <v/>
      </c>
      <c r="AA37" s="51"/>
      <c r="AB37" s="52" t="str">
        <f t="shared" si="3"/>
        <v/>
      </c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50" t="str">
        <f t="shared" si="1"/>
        <v/>
      </c>
      <c r="Z38" s="51" t="str">
        <f>IFERROR(__xludf.DUMMYFUNCTION("IF(I38="""", """", IFERROR(VALUE(REGEXEXTRACT(I38, ""(?:No\.?\s*of\s*)?[Ss]ubs:?\s*(\d+)"")), 0) + IFERROR(VALUE(REGEXEXTRACT(I38, ""Affected Users(?:\s*\(From IM\))?:?\s*(\d+)"")), 0) + IFERROR(VALUE(REGEXEXTRACT(I38, ""Affected Clients:\s*(\d+)"")), 0))"),"")</f>
        <v/>
      </c>
      <c r="AA38" s="51"/>
      <c r="AB38" s="52" t="str">
        <f t="shared" si="3"/>
        <v/>
      </c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0" t="str">
        <f t="shared" si="1"/>
        <v/>
      </c>
      <c r="Z39" s="51" t="str">
        <f>IFERROR(__xludf.DUMMYFUNCTION("IF(I39="""", """", IFERROR(VALUE(REGEXEXTRACT(I39, ""(?:No\.?\s*of\s*)?[Ss]ubs:?\s*(\d+)"")), 0) + IFERROR(VALUE(REGEXEXTRACT(I39, ""Affected Users(?:\s*\(From IM\))?:?\s*(\d+)"")), 0) + IFERROR(VALUE(REGEXEXTRACT(I39, ""Affected Clients:\s*(\d+)"")), 0))"),"")</f>
        <v/>
      </c>
      <c r="AA39" s="51"/>
      <c r="AB39" s="52" t="str">
        <f t="shared" si="3"/>
        <v/>
      </c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50" t="str">
        <f t="shared" si="1"/>
        <v/>
      </c>
      <c r="Z40" s="51" t="str">
        <f>IFERROR(__xludf.DUMMYFUNCTION("IF(I40="""", """", IFERROR(VALUE(REGEXEXTRACT(I40, ""(?:No\.?\s*of\s*)?[Ss]ubs:?\s*(\d+)"")), 0) + IFERROR(VALUE(REGEXEXTRACT(I40, ""Affected Users(?:\s*\(From IM\))?:?\s*(\d+)"")), 0) + IFERROR(VALUE(REGEXEXTRACT(I40, ""Affected Clients:\s*(\d+)"")), 0))"),"")</f>
        <v/>
      </c>
      <c r="AA40" s="51"/>
      <c r="AB40" s="52" t="str">
        <f t="shared" si="3"/>
        <v/>
      </c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50" t="str">
        <f t="shared" si="1"/>
        <v/>
      </c>
      <c r="Z41" s="51" t="str">
        <f>IFERROR(__xludf.DUMMYFUNCTION("IF(I41="""", """", IFERROR(VALUE(REGEXEXTRACT(I41, ""(?:No\.?\s*of\s*)?[Ss]ubs:?\s*(\d+)"")), 0) + IFERROR(VALUE(REGEXEXTRACT(I41, ""Affected Users(?:\s*\(From IM\))?:?\s*(\d+)"")), 0) + IFERROR(VALUE(REGEXEXTRACT(I41, ""Affected Clients:\s*(\d+)"")), 0))"),"")</f>
        <v/>
      </c>
      <c r="AA41" s="51"/>
      <c r="AB41" s="52" t="str">
        <f t="shared" si="3"/>
        <v/>
      </c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50" t="str">
        <f t="shared" si="1"/>
        <v/>
      </c>
      <c r="Z42" s="51" t="str">
        <f>IFERROR(__xludf.DUMMYFUNCTION("IF(I42="""", """", IFERROR(VALUE(REGEXEXTRACT(I42, ""(?:No\.?\s*of\s*)?[Ss]ubs:?\s*(\d+)"")), 0) + IFERROR(VALUE(REGEXEXTRACT(I42, ""Affected Users(?:\s*\(From IM\))?:?\s*(\d+)"")), 0) + IFERROR(VALUE(REGEXEXTRACT(I42, ""Affected Clients:\s*(\d+)"")), 0))"),"")</f>
        <v/>
      </c>
      <c r="AA42" s="51"/>
      <c r="AB42" s="52" t="str">
        <f t="shared" si="3"/>
        <v/>
      </c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50" t="str">
        <f t="shared" si="1"/>
        <v/>
      </c>
      <c r="Z43" s="51" t="str">
        <f>IFERROR(__xludf.DUMMYFUNCTION("IF(I43="""", """", IFERROR(VALUE(REGEXEXTRACT(I43, ""(?:No\.?\s*of\s*)?[Ss]ubs:?\s*(\d+)"")), 0) + IFERROR(VALUE(REGEXEXTRACT(I43, ""Affected Users(?:\s*\(From IM\))?:?\s*(\d+)"")), 0) + IFERROR(VALUE(REGEXEXTRACT(I43, ""Affected Clients:\s*(\d+)"")), 0))"),"")</f>
        <v/>
      </c>
      <c r="AA43" s="51"/>
      <c r="AB43" s="52" t="str">
        <f t="shared" si="3"/>
        <v/>
      </c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50" t="str">
        <f t="shared" si="1"/>
        <v/>
      </c>
      <c r="Z44" s="51" t="str">
        <f>IFERROR(__xludf.DUMMYFUNCTION("IF(I44="""", """", IFERROR(VALUE(REGEXEXTRACT(I44, ""(?:No\.?\s*of\s*)?[Ss]ubs:?\s*(\d+)"")), 0) + IFERROR(VALUE(REGEXEXTRACT(I44, ""Affected Users(?:\s*\(From IM\))?:?\s*(\d+)"")), 0) + IFERROR(VALUE(REGEXEXTRACT(I44, ""Affected Clients:\s*(\d+)"")), 0))"),"")</f>
        <v/>
      </c>
      <c r="AA44" s="51"/>
      <c r="AB44" s="52" t="str">
        <f t="shared" si="3"/>
        <v/>
      </c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50" t="str">
        <f t="shared" si="1"/>
        <v/>
      </c>
      <c r="Z45" s="51" t="str">
        <f>IFERROR(__xludf.DUMMYFUNCTION("IF(I45="""", """", IFERROR(VALUE(REGEXEXTRACT(I45, ""(?:No\.?\s*of\s*)?[Ss]ubs:?\s*(\d+)"")), 0) + IFERROR(VALUE(REGEXEXTRACT(I45, ""Affected Users(?:\s*\(From IM\))?:?\s*(\d+)"")), 0) + IFERROR(VALUE(REGEXEXTRACT(I45, ""Affected Clients:\s*(\d+)"")), 0))"),"")</f>
        <v/>
      </c>
      <c r="AA45" s="51"/>
      <c r="AB45" s="52" t="str">
        <f t="shared" si="3"/>
        <v/>
      </c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50" t="str">
        <f t="shared" si="1"/>
        <v/>
      </c>
      <c r="Z46" s="51" t="str">
        <f>IFERROR(__xludf.DUMMYFUNCTION("IF(I46="""", """", IFERROR(VALUE(REGEXEXTRACT(I46, ""(?:No\.?\s*of\s*)?[Ss]ubs:?\s*(\d+)"")), 0) + IFERROR(VALUE(REGEXEXTRACT(I46, ""Affected Users(?:\s*\(From IM\))?:?\s*(\d+)"")), 0) + IFERROR(VALUE(REGEXEXTRACT(I46, ""Affected Clients:\s*(\d+)"")), 0))"),"")</f>
        <v/>
      </c>
      <c r="AA46" s="51"/>
      <c r="AB46" s="52" t="str">
        <f t="shared" si="3"/>
        <v/>
      </c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50" t="str">
        <f t="shared" si="1"/>
        <v/>
      </c>
      <c r="Z47" s="51" t="str">
        <f>IFERROR(__xludf.DUMMYFUNCTION("IF(I47="""", """", IFERROR(VALUE(REGEXEXTRACT(I47, ""(?:No\.?\s*of\s*)?[Ss]ubs:?\s*(\d+)"")), 0) + IFERROR(VALUE(REGEXEXTRACT(I47, ""Affected Users(?:\s*\(From IM\))?:?\s*(\d+)"")), 0) + IFERROR(VALUE(REGEXEXTRACT(I47, ""Affected Clients:\s*(\d+)"")), 0))"),"")</f>
        <v/>
      </c>
      <c r="AA47" s="51"/>
      <c r="AB47" s="52" t="str">
        <f t="shared" si="3"/>
        <v/>
      </c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50" t="str">
        <f t="shared" si="1"/>
        <v/>
      </c>
      <c r="Z48" s="51" t="str">
        <f>IFERROR(__xludf.DUMMYFUNCTION("IF(I48="""", """", IFERROR(VALUE(REGEXEXTRACT(I48, ""(?:No\.?\s*of\s*)?[Ss]ubs:?\s*(\d+)"")), 0) + IFERROR(VALUE(REGEXEXTRACT(I48, ""Affected Users(?:\s*\(From IM\))?:?\s*(\d+)"")), 0) + IFERROR(VALUE(REGEXEXTRACT(I48, ""Affected Clients:\s*(\d+)"")), 0))"),"")</f>
        <v/>
      </c>
      <c r="AA48" s="51"/>
      <c r="AB48" s="52" t="str">
        <f t="shared" si="3"/>
        <v/>
      </c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50" t="str">
        <f t="shared" si="1"/>
        <v/>
      </c>
      <c r="Z49" s="51" t="str">
        <f>IFERROR(__xludf.DUMMYFUNCTION("IF(I49="""", """", IFERROR(VALUE(REGEXEXTRACT(I49, ""(?:No\.?\s*of\s*)?[Ss]ubs:?\s*(\d+)"")), 0) + IFERROR(VALUE(REGEXEXTRACT(I49, ""Affected Users(?:\s*\(From IM\))?:?\s*(\d+)"")), 0) + IFERROR(VALUE(REGEXEXTRACT(I49, ""Affected Clients:\s*(\d+)"")), 0))"),"")</f>
        <v/>
      </c>
      <c r="AA49" s="51"/>
      <c r="AB49" s="52" t="str">
        <f t="shared" si="3"/>
        <v/>
      </c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50" t="str">
        <f t="shared" si="1"/>
        <v/>
      </c>
      <c r="Z50" s="51" t="str">
        <f>IFERROR(__xludf.DUMMYFUNCTION("IF(I50="""", """", IFERROR(VALUE(REGEXEXTRACT(I50, ""(?:No\.?\s*of\s*)?[Ss]ubs:?\s*(\d+)"")), 0) + IFERROR(VALUE(REGEXEXTRACT(I50, ""Affected Users(?:\s*\(From IM\))?:?\s*(\d+)"")), 0) + IFERROR(VALUE(REGEXEXTRACT(I50, ""Affected Clients:\s*(\d+)"")), 0))"),"")</f>
        <v/>
      </c>
      <c r="AA50" s="51"/>
      <c r="AB50" s="52" t="str">
        <f t="shared" si="3"/>
        <v/>
      </c>
    </row>
  </sheetData>
  <conditionalFormatting sqref="AB2:AB50">
    <cfRule type="expression" dxfId="9" priority="1">
      <formula>REDUCE(FALSE, SPLIT(AB2, CHAR(10)), LAMBDA(acc, olt, acc + (SUMPRODUCT(MAP($AB$2:$AB$50, LAMBDA(cell, IF(ISBLANK(cell), 0, REGEXMATCH(cell, "(?m)^" &amp; REGEXREPLACE(TRIM(olt), "([x{}()\[\]\\^$.|*+?])", "\\$1") &amp; "$"))))) &gt; 1)))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7.25"/>
    <col customWidth="1" min="2" max="2" width="4.5"/>
    <col customWidth="1" min="3" max="3" width="11.5"/>
    <col customWidth="1" min="4" max="4" width="8.5"/>
    <col customWidth="1" min="5" max="5" width="9.0"/>
    <col customWidth="1" min="6" max="6" width="15.5"/>
    <col customWidth="1" min="7" max="7" width="8.63"/>
    <col customWidth="1" min="8" max="8" width="13.5"/>
    <col customWidth="1" min="9" max="9" width="25.13"/>
  </cols>
  <sheetData>
    <row r="1" ht="13.5" customHeight="1">
      <c r="A1" s="55" t="s">
        <v>14</v>
      </c>
      <c r="B1" s="55" t="s">
        <v>94</v>
      </c>
      <c r="C1" s="55" t="s">
        <v>95</v>
      </c>
      <c r="D1" s="55" t="s">
        <v>96</v>
      </c>
      <c r="E1" s="55" t="s">
        <v>19</v>
      </c>
      <c r="F1" s="55" t="s">
        <v>2</v>
      </c>
      <c r="G1" s="55" t="s">
        <v>97</v>
      </c>
      <c r="H1" s="55" t="s">
        <v>98</v>
      </c>
      <c r="I1" s="56" t="s">
        <v>99</v>
      </c>
    </row>
    <row r="2">
      <c r="A2" s="57" t="s">
        <v>100</v>
      </c>
      <c r="B2" s="57"/>
      <c r="C2" s="57" t="s">
        <v>101</v>
      </c>
      <c r="D2" s="58">
        <f t="shared" ref="D2:D820" si="1">(LEN(C2)-LEN(SUBSTITUTE(UPPER(C2),"OLT","")))/3</f>
        <v>2</v>
      </c>
      <c r="E2" s="57">
        <v>87.0</v>
      </c>
      <c r="F2" s="59" t="s">
        <v>104</v>
      </c>
      <c r="G2" s="55" t="s">
        <v>30</v>
      </c>
      <c r="H2" s="55" t="s">
        <v>39</v>
      </c>
      <c r="I2" s="56" t="s">
        <v>105</v>
      </c>
    </row>
    <row r="3">
      <c r="A3" s="57" t="s">
        <v>106</v>
      </c>
      <c r="B3" s="57"/>
      <c r="C3" s="57" t="s">
        <v>107</v>
      </c>
      <c r="D3" s="58">
        <f t="shared" si="1"/>
        <v>1</v>
      </c>
      <c r="E3" s="57">
        <v>222.0</v>
      </c>
      <c r="F3" s="57" t="s">
        <v>104</v>
      </c>
      <c r="G3" s="55" t="s">
        <v>30</v>
      </c>
      <c r="H3" s="55" t="s">
        <v>39</v>
      </c>
      <c r="I3" s="56" t="s">
        <v>105</v>
      </c>
    </row>
    <row r="4">
      <c r="A4" s="57" t="s">
        <v>108</v>
      </c>
      <c r="B4" s="57"/>
      <c r="C4" s="57" t="s">
        <v>109</v>
      </c>
      <c r="D4" s="58">
        <f t="shared" si="1"/>
        <v>1</v>
      </c>
      <c r="E4" s="57">
        <v>35.0</v>
      </c>
      <c r="F4" s="57" t="s">
        <v>104</v>
      </c>
      <c r="G4" s="55" t="s">
        <v>30</v>
      </c>
      <c r="H4" s="55" t="s">
        <v>38</v>
      </c>
      <c r="I4" s="56" t="s">
        <v>110</v>
      </c>
    </row>
    <row r="5">
      <c r="A5" s="57" t="s">
        <v>111</v>
      </c>
      <c r="B5" s="57"/>
      <c r="C5" s="57" t="s">
        <v>112</v>
      </c>
      <c r="D5" s="58">
        <f t="shared" si="1"/>
        <v>2</v>
      </c>
      <c r="E5" s="57">
        <v>581.0</v>
      </c>
      <c r="F5" s="57" t="s">
        <v>113</v>
      </c>
      <c r="G5" s="55" t="s">
        <v>30</v>
      </c>
      <c r="H5" s="55" t="s">
        <v>39</v>
      </c>
      <c r="I5" s="56" t="s">
        <v>114</v>
      </c>
    </row>
    <row r="6">
      <c r="A6" s="57" t="s">
        <v>115</v>
      </c>
      <c r="B6" s="57"/>
      <c r="C6" s="57" t="s">
        <v>116</v>
      </c>
      <c r="D6" s="58">
        <f t="shared" si="1"/>
        <v>1</v>
      </c>
      <c r="E6" s="57">
        <v>3594.0</v>
      </c>
      <c r="F6" s="57" t="s">
        <v>117</v>
      </c>
      <c r="G6" s="55" t="s">
        <v>30</v>
      </c>
      <c r="H6" s="55" t="s">
        <v>39</v>
      </c>
      <c r="I6" s="56" t="s">
        <v>114</v>
      </c>
    </row>
    <row r="7">
      <c r="A7" s="57" t="s">
        <v>118</v>
      </c>
      <c r="B7" s="57"/>
      <c r="C7" s="57" t="s">
        <v>119</v>
      </c>
      <c r="D7" s="58">
        <f t="shared" si="1"/>
        <v>2</v>
      </c>
      <c r="E7" s="57">
        <v>132.0</v>
      </c>
      <c r="F7" s="57" t="s">
        <v>121</v>
      </c>
      <c r="G7" s="55" t="s">
        <v>31</v>
      </c>
      <c r="H7" s="55" t="s">
        <v>39</v>
      </c>
      <c r="I7" s="56"/>
    </row>
    <row r="8">
      <c r="A8" s="57" t="s">
        <v>122</v>
      </c>
      <c r="B8" s="57"/>
      <c r="C8" s="57" t="s">
        <v>123</v>
      </c>
      <c r="D8" s="58">
        <f t="shared" si="1"/>
        <v>2</v>
      </c>
      <c r="E8" s="57"/>
      <c r="F8" s="57" t="s">
        <v>124</v>
      </c>
      <c r="G8" s="55" t="s">
        <v>31</v>
      </c>
      <c r="H8" s="55" t="s">
        <v>42</v>
      </c>
      <c r="I8" s="56"/>
    </row>
    <row r="9">
      <c r="A9" s="57"/>
      <c r="B9" s="57"/>
      <c r="C9" s="59"/>
      <c r="D9" s="58">
        <f t="shared" si="1"/>
        <v>0</v>
      </c>
      <c r="E9" s="57"/>
      <c r="F9" s="57"/>
      <c r="G9" s="55"/>
      <c r="H9" s="55"/>
      <c r="I9" s="56"/>
    </row>
    <row r="10">
      <c r="A10" s="57"/>
      <c r="B10" s="57"/>
      <c r="C10" s="59"/>
      <c r="D10" s="58">
        <f t="shared" si="1"/>
        <v>0</v>
      </c>
      <c r="E10" s="57"/>
      <c r="F10" s="57"/>
      <c r="G10" s="55"/>
      <c r="H10" s="55"/>
      <c r="I10" s="56"/>
    </row>
    <row r="11">
      <c r="A11" s="57"/>
      <c r="B11" s="57"/>
      <c r="C11" s="59"/>
      <c r="D11" s="58">
        <f t="shared" si="1"/>
        <v>0</v>
      </c>
      <c r="E11" s="57"/>
      <c r="F11" s="57"/>
      <c r="G11" s="55"/>
      <c r="H11" s="55"/>
      <c r="I11" s="56"/>
    </row>
    <row r="12">
      <c r="A12" s="57"/>
      <c r="B12" s="57"/>
      <c r="C12" s="59"/>
      <c r="D12" s="58">
        <f t="shared" si="1"/>
        <v>0</v>
      </c>
      <c r="E12" s="57"/>
      <c r="F12" s="57"/>
      <c r="G12" s="55"/>
      <c r="H12" s="55"/>
      <c r="I12" s="56"/>
    </row>
    <row r="13">
      <c r="A13" s="57"/>
      <c r="B13" s="57"/>
      <c r="C13" s="59"/>
      <c r="D13" s="58">
        <f t="shared" si="1"/>
        <v>0</v>
      </c>
      <c r="E13" s="57"/>
      <c r="F13" s="57"/>
      <c r="G13" s="55"/>
      <c r="H13" s="55"/>
      <c r="I13" s="56"/>
    </row>
    <row r="14">
      <c r="A14" s="57"/>
      <c r="B14" s="57"/>
      <c r="C14" s="59"/>
      <c r="D14" s="58">
        <f t="shared" si="1"/>
        <v>0</v>
      </c>
      <c r="E14" s="57"/>
      <c r="F14" s="57"/>
      <c r="G14" s="55"/>
      <c r="H14" s="55"/>
      <c r="I14" s="56"/>
    </row>
    <row r="15">
      <c r="A15" s="57"/>
      <c r="B15" s="57"/>
      <c r="C15" s="59"/>
      <c r="D15" s="58">
        <f t="shared" si="1"/>
        <v>0</v>
      </c>
      <c r="E15" s="57"/>
      <c r="F15" s="57"/>
      <c r="G15" s="55"/>
      <c r="H15" s="55"/>
      <c r="I15" s="56"/>
    </row>
    <row r="16">
      <c r="A16" s="57"/>
      <c r="B16" s="57"/>
      <c r="C16" s="59"/>
      <c r="D16" s="58">
        <f t="shared" si="1"/>
        <v>0</v>
      </c>
      <c r="E16" s="57"/>
      <c r="F16" s="57"/>
      <c r="G16" s="55"/>
      <c r="H16" s="55"/>
      <c r="I16" s="56"/>
    </row>
    <row r="17">
      <c r="A17" s="57"/>
      <c r="B17" s="57"/>
      <c r="C17" s="59"/>
      <c r="D17" s="58">
        <f t="shared" si="1"/>
        <v>0</v>
      </c>
      <c r="E17" s="57"/>
      <c r="F17" s="57"/>
      <c r="G17" s="55"/>
      <c r="H17" s="55"/>
      <c r="I17" s="56"/>
    </row>
    <row r="18">
      <c r="A18" s="57"/>
      <c r="B18" s="57"/>
      <c r="C18" s="59"/>
      <c r="D18" s="58">
        <f t="shared" si="1"/>
        <v>0</v>
      </c>
      <c r="E18" s="57"/>
      <c r="F18" s="57"/>
      <c r="G18" s="55"/>
      <c r="H18" s="55"/>
      <c r="I18" s="56"/>
    </row>
    <row r="19">
      <c r="A19" s="57"/>
      <c r="B19" s="57"/>
      <c r="C19" s="59"/>
      <c r="D19" s="58">
        <f t="shared" si="1"/>
        <v>0</v>
      </c>
      <c r="E19" s="57"/>
      <c r="F19" s="57"/>
      <c r="G19" s="55"/>
      <c r="H19" s="55"/>
      <c r="I19" s="56"/>
    </row>
    <row r="20">
      <c r="A20" s="57"/>
      <c r="B20" s="57"/>
      <c r="C20" s="59"/>
      <c r="D20" s="58">
        <f t="shared" si="1"/>
        <v>0</v>
      </c>
      <c r="E20" s="57"/>
      <c r="F20" s="57"/>
      <c r="G20" s="55"/>
      <c r="H20" s="55"/>
      <c r="I20" s="56"/>
    </row>
    <row r="21">
      <c r="A21" s="57"/>
      <c r="B21" s="57"/>
      <c r="C21" s="59"/>
      <c r="D21" s="58">
        <f t="shared" si="1"/>
        <v>0</v>
      </c>
      <c r="E21" s="57"/>
      <c r="F21" s="57"/>
      <c r="G21" s="55"/>
      <c r="H21" s="55"/>
      <c r="I21" s="56"/>
    </row>
    <row r="22">
      <c r="A22" s="57"/>
      <c r="B22" s="57"/>
      <c r="C22" s="59"/>
      <c r="D22" s="58">
        <f t="shared" si="1"/>
        <v>0</v>
      </c>
      <c r="E22" s="57"/>
      <c r="F22" s="57"/>
      <c r="G22" s="55"/>
      <c r="H22" s="55"/>
      <c r="I22" s="56"/>
    </row>
    <row r="23">
      <c r="A23" s="57"/>
      <c r="B23" s="57"/>
      <c r="C23" s="57"/>
      <c r="D23" s="58">
        <f t="shared" si="1"/>
        <v>0</v>
      </c>
      <c r="E23" s="57"/>
      <c r="F23" s="57"/>
      <c r="G23" s="55"/>
      <c r="H23" s="55"/>
      <c r="I23" s="56"/>
    </row>
    <row r="24">
      <c r="A24" s="57"/>
      <c r="B24" s="57"/>
      <c r="C24" s="57"/>
      <c r="D24" s="58">
        <f t="shared" si="1"/>
        <v>0</v>
      </c>
      <c r="E24" s="57"/>
      <c r="F24" s="57"/>
      <c r="G24" s="55"/>
      <c r="H24" s="55"/>
      <c r="I24" s="56"/>
    </row>
    <row r="25">
      <c r="A25" s="57"/>
      <c r="B25" s="57"/>
      <c r="C25" s="57"/>
      <c r="D25" s="58">
        <f t="shared" si="1"/>
        <v>0</v>
      </c>
      <c r="E25" s="57"/>
      <c r="F25" s="57"/>
      <c r="G25" s="55"/>
      <c r="H25" s="55"/>
      <c r="I25" s="56"/>
    </row>
    <row r="26">
      <c r="A26" s="57"/>
      <c r="B26" s="57"/>
      <c r="C26" s="57"/>
      <c r="D26" s="58">
        <f t="shared" si="1"/>
        <v>0</v>
      </c>
      <c r="E26" s="57"/>
      <c r="F26" s="57"/>
      <c r="G26" s="55"/>
      <c r="H26" s="55"/>
      <c r="I26" s="56"/>
    </row>
    <row r="27">
      <c r="A27" s="57"/>
      <c r="B27" s="57"/>
      <c r="C27" s="57"/>
      <c r="D27" s="58">
        <f t="shared" si="1"/>
        <v>0</v>
      </c>
      <c r="E27" s="57"/>
      <c r="F27" s="57"/>
      <c r="G27" s="55"/>
      <c r="H27" s="55"/>
      <c r="I27" s="56"/>
    </row>
    <row r="28">
      <c r="A28" s="57"/>
      <c r="B28" s="57"/>
      <c r="C28" s="57"/>
      <c r="D28" s="58">
        <f t="shared" si="1"/>
        <v>0</v>
      </c>
      <c r="E28" s="57"/>
      <c r="F28" s="57"/>
      <c r="G28" s="55"/>
      <c r="H28" s="55"/>
      <c r="I28" s="56"/>
    </row>
    <row r="29">
      <c r="A29" s="57"/>
      <c r="B29" s="57"/>
      <c r="C29" s="57"/>
      <c r="D29" s="58">
        <f t="shared" si="1"/>
        <v>0</v>
      </c>
      <c r="E29" s="57"/>
      <c r="F29" s="57"/>
      <c r="G29" s="55"/>
      <c r="H29" s="55"/>
      <c r="I29" s="56"/>
    </row>
    <row r="30">
      <c r="A30" s="57"/>
      <c r="B30" s="57"/>
      <c r="C30" s="57"/>
      <c r="D30" s="58">
        <f t="shared" si="1"/>
        <v>0</v>
      </c>
      <c r="E30" s="57"/>
      <c r="F30" s="57"/>
      <c r="G30" s="55"/>
      <c r="H30" s="55"/>
      <c r="I30" s="56"/>
    </row>
    <row r="31">
      <c r="A31" s="57"/>
      <c r="B31" s="57"/>
      <c r="C31" s="57"/>
      <c r="D31" s="58">
        <f t="shared" si="1"/>
        <v>0</v>
      </c>
      <c r="E31" s="57"/>
      <c r="F31" s="57"/>
      <c r="G31" s="55"/>
      <c r="H31" s="55"/>
      <c r="I31" s="56"/>
    </row>
    <row r="32">
      <c r="A32" s="57"/>
      <c r="B32" s="57"/>
      <c r="C32" s="57"/>
      <c r="D32" s="58">
        <f t="shared" si="1"/>
        <v>0</v>
      </c>
      <c r="E32" s="57"/>
      <c r="F32" s="57"/>
      <c r="G32" s="55"/>
      <c r="H32" s="55"/>
      <c r="I32" s="56"/>
    </row>
    <row r="33">
      <c r="A33" s="57"/>
      <c r="B33" s="57"/>
      <c r="C33" s="57"/>
      <c r="D33" s="58">
        <f t="shared" si="1"/>
        <v>0</v>
      </c>
      <c r="E33" s="57"/>
      <c r="F33" s="57"/>
      <c r="G33" s="55"/>
      <c r="H33" s="55"/>
      <c r="I33" s="56"/>
    </row>
    <row r="34">
      <c r="A34" s="57"/>
      <c r="B34" s="57"/>
      <c r="C34" s="57"/>
      <c r="D34" s="58">
        <f t="shared" si="1"/>
        <v>0</v>
      </c>
      <c r="E34" s="57"/>
      <c r="F34" s="57"/>
      <c r="G34" s="55"/>
      <c r="H34" s="55"/>
      <c r="I34" s="56"/>
    </row>
    <row r="35">
      <c r="A35" s="57"/>
      <c r="B35" s="57"/>
      <c r="C35" s="57"/>
      <c r="D35" s="58">
        <f t="shared" si="1"/>
        <v>0</v>
      </c>
      <c r="E35" s="57"/>
      <c r="F35" s="57"/>
      <c r="G35" s="55"/>
      <c r="H35" s="55"/>
      <c r="I35" s="56"/>
    </row>
    <row r="36">
      <c r="A36" s="57"/>
      <c r="B36" s="57"/>
      <c r="C36" s="57"/>
      <c r="D36" s="58">
        <f t="shared" si="1"/>
        <v>0</v>
      </c>
      <c r="E36" s="57"/>
      <c r="F36" s="57"/>
      <c r="G36" s="55"/>
      <c r="H36" s="55"/>
      <c r="I36" s="56"/>
    </row>
    <row r="37">
      <c r="A37" s="57"/>
      <c r="B37" s="57"/>
      <c r="C37" s="57"/>
      <c r="D37" s="58">
        <f t="shared" si="1"/>
        <v>0</v>
      </c>
      <c r="E37" s="57"/>
      <c r="F37" s="57"/>
      <c r="G37" s="55"/>
      <c r="H37" s="55"/>
      <c r="I37" s="56"/>
    </row>
    <row r="38">
      <c r="A38" s="57"/>
      <c r="B38" s="57"/>
      <c r="C38" s="57"/>
      <c r="D38" s="58">
        <f t="shared" si="1"/>
        <v>0</v>
      </c>
      <c r="E38" s="57"/>
      <c r="F38" s="57"/>
      <c r="G38" s="55"/>
      <c r="H38" s="55"/>
      <c r="I38" s="56"/>
    </row>
    <row r="39">
      <c r="A39" s="57"/>
      <c r="B39" s="57"/>
      <c r="C39" s="57"/>
      <c r="D39" s="58">
        <f t="shared" si="1"/>
        <v>0</v>
      </c>
      <c r="E39" s="57"/>
      <c r="F39" s="57"/>
      <c r="G39" s="55"/>
      <c r="H39" s="55"/>
      <c r="I39" s="56"/>
    </row>
    <row r="40">
      <c r="A40" s="57"/>
      <c r="B40" s="57"/>
      <c r="C40" s="57"/>
      <c r="D40" s="58">
        <f t="shared" si="1"/>
        <v>0</v>
      </c>
      <c r="E40" s="57"/>
      <c r="F40" s="57"/>
      <c r="G40" s="55"/>
      <c r="H40" s="55"/>
      <c r="I40" s="56"/>
    </row>
    <row r="41">
      <c r="A41" s="57"/>
      <c r="B41" s="57"/>
      <c r="C41" s="57"/>
      <c r="D41" s="58">
        <f t="shared" si="1"/>
        <v>0</v>
      </c>
      <c r="E41" s="57"/>
      <c r="F41" s="57"/>
      <c r="G41" s="55"/>
      <c r="H41" s="55"/>
      <c r="I41" s="56"/>
    </row>
    <row r="42">
      <c r="A42" s="57"/>
      <c r="B42" s="57"/>
      <c r="C42" s="57"/>
      <c r="D42" s="58">
        <f t="shared" si="1"/>
        <v>0</v>
      </c>
      <c r="E42" s="57"/>
      <c r="F42" s="57"/>
      <c r="G42" s="55"/>
      <c r="H42" s="55"/>
      <c r="I42" s="56"/>
    </row>
    <row r="43">
      <c r="A43" s="57"/>
      <c r="B43" s="57"/>
      <c r="C43" s="57"/>
      <c r="D43" s="58">
        <f t="shared" si="1"/>
        <v>0</v>
      </c>
      <c r="E43" s="57"/>
      <c r="F43" s="57"/>
      <c r="G43" s="55"/>
      <c r="H43" s="55"/>
      <c r="I43" s="56"/>
    </row>
    <row r="44">
      <c r="A44" s="57"/>
      <c r="B44" s="57"/>
      <c r="C44" s="57"/>
      <c r="D44" s="58">
        <f t="shared" si="1"/>
        <v>0</v>
      </c>
      <c r="E44" s="57"/>
      <c r="F44" s="57"/>
      <c r="G44" s="55"/>
      <c r="H44" s="55"/>
      <c r="I44" s="56"/>
    </row>
    <row r="45">
      <c r="A45" s="57"/>
      <c r="B45" s="57"/>
      <c r="C45" s="57"/>
      <c r="D45" s="58">
        <f t="shared" si="1"/>
        <v>0</v>
      </c>
      <c r="E45" s="57"/>
      <c r="F45" s="57"/>
      <c r="G45" s="55"/>
      <c r="H45" s="55"/>
      <c r="I45" s="56"/>
    </row>
    <row r="46">
      <c r="A46" s="57"/>
      <c r="B46" s="57"/>
      <c r="C46" s="57"/>
      <c r="D46" s="58">
        <f t="shared" si="1"/>
        <v>0</v>
      </c>
      <c r="E46" s="57"/>
      <c r="F46" s="57"/>
      <c r="G46" s="55"/>
      <c r="H46" s="55"/>
      <c r="I46" s="56"/>
    </row>
    <row r="47">
      <c r="A47" s="57"/>
      <c r="B47" s="57"/>
      <c r="C47" s="57"/>
      <c r="D47" s="58">
        <f t="shared" si="1"/>
        <v>0</v>
      </c>
      <c r="E47" s="57"/>
      <c r="F47" s="57"/>
      <c r="G47" s="55"/>
      <c r="H47" s="55"/>
      <c r="I47" s="56"/>
    </row>
    <row r="48">
      <c r="A48" s="57"/>
      <c r="B48" s="57"/>
      <c r="C48" s="57"/>
      <c r="D48" s="58">
        <f t="shared" si="1"/>
        <v>0</v>
      </c>
      <c r="E48" s="57"/>
      <c r="F48" s="57"/>
      <c r="G48" s="55"/>
      <c r="H48" s="55"/>
      <c r="I48" s="56"/>
    </row>
    <row r="49">
      <c r="A49" s="57"/>
      <c r="B49" s="57"/>
      <c r="C49" s="57"/>
      <c r="D49" s="58">
        <f t="shared" si="1"/>
        <v>0</v>
      </c>
      <c r="E49" s="57"/>
      <c r="F49" s="57"/>
      <c r="G49" s="55"/>
      <c r="H49" s="55"/>
      <c r="I49" s="56"/>
    </row>
    <row r="50">
      <c r="A50" s="57"/>
      <c r="B50" s="57"/>
      <c r="C50" s="57"/>
      <c r="D50" s="58">
        <f t="shared" si="1"/>
        <v>0</v>
      </c>
      <c r="E50" s="57"/>
      <c r="F50" s="57"/>
      <c r="G50" s="55"/>
      <c r="H50" s="55"/>
      <c r="I50" s="56"/>
    </row>
    <row r="51">
      <c r="A51" s="57"/>
      <c r="B51" s="57"/>
      <c r="C51" s="57"/>
      <c r="D51" s="58">
        <f t="shared" si="1"/>
        <v>0</v>
      </c>
      <c r="E51" s="57"/>
      <c r="F51" s="57"/>
      <c r="G51" s="55"/>
      <c r="H51" s="55"/>
      <c r="I51" s="56"/>
    </row>
    <row r="52">
      <c r="A52" s="57"/>
      <c r="B52" s="57"/>
      <c r="C52" s="57"/>
      <c r="D52" s="58">
        <f t="shared" si="1"/>
        <v>0</v>
      </c>
      <c r="E52" s="57"/>
      <c r="F52" s="57"/>
      <c r="G52" s="55"/>
      <c r="H52" s="55"/>
      <c r="I52" s="56"/>
    </row>
    <row r="53">
      <c r="A53" s="57"/>
      <c r="B53" s="57"/>
      <c r="C53" s="57"/>
      <c r="D53" s="58">
        <f t="shared" si="1"/>
        <v>0</v>
      </c>
      <c r="E53" s="57"/>
      <c r="F53" s="57"/>
      <c r="G53" s="55"/>
      <c r="H53" s="55"/>
      <c r="I53" s="56"/>
    </row>
    <row r="54">
      <c r="A54" s="57"/>
      <c r="B54" s="57"/>
      <c r="C54" s="57"/>
      <c r="D54" s="58">
        <f t="shared" si="1"/>
        <v>0</v>
      </c>
      <c r="E54" s="57"/>
      <c r="F54" s="57"/>
      <c r="G54" s="55"/>
      <c r="H54" s="55"/>
      <c r="I54" s="56"/>
    </row>
    <row r="55">
      <c r="A55" s="57"/>
      <c r="B55" s="57"/>
      <c r="C55" s="57"/>
      <c r="D55" s="58">
        <f t="shared" si="1"/>
        <v>0</v>
      </c>
      <c r="E55" s="57"/>
      <c r="F55" s="57"/>
      <c r="G55" s="55"/>
      <c r="H55" s="55"/>
      <c r="I55" s="56"/>
    </row>
    <row r="56">
      <c r="A56" s="57"/>
      <c r="B56" s="57"/>
      <c r="C56" s="57"/>
      <c r="D56" s="58">
        <f t="shared" si="1"/>
        <v>0</v>
      </c>
      <c r="E56" s="57"/>
      <c r="F56" s="57"/>
      <c r="G56" s="55"/>
      <c r="H56" s="55"/>
      <c r="I56" s="56"/>
    </row>
    <row r="57">
      <c r="A57" s="57"/>
      <c r="B57" s="57"/>
      <c r="C57" s="57"/>
      <c r="D57" s="58">
        <f t="shared" si="1"/>
        <v>0</v>
      </c>
      <c r="E57" s="57"/>
      <c r="F57" s="57"/>
      <c r="G57" s="55"/>
      <c r="H57" s="55"/>
      <c r="I57" s="56"/>
    </row>
    <row r="58">
      <c r="A58" s="57"/>
      <c r="B58" s="57"/>
      <c r="C58" s="57"/>
      <c r="D58" s="58">
        <f t="shared" si="1"/>
        <v>0</v>
      </c>
      <c r="E58" s="57"/>
      <c r="F58" s="57"/>
      <c r="G58" s="55"/>
      <c r="H58" s="55"/>
      <c r="I58" s="56"/>
    </row>
    <row r="59">
      <c r="A59" s="57"/>
      <c r="B59" s="57"/>
      <c r="C59" s="57"/>
      <c r="D59" s="58">
        <f t="shared" si="1"/>
        <v>0</v>
      </c>
      <c r="E59" s="57"/>
      <c r="F59" s="57"/>
      <c r="G59" s="55"/>
      <c r="H59" s="55"/>
      <c r="I59" s="56"/>
    </row>
    <row r="60">
      <c r="A60" s="57"/>
      <c r="B60" s="57"/>
      <c r="C60" s="57"/>
      <c r="D60" s="58">
        <f t="shared" si="1"/>
        <v>0</v>
      </c>
      <c r="E60" s="57"/>
      <c r="F60" s="57"/>
      <c r="G60" s="55"/>
      <c r="H60" s="55"/>
      <c r="I60" s="56"/>
    </row>
    <row r="61">
      <c r="A61" s="57"/>
      <c r="B61" s="57"/>
      <c r="C61" s="57"/>
      <c r="D61" s="58">
        <f t="shared" si="1"/>
        <v>0</v>
      </c>
      <c r="E61" s="57"/>
      <c r="F61" s="57"/>
      <c r="G61" s="55"/>
      <c r="H61" s="55"/>
      <c r="I61" s="56"/>
    </row>
    <row r="62">
      <c r="A62" s="57"/>
      <c r="B62" s="57"/>
      <c r="C62" s="57"/>
      <c r="D62" s="58">
        <f t="shared" si="1"/>
        <v>0</v>
      </c>
      <c r="E62" s="57"/>
      <c r="F62" s="57"/>
      <c r="G62" s="55"/>
      <c r="H62" s="55"/>
      <c r="I62" s="56"/>
    </row>
    <row r="63">
      <c r="A63" s="57"/>
      <c r="B63" s="57"/>
      <c r="C63" s="57"/>
      <c r="D63" s="58">
        <f t="shared" si="1"/>
        <v>0</v>
      </c>
      <c r="E63" s="57"/>
      <c r="F63" s="57"/>
      <c r="G63" s="55"/>
      <c r="H63" s="55"/>
      <c r="I63" s="56"/>
    </row>
    <row r="64">
      <c r="A64" s="57"/>
      <c r="B64" s="57"/>
      <c r="C64" s="57"/>
      <c r="D64" s="58">
        <f t="shared" si="1"/>
        <v>0</v>
      </c>
      <c r="E64" s="57"/>
      <c r="F64" s="57"/>
      <c r="G64" s="55"/>
      <c r="H64" s="55"/>
      <c r="I64" s="56"/>
    </row>
    <row r="65">
      <c r="A65" s="57"/>
      <c r="B65" s="57"/>
      <c r="C65" s="57"/>
      <c r="D65" s="58">
        <f t="shared" si="1"/>
        <v>0</v>
      </c>
      <c r="E65" s="57"/>
      <c r="F65" s="57"/>
      <c r="G65" s="55"/>
      <c r="H65" s="55"/>
      <c r="I65" s="56"/>
    </row>
    <row r="66">
      <c r="A66" s="57"/>
      <c r="B66" s="57"/>
      <c r="C66" s="57"/>
      <c r="D66" s="58">
        <f t="shared" si="1"/>
        <v>0</v>
      </c>
      <c r="E66" s="57"/>
      <c r="F66" s="57"/>
      <c r="G66" s="55"/>
      <c r="H66" s="55"/>
      <c r="I66" s="56"/>
    </row>
    <row r="67">
      <c r="A67" s="57"/>
      <c r="B67" s="57"/>
      <c r="C67" s="57"/>
      <c r="D67" s="58">
        <f t="shared" si="1"/>
        <v>0</v>
      </c>
      <c r="E67" s="57"/>
      <c r="F67" s="57"/>
      <c r="G67" s="55"/>
      <c r="H67" s="55"/>
      <c r="I67" s="56"/>
    </row>
    <row r="68">
      <c r="A68" s="57"/>
      <c r="B68" s="57"/>
      <c r="C68" s="57"/>
      <c r="D68" s="58">
        <f t="shared" si="1"/>
        <v>0</v>
      </c>
      <c r="E68" s="57"/>
      <c r="F68" s="57"/>
      <c r="G68" s="55"/>
      <c r="H68" s="55"/>
      <c r="I68" s="56"/>
    </row>
    <row r="69">
      <c r="A69" s="57"/>
      <c r="B69" s="57"/>
      <c r="C69" s="57"/>
      <c r="D69" s="58">
        <f t="shared" si="1"/>
        <v>0</v>
      </c>
      <c r="E69" s="57"/>
      <c r="F69" s="57"/>
      <c r="G69" s="55"/>
      <c r="H69" s="55"/>
      <c r="I69" s="56"/>
    </row>
    <row r="70">
      <c r="A70" s="57"/>
      <c r="B70" s="57"/>
      <c r="C70" s="57"/>
      <c r="D70" s="58">
        <f t="shared" si="1"/>
        <v>0</v>
      </c>
      <c r="E70" s="57"/>
      <c r="F70" s="57"/>
      <c r="G70" s="55"/>
      <c r="H70" s="55"/>
      <c r="I70" s="56"/>
    </row>
    <row r="71">
      <c r="A71" s="57"/>
      <c r="B71" s="57"/>
      <c r="C71" s="57"/>
      <c r="D71" s="58">
        <f t="shared" si="1"/>
        <v>0</v>
      </c>
      <c r="E71" s="57"/>
      <c r="F71" s="57"/>
      <c r="G71" s="55"/>
      <c r="H71" s="55"/>
      <c r="I71" s="56"/>
    </row>
    <row r="72">
      <c r="A72" s="57"/>
      <c r="B72" s="57"/>
      <c r="C72" s="57"/>
      <c r="D72" s="58">
        <f t="shared" si="1"/>
        <v>0</v>
      </c>
      <c r="E72" s="57"/>
      <c r="F72" s="57"/>
      <c r="G72" s="55"/>
      <c r="H72" s="55"/>
      <c r="I72" s="56"/>
    </row>
    <row r="73">
      <c r="A73" s="57"/>
      <c r="B73" s="57"/>
      <c r="C73" s="57"/>
      <c r="D73" s="58">
        <f t="shared" si="1"/>
        <v>0</v>
      </c>
      <c r="E73" s="57"/>
      <c r="F73" s="57"/>
      <c r="G73" s="55"/>
      <c r="H73" s="55"/>
      <c r="I73" s="56"/>
    </row>
    <row r="74">
      <c r="A74" s="57"/>
      <c r="B74" s="57"/>
      <c r="C74" s="57"/>
      <c r="D74" s="58">
        <f t="shared" si="1"/>
        <v>0</v>
      </c>
      <c r="E74" s="57"/>
      <c r="F74" s="57"/>
      <c r="G74" s="55"/>
      <c r="H74" s="55"/>
      <c r="I74" s="56"/>
    </row>
    <row r="75">
      <c r="A75" s="57"/>
      <c r="B75" s="57"/>
      <c r="C75" s="57"/>
      <c r="D75" s="58">
        <f t="shared" si="1"/>
        <v>0</v>
      </c>
      <c r="E75" s="57"/>
      <c r="F75" s="57"/>
      <c r="G75" s="55"/>
      <c r="H75" s="55"/>
      <c r="I75" s="56"/>
    </row>
    <row r="76">
      <c r="A76" s="57"/>
      <c r="B76" s="57"/>
      <c r="C76" s="57"/>
      <c r="D76" s="58">
        <f t="shared" si="1"/>
        <v>0</v>
      </c>
      <c r="E76" s="57"/>
      <c r="F76" s="57"/>
      <c r="G76" s="55"/>
      <c r="H76" s="55"/>
      <c r="I76" s="56"/>
    </row>
    <row r="77">
      <c r="A77" s="57"/>
      <c r="B77" s="57"/>
      <c r="C77" s="57"/>
      <c r="D77" s="58">
        <f t="shared" si="1"/>
        <v>0</v>
      </c>
      <c r="E77" s="57"/>
      <c r="F77" s="57"/>
      <c r="G77" s="55"/>
      <c r="H77" s="55"/>
      <c r="I77" s="56"/>
    </row>
    <row r="78">
      <c r="A78" s="57"/>
      <c r="B78" s="57"/>
      <c r="C78" s="57"/>
      <c r="D78" s="58">
        <f t="shared" si="1"/>
        <v>0</v>
      </c>
      <c r="E78" s="57"/>
      <c r="F78" s="57"/>
      <c r="G78" s="55"/>
      <c r="H78" s="55"/>
      <c r="I78" s="56"/>
    </row>
    <row r="79">
      <c r="A79" s="57"/>
      <c r="B79" s="57"/>
      <c r="C79" s="57"/>
      <c r="D79" s="58">
        <f t="shared" si="1"/>
        <v>0</v>
      </c>
      <c r="E79" s="57"/>
      <c r="F79" s="57"/>
      <c r="G79" s="55"/>
      <c r="H79" s="55"/>
      <c r="I79" s="56"/>
    </row>
    <row r="80">
      <c r="A80" s="57"/>
      <c r="B80" s="57"/>
      <c r="C80" s="57"/>
      <c r="D80" s="58">
        <f t="shared" si="1"/>
        <v>0</v>
      </c>
      <c r="E80" s="57"/>
      <c r="F80" s="57"/>
      <c r="G80" s="55"/>
      <c r="H80" s="55"/>
      <c r="I80" s="56"/>
    </row>
    <row r="81">
      <c r="A81" s="57"/>
      <c r="B81" s="57"/>
      <c r="C81" s="57"/>
      <c r="D81" s="58">
        <f t="shared" si="1"/>
        <v>0</v>
      </c>
      <c r="E81" s="57"/>
      <c r="F81" s="57"/>
      <c r="G81" s="55"/>
      <c r="H81" s="55"/>
      <c r="I81" s="56"/>
    </row>
    <row r="82">
      <c r="A82" s="57"/>
      <c r="B82" s="57"/>
      <c r="C82" s="57"/>
      <c r="D82" s="58">
        <f t="shared" si="1"/>
        <v>0</v>
      </c>
      <c r="E82" s="57"/>
      <c r="F82" s="57"/>
      <c r="G82" s="55"/>
      <c r="H82" s="55"/>
      <c r="I82" s="56"/>
    </row>
    <row r="83">
      <c r="A83" s="57"/>
      <c r="B83" s="57"/>
      <c r="C83" s="57"/>
      <c r="D83" s="58">
        <f t="shared" si="1"/>
        <v>0</v>
      </c>
      <c r="E83" s="57"/>
      <c r="F83" s="57"/>
      <c r="G83" s="55"/>
      <c r="H83" s="55"/>
      <c r="I83" s="56"/>
    </row>
    <row r="84">
      <c r="A84" s="57"/>
      <c r="B84" s="57"/>
      <c r="C84" s="57"/>
      <c r="D84" s="58">
        <f t="shared" si="1"/>
        <v>0</v>
      </c>
      <c r="E84" s="57"/>
      <c r="F84" s="57"/>
      <c r="G84" s="55"/>
      <c r="H84" s="55"/>
      <c r="I84" s="56"/>
    </row>
    <row r="85">
      <c r="A85" s="57"/>
      <c r="B85" s="57"/>
      <c r="C85" s="57"/>
      <c r="D85" s="58">
        <f t="shared" si="1"/>
        <v>0</v>
      </c>
      <c r="E85" s="57"/>
      <c r="F85" s="57"/>
      <c r="G85" s="55"/>
      <c r="H85" s="55"/>
      <c r="I85" s="56"/>
    </row>
    <row r="86">
      <c r="A86" s="57"/>
      <c r="B86" s="57"/>
      <c r="C86" s="57"/>
      <c r="D86" s="58">
        <f t="shared" si="1"/>
        <v>0</v>
      </c>
      <c r="E86" s="57"/>
      <c r="F86" s="57"/>
      <c r="G86" s="55"/>
      <c r="H86" s="55"/>
      <c r="I86" s="56"/>
    </row>
    <row r="87">
      <c r="A87" s="57"/>
      <c r="B87" s="57"/>
      <c r="C87" s="57"/>
      <c r="D87" s="58">
        <f t="shared" si="1"/>
        <v>0</v>
      </c>
      <c r="E87" s="57"/>
      <c r="F87" s="57"/>
      <c r="G87" s="55"/>
      <c r="H87" s="55"/>
      <c r="I87" s="56"/>
    </row>
    <row r="88">
      <c r="A88" s="57"/>
      <c r="B88" s="57"/>
      <c r="C88" s="57"/>
      <c r="D88" s="58">
        <f t="shared" si="1"/>
        <v>0</v>
      </c>
      <c r="E88" s="57"/>
      <c r="F88" s="57"/>
      <c r="G88" s="55"/>
      <c r="H88" s="55"/>
      <c r="I88" s="56"/>
    </row>
    <row r="89">
      <c r="A89" s="57"/>
      <c r="B89" s="57"/>
      <c r="C89" s="57"/>
      <c r="D89" s="58">
        <f t="shared" si="1"/>
        <v>0</v>
      </c>
      <c r="E89" s="57"/>
      <c r="F89" s="57"/>
      <c r="G89" s="55"/>
      <c r="H89" s="55"/>
      <c r="I89" s="56"/>
    </row>
    <row r="90">
      <c r="A90" s="57"/>
      <c r="B90" s="57"/>
      <c r="C90" s="57"/>
      <c r="D90" s="58">
        <f t="shared" si="1"/>
        <v>0</v>
      </c>
      <c r="E90" s="57"/>
      <c r="F90" s="57"/>
      <c r="G90" s="55"/>
      <c r="H90" s="55"/>
      <c r="I90" s="56"/>
    </row>
    <row r="91">
      <c r="A91" s="57"/>
      <c r="B91" s="57"/>
      <c r="C91" s="57"/>
      <c r="D91" s="58">
        <f t="shared" si="1"/>
        <v>0</v>
      </c>
      <c r="E91" s="57"/>
      <c r="F91" s="57"/>
      <c r="G91" s="55"/>
      <c r="H91" s="55"/>
      <c r="I91" s="56"/>
    </row>
    <row r="92">
      <c r="A92" s="57"/>
      <c r="B92" s="57"/>
      <c r="C92" s="57"/>
      <c r="D92" s="58">
        <f t="shared" si="1"/>
        <v>0</v>
      </c>
      <c r="E92" s="57"/>
      <c r="F92" s="57"/>
      <c r="G92" s="55"/>
      <c r="H92" s="55"/>
      <c r="I92" s="56"/>
    </row>
    <row r="93">
      <c r="A93" s="57"/>
      <c r="B93" s="57"/>
      <c r="C93" s="57"/>
      <c r="D93" s="58">
        <f t="shared" si="1"/>
        <v>0</v>
      </c>
      <c r="E93" s="57"/>
      <c r="F93" s="57"/>
      <c r="G93" s="55"/>
      <c r="H93" s="55"/>
      <c r="I93" s="56"/>
    </row>
    <row r="94">
      <c r="A94" s="57"/>
      <c r="B94" s="57"/>
      <c r="C94" s="57"/>
      <c r="D94" s="58">
        <f t="shared" si="1"/>
        <v>0</v>
      </c>
      <c r="E94" s="57"/>
      <c r="F94" s="57"/>
      <c r="G94" s="55"/>
      <c r="H94" s="55"/>
      <c r="I94" s="56"/>
    </row>
    <row r="95">
      <c r="A95" s="57"/>
      <c r="B95" s="57"/>
      <c r="C95" s="57"/>
      <c r="D95" s="58">
        <f t="shared" si="1"/>
        <v>0</v>
      </c>
      <c r="E95" s="57"/>
      <c r="F95" s="57"/>
      <c r="G95" s="55"/>
      <c r="H95" s="55"/>
      <c r="I95" s="56"/>
    </row>
    <row r="96">
      <c r="A96" s="57"/>
      <c r="B96" s="57"/>
      <c r="C96" s="57"/>
      <c r="D96" s="58">
        <f t="shared" si="1"/>
        <v>0</v>
      </c>
      <c r="E96" s="57"/>
      <c r="F96" s="57"/>
      <c r="G96" s="55"/>
      <c r="H96" s="55"/>
      <c r="I96" s="56"/>
    </row>
    <row r="97">
      <c r="A97" s="57"/>
      <c r="B97" s="57"/>
      <c r="C97" s="57"/>
      <c r="D97" s="58">
        <f t="shared" si="1"/>
        <v>0</v>
      </c>
      <c r="E97" s="57"/>
      <c r="F97" s="57"/>
      <c r="G97" s="55"/>
      <c r="H97" s="55"/>
      <c r="I97" s="56"/>
    </row>
    <row r="98">
      <c r="A98" s="57"/>
      <c r="B98" s="57"/>
      <c r="C98" s="57"/>
      <c r="D98" s="58">
        <f t="shared" si="1"/>
        <v>0</v>
      </c>
      <c r="E98" s="57"/>
      <c r="F98" s="57"/>
      <c r="G98" s="55"/>
      <c r="H98" s="55"/>
      <c r="I98" s="56"/>
    </row>
    <row r="99">
      <c r="A99" s="57"/>
      <c r="B99" s="57"/>
      <c r="C99" s="57"/>
      <c r="D99" s="58">
        <f t="shared" si="1"/>
        <v>0</v>
      </c>
      <c r="E99" s="57"/>
      <c r="F99" s="57"/>
      <c r="G99" s="55"/>
      <c r="H99" s="55"/>
      <c r="I99" s="56"/>
    </row>
    <row r="100">
      <c r="A100" s="57"/>
      <c r="B100" s="57"/>
      <c r="C100" s="57"/>
      <c r="D100" s="58">
        <f t="shared" si="1"/>
        <v>0</v>
      </c>
      <c r="E100" s="57"/>
      <c r="F100" s="57"/>
      <c r="G100" s="55"/>
      <c r="H100" s="55"/>
      <c r="I100" s="56"/>
    </row>
    <row r="101">
      <c r="A101" s="57"/>
      <c r="B101" s="57"/>
      <c r="C101" s="57"/>
      <c r="D101" s="58">
        <f t="shared" si="1"/>
        <v>0</v>
      </c>
      <c r="E101" s="57"/>
      <c r="F101" s="57"/>
      <c r="G101" s="55"/>
      <c r="H101" s="55"/>
      <c r="I101" s="56"/>
    </row>
    <row r="102">
      <c r="A102" s="57"/>
      <c r="B102" s="57"/>
      <c r="C102" s="57"/>
      <c r="D102" s="58">
        <f t="shared" si="1"/>
        <v>0</v>
      </c>
      <c r="E102" s="57"/>
      <c r="F102" s="57"/>
      <c r="G102" s="55"/>
      <c r="H102" s="55"/>
      <c r="I102" s="56"/>
    </row>
    <row r="103">
      <c r="A103" s="57"/>
      <c r="B103" s="57"/>
      <c r="C103" s="57"/>
      <c r="D103" s="58">
        <f t="shared" si="1"/>
        <v>0</v>
      </c>
      <c r="E103" s="57"/>
      <c r="F103" s="57"/>
      <c r="G103" s="55"/>
      <c r="H103" s="55"/>
      <c r="I103" s="56"/>
    </row>
    <row r="104">
      <c r="A104" s="57"/>
      <c r="B104" s="57"/>
      <c r="C104" s="57"/>
      <c r="D104" s="58">
        <f t="shared" si="1"/>
        <v>0</v>
      </c>
      <c r="E104" s="57"/>
      <c r="F104" s="57"/>
      <c r="G104" s="55"/>
      <c r="H104" s="55"/>
      <c r="I104" s="56"/>
    </row>
    <row r="105">
      <c r="A105" s="57"/>
      <c r="B105" s="57"/>
      <c r="C105" s="57"/>
      <c r="D105" s="58">
        <f t="shared" si="1"/>
        <v>0</v>
      </c>
      <c r="E105" s="57"/>
      <c r="F105" s="57"/>
      <c r="G105" s="55"/>
      <c r="H105" s="55"/>
      <c r="I105" s="56"/>
    </row>
    <row r="106">
      <c r="A106" s="57"/>
      <c r="B106" s="57"/>
      <c r="C106" s="57"/>
      <c r="D106" s="58">
        <f t="shared" si="1"/>
        <v>0</v>
      </c>
      <c r="E106" s="57"/>
      <c r="F106" s="57"/>
      <c r="G106" s="55"/>
      <c r="H106" s="55"/>
      <c r="I106" s="56"/>
    </row>
    <row r="107">
      <c r="A107" s="57"/>
      <c r="B107" s="57"/>
      <c r="C107" s="57"/>
      <c r="D107" s="58">
        <f t="shared" si="1"/>
        <v>0</v>
      </c>
      <c r="E107" s="57"/>
      <c r="F107" s="57"/>
      <c r="G107" s="55"/>
      <c r="H107" s="55"/>
      <c r="I107" s="56"/>
    </row>
    <row r="108">
      <c r="A108" s="57"/>
      <c r="B108" s="57"/>
      <c r="C108" s="57"/>
      <c r="D108" s="58">
        <f t="shared" si="1"/>
        <v>0</v>
      </c>
      <c r="E108" s="57"/>
      <c r="F108" s="57"/>
      <c r="G108" s="55"/>
      <c r="H108" s="55"/>
      <c r="I108" s="56"/>
    </row>
    <row r="109">
      <c r="A109" s="57"/>
      <c r="B109" s="57"/>
      <c r="C109" s="57"/>
      <c r="D109" s="58">
        <f t="shared" si="1"/>
        <v>0</v>
      </c>
      <c r="E109" s="57"/>
      <c r="F109" s="57"/>
      <c r="G109" s="55"/>
      <c r="H109" s="55"/>
      <c r="I109" s="56"/>
    </row>
    <row r="110">
      <c r="A110" s="57"/>
      <c r="B110" s="57"/>
      <c r="C110" s="57"/>
      <c r="D110" s="58">
        <f t="shared" si="1"/>
        <v>0</v>
      </c>
      <c r="E110" s="57"/>
      <c r="F110" s="57"/>
      <c r="G110" s="55"/>
      <c r="H110" s="55"/>
      <c r="I110" s="56"/>
    </row>
    <row r="111">
      <c r="A111" s="57"/>
      <c r="B111" s="57"/>
      <c r="C111" s="57"/>
      <c r="D111" s="58">
        <f t="shared" si="1"/>
        <v>0</v>
      </c>
      <c r="E111" s="57"/>
      <c r="F111" s="57"/>
      <c r="G111" s="55"/>
      <c r="H111" s="55"/>
      <c r="I111" s="56"/>
    </row>
    <row r="112">
      <c r="A112" s="57"/>
      <c r="B112" s="57"/>
      <c r="C112" s="57"/>
      <c r="D112" s="58">
        <f t="shared" si="1"/>
        <v>0</v>
      </c>
      <c r="E112" s="57"/>
      <c r="F112" s="57"/>
      <c r="G112" s="55"/>
      <c r="H112" s="55"/>
      <c r="I112" s="56"/>
    </row>
    <row r="113">
      <c r="A113" s="57"/>
      <c r="B113" s="57"/>
      <c r="C113" s="57"/>
      <c r="D113" s="58">
        <f t="shared" si="1"/>
        <v>0</v>
      </c>
      <c r="E113" s="57"/>
      <c r="F113" s="57"/>
      <c r="G113" s="55"/>
      <c r="H113" s="55"/>
      <c r="I113" s="56"/>
    </row>
    <row r="114">
      <c r="A114" s="57"/>
      <c r="B114" s="57"/>
      <c r="C114" s="57"/>
      <c r="D114" s="58">
        <f t="shared" si="1"/>
        <v>0</v>
      </c>
      <c r="E114" s="57"/>
      <c r="F114" s="57"/>
      <c r="G114" s="55"/>
      <c r="H114" s="55"/>
      <c r="I114" s="56"/>
    </row>
    <row r="115">
      <c r="A115" s="57"/>
      <c r="B115" s="57"/>
      <c r="C115" s="57"/>
      <c r="D115" s="58">
        <f t="shared" si="1"/>
        <v>0</v>
      </c>
      <c r="E115" s="57"/>
      <c r="F115" s="57"/>
      <c r="G115" s="55"/>
      <c r="H115" s="55"/>
      <c r="I115" s="56"/>
    </row>
    <row r="116">
      <c r="A116" s="57"/>
      <c r="B116" s="57"/>
      <c r="C116" s="57"/>
      <c r="D116" s="58">
        <f t="shared" si="1"/>
        <v>0</v>
      </c>
      <c r="E116" s="57"/>
      <c r="F116" s="57"/>
      <c r="G116" s="55"/>
      <c r="H116" s="55"/>
      <c r="I116" s="56"/>
    </row>
    <row r="117">
      <c r="A117" s="57"/>
      <c r="B117" s="57"/>
      <c r="C117" s="57"/>
      <c r="D117" s="58">
        <f t="shared" si="1"/>
        <v>0</v>
      </c>
      <c r="E117" s="57"/>
      <c r="F117" s="57"/>
      <c r="G117" s="55"/>
      <c r="H117" s="55"/>
      <c r="I117" s="56"/>
    </row>
    <row r="118">
      <c r="A118" s="57"/>
      <c r="B118" s="57"/>
      <c r="C118" s="57"/>
      <c r="D118" s="58">
        <f t="shared" si="1"/>
        <v>0</v>
      </c>
      <c r="E118" s="57"/>
      <c r="F118" s="57"/>
      <c r="G118" s="55"/>
      <c r="H118" s="55"/>
      <c r="I118" s="56"/>
    </row>
    <row r="119">
      <c r="A119" s="57"/>
      <c r="B119" s="57"/>
      <c r="C119" s="57"/>
      <c r="D119" s="58">
        <f t="shared" si="1"/>
        <v>0</v>
      </c>
      <c r="E119" s="57"/>
      <c r="F119" s="57"/>
      <c r="G119" s="55"/>
      <c r="H119" s="55"/>
      <c r="I119" s="56"/>
    </row>
    <row r="120">
      <c r="A120" s="57"/>
      <c r="B120" s="57"/>
      <c r="C120" s="57"/>
      <c r="D120" s="58">
        <f t="shared" si="1"/>
        <v>0</v>
      </c>
      <c r="E120" s="57"/>
      <c r="F120" s="57"/>
      <c r="G120" s="55"/>
      <c r="H120" s="55"/>
      <c r="I120" s="56"/>
    </row>
    <row r="121">
      <c r="A121" s="57"/>
      <c r="B121" s="57"/>
      <c r="C121" s="57"/>
      <c r="D121" s="58">
        <f t="shared" si="1"/>
        <v>0</v>
      </c>
      <c r="E121" s="57"/>
      <c r="F121" s="57"/>
      <c r="G121" s="55"/>
      <c r="H121" s="55"/>
      <c r="I121" s="56"/>
    </row>
    <row r="122">
      <c r="A122" s="57"/>
      <c r="B122" s="57"/>
      <c r="C122" s="57"/>
      <c r="D122" s="58">
        <f t="shared" si="1"/>
        <v>0</v>
      </c>
      <c r="E122" s="57"/>
      <c r="F122" s="57"/>
      <c r="G122" s="55"/>
      <c r="H122" s="55"/>
      <c r="I122" s="56"/>
    </row>
    <row r="123">
      <c r="A123" s="57"/>
      <c r="B123" s="57"/>
      <c r="C123" s="57"/>
      <c r="D123" s="58">
        <f t="shared" si="1"/>
        <v>0</v>
      </c>
      <c r="E123" s="57"/>
      <c r="F123" s="57"/>
      <c r="G123" s="55"/>
      <c r="H123" s="55"/>
      <c r="I123" s="56"/>
    </row>
    <row r="124">
      <c r="A124" s="57"/>
      <c r="B124" s="57"/>
      <c r="C124" s="57"/>
      <c r="D124" s="58">
        <f t="shared" si="1"/>
        <v>0</v>
      </c>
      <c r="E124" s="57"/>
      <c r="F124" s="57"/>
      <c r="G124" s="55"/>
      <c r="H124" s="55"/>
      <c r="I124" s="56"/>
    </row>
    <row r="125">
      <c r="A125" s="57"/>
      <c r="B125" s="57"/>
      <c r="C125" s="57"/>
      <c r="D125" s="58">
        <f t="shared" si="1"/>
        <v>0</v>
      </c>
      <c r="E125" s="57"/>
      <c r="F125" s="57"/>
      <c r="G125" s="55"/>
      <c r="H125" s="55"/>
      <c r="I125" s="56"/>
    </row>
    <row r="126">
      <c r="A126" s="57"/>
      <c r="B126" s="57"/>
      <c r="C126" s="57"/>
      <c r="D126" s="58">
        <f t="shared" si="1"/>
        <v>0</v>
      </c>
      <c r="E126" s="57"/>
      <c r="F126" s="57"/>
      <c r="G126" s="55"/>
      <c r="H126" s="55"/>
      <c r="I126" s="56"/>
    </row>
    <row r="127">
      <c r="A127" s="57"/>
      <c r="B127" s="57"/>
      <c r="C127" s="57"/>
      <c r="D127" s="58">
        <f t="shared" si="1"/>
        <v>0</v>
      </c>
      <c r="E127" s="57"/>
      <c r="F127" s="57"/>
      <c r="G127" s="55"/>
      <c r="H127" s="55"/>
      <c r="I127" s="56"/>
    </row>
    <row r="128">
      <c r="A128" s="57"/>
      <c r="B128" s="57"/>
      <c r="C128" s="57"/>
      <c r="D128" s="58">
        <f t="shared" si="1"/>
        <v>0</v>
      </c>
      <c r="E128" s="57"/>
      <c r="F128" s="57"/>
      <c r="G128" s="55"/>
      <c r="H128" s="55"/>
      <c r="I128" s="56"/>
    </row>
    <row r="129">
      <c r="A129" s="57"/>
      <c r="B129" s="57"/>
      <c r="C129" s="57"/>
      <c r="D129" s="58">
        <f t="shared" si="1"/>
        <v>0</v>
      </c>
      <c r="E129" s="57"/>
      <c r="F129" s="57"/>
      <c r="G129" s="55"/>
      <c r="H129" s="55"/>
      <c r="I129" s="56"/>
    </row>
    <row r="130">
      <c r="A130" s="57"/>
      <c r="B130" s="57"/>
      <c r="C130" s="57"/>
      <c r="D130" s="58">
        <f t="shared" si="1"/>
        <v>0</v>
      </c>
      <c r="E130" s="57"/>
      <c r="F130" s="57"/>
      <c r="G130" s="55"/>
      <c r="H130" s="55"/>
      <c r="I130" s="56"/>
    </row>
    <row r="131">
      <c r="A131" s="57"/>
      <c r="B131" s="57"/>
      <c r="C131" s="57"/>
      <c r="D131" s="58">
        <f t="shared" si="1"/>
        <v>0</v>
      </c>
      <c r="E131" s="57"/>
      <c r="F131" s="57"/>
      <c r="G131" s="55"/>
      <c r="H131" s="55"/>
      <c r="I131" s="56"/>
    </row>
    <row r="132">
      <c r="A132" s="57"/>
      <c r="B132" s="57"/>
      <c r="C132" s="57"/>
      <c r="D132" s="58">
        <f t="shared" si="1"/>
        <v>0</v>
      </c>
      <c r="E132" s="57"/>
      <c r="F132" s="57"/>
      <c r="G132" s="55"/>
      <c r="H132" s="55"/>
      <c r="I132" s="56"/>
    </row>
    <row r="133">
      <c r="A133" s="57"/>
      <c r="B133" s="57"/>
      <c r="C133" s="57"/>
      <c r="D133" s="58">
        <f t="shared" si="1"/>
        <v>0</v>
      </c>
      <c r="E133" s="57"/>
      <c r="F133" s="57"/>
      <c r="G133" s="55"/>
      <c r="H133" s="55"/>
      <c r="I133" s="56"/>
    </row>
    <row r="134">
      <c r="A134" s="57"/>
      <c r="B134" s="57"/>
      <c r="C134" s="57"/>
      <c r="D134" s="58">
        <f t="shared" si="1"/>
        <v>0</v>
      </c>
      <c r="E134" s="57"/>
      <c r="F134" s="57"/>
      <c r="G134" s="55"/>
      <c r="H134" s="55"/>
      <c r="I134" s="56"/>
    </row>
    <row r="135">
      <c r="A135" s="57"/>
      <c r="B135" s="57"/>
      <c r="C135" s="57"/>
      <c r="D135" s="58">
        <f t="shared" si="1"/>
        <v>0</v>
      </c>
      <c r="E135" s="57"/>
      <c r="F135" s="57"/>
      <c r="G135" s="55"/>
      <c r="H135" s="55"/>
      <c r="I135" s="56"/>
    </row>
    <row r="136">
      <c r="A136" s="57"/>
      <c r="B136" s="57"/>
      <c r="C136" s="57"/>
      <c r="D136" s="58">
        <f t="shared" si="1"/>
        <v>0</v>
      </c>
      <c r="E136" s="57"/>
      <c r="F136" s="57"/>
      <c r="G136" s="55"/>
      <c r="H136" s="55"/>
      <c r="I136" s="56"/>
    </row>
    <row r="137">
      <c r="A137" s="57"/>
      <c r="B137" s="57"/>
      <c r="C137" s="57"/>
      <c r="D137" s="58">
        <f t="shared" si="1"/>
        <v>0</v>
      </c>
      <c r="E137" s="57"/>
      <c r="F137" s="57"/>
      <c r="G137" s="55"/>
      <c r="H137" s="55"/>
      <c r="I137" s="56"/>
    </row>
    <row r="138">
      <c r="A138" s="57"/>
      <c r="B138" s="57"/>
      <c r="C138" s="57"/>
      <c r="D138" s="58">
        <f t="shared" si="1"/>
        <v>0</v>
      </c>
      <c r="E138" s="57"/>
      <c r="F138" s="57"/>
      <c r="G138" s="55"/>
      <c r="H138" s="55"/>
      <c r="I138" s="56"/>
    </row>
    <row r="139">
      <c r="A139" s="57"/>
      <c r="B139" s="57"/>
      <c r="C139" s="57"/>
      <c r="D139" s="58">
        <f t="shared" si="1"/>
        <v>0</v>
      </c>
      <c r="E139" s="57"/>
      <c r="F139" s="57"/>
      <c r="G139" s="55"/>
      <c r="H139" s="55"/>
      <c r="I139" s="56"/>
    </row>
    <row r="140">
      <c r="A140" s="57"/>
      <c r="B140" s="57"/>
      <c r="C140" s="57"/>
      <c r="D140" s="58">
        <f t="shared" si="1"/>
        <v>0</v>
      </c>
      <c r="E140" s="57"/>
      <c r="F140" s="57"/>
      <c r="G140" s="55"/>
      <c r="H140" s="55"/>
      <c r="I140" s="56"/>
    </row>
    <row r="141">
      <c r="A141" s="57"/>
      <c r="B141" s="57"/>
      <c r="C141" s="57"/>
      <c r="D141" s="58">
        <f t="shared" si="1"/>
        <v>0</v>
      </c>
      <c r="E141" s="57"/>
      <c r="F141" s="57"/>
      <c r="G141" s="55"/>
      <c r="H141" s="55"/>
      <c r="I141" s="56"/>
    </row>
    <row r="142">
      <c r="A142" s="57"/>
      <c r="B142" s="57"/>
      <c r="C142" s="57"/>
      <c r="D142" s="58">
        <f t="shared" si="1"/>
        <v>0</v>
      </c>
      <c r="E142" s="57"/>
      <c r="F142" s="57"/>
      <c r="G142" s="55"/>
      <c r="H142" s="55"/>
      <c r="I142" s="56"/>
    </row>
    <row r="143">
      <c r="A143" s="57"/>
      <c r="B143" s="57"/>
      <c r="C143" s="57"/>
      <c r="D143" s="58">
        <f t="shared" si="1"/>
        <v>0</v>
      </c>
      <c r="E143" s="57"/>
      <c r="F143" s="57"/>
      <c r="G143" s="55"/>
      <c r="H143" s="55"/>
      <c r="I143" s="56"/>
    </row>
    <row r="144">
      <c r="A144" s="57"/>
      <c r="B144" s="57"/>
      <c r="C144" s="57"/>
      <c r="D144" s="58">
        <f t="shared" si="1"/>
        <v>0</v>
      </c>
      <c r="E144" s="57"/>
      <c r="F144" s="57"/>
      <c r="G144" s="55"/>
      <c r="H144" s="55"/>
      <c r="I144" s="56"/>
    </row>
    <row r="145">
      <c r="A145" s="57"/>
      <c r="B145" s="57"/>
      <c r="C145" s="57"/>
      <c r="D145" s="58">
        <f t="shared" si="1"/>
        <v>0</v>
      </c>
      <c r="E145" s="57"/>
      <c r="F145" s="57"/>
      <c r="G145" s="55"/>
      <c r="H145" s="55"/>
      <c r="I145" s="56"/>
    </row>
    <row r="146">
      <c r="A146" s="57"/>
      <c r="B146" s="57"/>
      <c r="C146" s="57"/>
      <c r="D146" s="58">
        <f t="shared" si="1"/>
        <v>0</v>
      </c>
      <c r="E146" s="57"/>
      <c r="F146" s="57"/>
      <c r="G146" s="55"/>
      <c r="H146" s="55"/>
      <c r="I146" s="56"/>
    </row>
    <row r="147">
      <c r="A147" s="57"/>
      <c r="B147" s="57"/>
      <c r="C147" s="57"/>
      <c r="D147" s="58">
        <f t="shared" si="1"/>
        <v>0</v>
      </c>
      <c r="E147" s="57"/>
      <c r="F147" s="57"/>
      <c r="G147" s="55"/>
      <c r="H147" s="55"/>
      <c r="I147" s="56"/>
    </row>
    <row r="148">
      <c r="A148" s="57"/>
      <c r="B148" s="57"/>
      <c r="C148" s="57"/>
      <c r="D148" s="58">
        <f t="shared" si="1"/>
        <v>0</v>
      </c>
      <c r="E148" s="57"/>
      <c r="F148" s="57"/>
      <c r="G148" s="55"/>
      <c r="H148" s="55"/>
      <c r="I148" s="56"/>
    </row>
    <row r="149">
      <c r="A149" s="57"/>
      <c r="B149" s="57"/>
      <c r="C149" s="57"/>
      <c r="D149" s="58">
        <f t="shared" si="1"/>
        <v>0</v>
      </c>
      <c r="E149" s="57"/>
      <c r="F149" s="57"/>
      <c r="G149" s="55"/>
      <c r="H149" s="55"/>
      <c r="I149" s="56"/>
    </row>
    <row r="150">
      <c r="A150" s="57"/>
      <c r="B150" s="57"/>
      <c r="C150" s="57"/>
      <c r="D150" s="58">
        <f t="shared" si="1"/>
        <v>0</v>
      </c>
      <c r="E150" s="57"/>
      <c r="F150" s="57"/>
      <c r="G150" s="55"/>
      <c r="H150" s="55"/>
      <c r="I150" s="56"/>
    </row>
    <row r="151">
      <c r="A151" s="57"/>
      <c r="B151" s="57"/>
      <c r="C151" s="57"/>
      <c r="D151" s="58">
        <f t="shared" si="1"/>
        <v>0</v>
      </c>
      <c r="E151" s="57"/>
      <c r="F151" s="57"/>
      <c r="G151" s="55"/>
      <c r="H151" s="55"/>
      <c r="I151" s="56"/>
    </row>
    <row r="152">
      <c r="A152" s="57"/>
      <c r="B152" s="57"/>
      <c r="C152" s="57"/>
      <c r="D152" s="58">
        <f t="shared" si="1"/>
        <v>0</v>
      </c>
      <c r="E152" s="57"/>
      <c r="F152" s="57"/>
      <c r="G152" s="55"/>
      <c r="H152" s="55"/>
      <c r="I152" s="56"/>
    </row>
    <row r="153">
      <c r="A153" s="57"/>
      <c r="B153" s="57"/>
      <c r="C153" s="57"/>
      <c r="D153" s="58">
        <f t="shared" si="1"/>
        <v>0</v>
      </c>
      <c r="E153" s="57"/>
      <c r="F153" s="57"/>
      <c r="G153" s="55"/>
      <c r="H153" s="55"/>
      <c r="I153" s="56"/>
    </row>
    <row r="154">
      <c r="A154" s="57"/>
      <c r="B154" s="57"/>
      <c r="C154" s="57"/>
      <c r="D154" s="58">
        <f t="shared" si="1"/>
        <v>0</v>
      </c>
      <c r="E154" s="57"/>
      <c r="F154" s="57"/>
      <c r="G154" s="55"/>
      <c r="H154" s="55"/>
      <c r="I154" s="56"/>
    </row>
    <row r="155">
      <c r="A155" s="57"/>
      <c r="B155" s="57"/>
      <c r="C155" s="57"/>
      <c r="D155" s="58">
        <f t="shared" si="1"/>
        <v>0</v>
      </c>
      <c r="E155" s="57"/>
      <c r="F155" s="57"/>
      <c r="G155" s="55"/>
      <c r="H155" s="55"/>
      <c r="I155" s="56"/>
    </row>
    <row r="156">
      <c r="A156" s="57"/>
      <c r="B156" s="57"/>
      <c r="C156" s="57"/>
      <c r="D156" s="58">
        <f t="shared" si="1"/>
        <v>0</v>
      </c>
      <c r="E156" s="57"/>
      <c r="F156" s="57"/>
      <c r="G156" s="55"/>
      <c r="H156" s="55"/>
      <c r="I156" s="56"/>
    </row>
    <row r="157">
      <c r="A157" s="57"/>
      <c r="B157" s="57"/>
      <c r="C157" s="57"/>
      <c r="D157" s="58">
        <f t="shared" si="1"/>
        <v>0</v>
      </c>
      <c r="E157" s="57"/>
      <c r="F157" s="57"/>
      <c r="G157" s="55"/>
      <c r="H157" s="55"/>
      <c r="I157" s="56"/>
    </row>
    <row r="158">
      <c r="A158" s="57"/>
      <c r="B158" s="57"/>
      <c r="C158" s="57"/>
      <c r="D158" s="58">
        <f t="shared" si="1"/>
        <v>0</v>
      </c>
      <c r="E158" s="57"/>
      <c r="F158" s="57"/>
      <c r="G158" s="55"/>
      <c r="H158" s="55"/>
      <c r="I158" s="56"/>
    </row>
    <row r="159">
      <c r="A159" s="57"/>
      <c r="B159" s="57"/>
      <c r="C159" s="57"/>
      <c r="D159" s="58">
        <f t="shared" si="1"/>
        <v>0</v>
      </c>
      <c r="E159" s="57"/>
      <c r="F159" s="57"/>
      <c r="G159" s="55"/>
      <c r="H159" s="55"/>
      <c r="I159" s="56"/>
    </row>
    <row r="160">
      <c r="A160" s="57"/>
      <c r="B160" s="57"/>
      <c r="C160" s="57"/>
      <c r="D160" s="58">
        <f t="shared" si="1"/>
        <v>0</v>
      </c>
      <c r="E160" s="57"/>
      <c r="F160" s="57"/>
      <c r="G160" s="55"/>
      <c r="H160" s="55"/>
      <c r="I160" s="56"/>
    </row>
    <row r="161">
      <c r="A161" s="57"/>
      <c r="B161" s="57"/>
      <c r="C161" s="57"/>
      <c r="D161" s="58">
        <f t="shared" si="1"/>
        <v>0</v>
      </c>
      <c r="E161" s="57"/>
      <c r="F161" s="57"/>
      <c r="G161" s="55"/>
      <c r="H161" s="55"/>
      <c r="I161" s="56"/>
    </row>
    <row r="162">
      <c r="A162" s="57"/>
      <c r="B162" s="57"/>
      <c r="C162" s="57"/>
      <c r="D162" s="58">
        <f t="shared" si="1"/>
        <v>0</v>
      </c>
      <c r="E162" s="57"/>
      <c r="F162" s="57"/>
      <c r="G162" s="55"/>
      <c r="H162" s="55"/>
      <c r="I162" s="56"/>
    </row>
    <row r="163">
      <c r="A163" s="57"/>
      <c r="B163" s="57"/>
      <c r="C163" s="57"/>
      <c r="D163" s="58">
        <f t="shared" si="1"/>
        <v>0</v>
      </c>
      <c r="E163" s="57"/>
      <c r="F163" s="57"/>
      <c r="G163" s="55"/>
      <c r="H163" s="55"/>
      <c r="I163" s="56"/>
    </row>
    <row r="164">
      <c r="A164" s="57"/>
      <c r="B164" s="57"/>
      <c r="C164" s="57"/>
      <c r="D164" s="58">
        <f t="shared" si="1"/>
        <v>0</v>
      </c>
      <c r="E164" s="57"/>
      <c r="F164" s="57"/>
      <c r="G164" s="55"/>
      <c r="H164" s="55"/>
      <c r="I164" s="56"/>
    </row>
    <row r="165">
      <c r="A165" s="57"/>
      <c r="B165" s="57"/>
      <c r="C165" s="57"/>
      <c r="D165" s="58">
        <f t="shared" si="1"/>
        <v>0</v>
      </c>
      <c r="E165" s="57"/>
      <c r="F165" s="57"/>
      <c r="G165" s="55"/>
      <c r="H165" s="55"/>
      <c r="I165" s="56"/>
    </row>
    <row r="166">
      <c r="A166" s="57"/>
      <c r="B166" s="57"/>
      <c r="C166" s="57"/>
      <c r="D166" s="58">
        <f t="shared" si="1"/>
        <v>0</v>
      </c>
      <c r="E166" s="57"/>
      <c r="F166" s="57"/>
      <c r="G166" s="55"/>
      <c r="H166" s="55"/>
      <c r="I166" s="56"/>
    </row>
    <row r="167">
      <c r="A167" s="57"/>
      <c r="B167" s="57"/>
      <c r="C167" s="57"/>
      <c r="D167" s="58">
        <f t="shared" si="1"/>
        <v>0</v>
      </c>
      <c r="E167" s="57"/>
      <c r="F167" s="57"/>
      <c r="G167" s="55"/>
      <c r="H167" s="55"/>
      <c r="I167" s="56"/>
    </row>
    <row r="168">
      <c r="A168" s="57"/>
      <c r="B168" s="57"/>
      <c r="C168" s="57"/>
      <c r="D168" s="58">
        <f t="shared" si="1"/>
        <v>0</v>
      </c>
      <c r="E168" s="57"/>
      <c r="F168" s="57"/>
      <c r="G168" s="55"/>
      <c r="H168" s="55"/>
      <c r="I168" s="56"/>
    </row>
    <row r="169">
      <c r="A169" s="57"/>
      <c r="B169" s="57"/>
      <c r="C169" s="57"/>
      <c r="D169" s="58">
        <f t="shared" si="1"/>
        <v>0</v>
      </c>
      <c r="E169" s="57"/>
      <c r="F169" s="57"/>
      <c r="G169" s="55"/>
      <c r="H169" s="55"/>
      <c r="I169" s="56"/>
    </row>
    <row r="170">
      <c r="A170" s="57"/>
      <c r="B170" s="57"/>
      <c r="C170" s="57"/>
      <c r="D170" s="58">
        <f t="shared" si="1"/>
        <v>0</v>
      </c>
      <c r="E170" s="57"/>
      <c r="F170" s="57"/>
      <c r="G170" s="55"/>
      <c r="H170" s="55"/>
      <c r="I170" s="56"/>
    </row>
    <row r="171">
      <c r="A171" s="57"/>
      <c r="B171" s="57"/>
      <c r="C171" s="57"/>
      <c r="D171" s="58">
        <f t="shared" si="1"/>
        <v>0</v>
      </c>
      <c r="E171" s="57"/>
      <c r="F171" s="57"/>
      <c r="G171" s="55"/>
      <c r="H171" s="55"/>
      <c r="I171" s="56"/>
    </row>
    <row r="172">
      <c r="A172" s="57"/>
      <c r="B172" s="57"/>
      <c r="C172" s="57"/>
      <c r="D172" s="58">
        <f t="shared" si="1"/>
        <v>0</v>
      </c>
      <c r="E172" s="57"/>
      <c r="F172" s="57"/>
      <c r="G172" s="55"/>
      <c r="H172" s="55"/>
      <c r="I172" s="56"/>
    </row>
    <row r="173">
      <c r="A173" s="57"/>
      <c r="B173" s="57"/>
      <c r="C173" s="57"/>
      <c r="D173" s="58">
        <f t="shared" si="1"/>
        <v>0</v>
      </c>
      <c r="E173" s="57"/>
      <c r="F173" s="57"/>
      <c r="G173" s="55"/>
      <c r="H173" s="55"/>
      <c r="I173" s="56"/>
    </row>
    <row r="174">
      <c r="A174" s="57"/>
      <c r="B174" s="57"/>
      <c r="C174" s="57"/>
      <c r="D174" s="58">
        <f t="shared" si="1"/>
        <v>0</v>
      </c>
      <c r="E174" s="57"/>
      <c r="F174" s="57"/>
      <c r="G174" s="55"/>
      <c r="H174" s="55"/>
      <c r="I174" s="56"/>
    </row>
    <row r="175">
      <c r="A175" s="57"/>
      <c r="B175" s="57"/>
      <c r="C175" s="57"/>
      <c r="D175" s="58">
        <f t="shared" si="1"/>
        <v>0</v>
      </c>
      <c r="E175" s="57"/>
      <c r="F175" s="57"/>
      <c r="G175" s="55"/>
      <c r="H175" s="55"/>
      <c r="I175" s="56"/>
    </row>
    <row r="176">
      <c r="A176" s="57"/>
      <c r="B176" s="57"/>
      <c r="C176" s="57"/>
      <c r="D176" s="58">
        <f t="shared" si="1"/>
        <v>0</v>
      </c>
      <c r="E176" s="57"/>
      <c r="F176" s="57"/>
      <c r="G176" s="55"/>
      <c r="H176" s="55"/>
      <c r="I176" s="56"/>
    </row>
    <row r="177">
      <c r="A177" s="57"/>
      <c r="B177" s="57"/>
      <c r="C177" s="57"/>
      <c r="D177" s="58">
        <f t="shared" si="1"/>
        <v>0</v>
      </c>
      <c r="E177" s="57"/>
      <c r="F177" s="57"/>
      <c r="G177" s="55"/>
      <c r="H177" s="55"/>
      <c r="I177" s="56"/>
    </row>
    <row r="178">
      <c r="A178" s="57"/>
      <c r="B178" s="57"/>
      <c r="C178" s="57"/>
      <c r="D178" s="58">
        <f t="shared" si="1"/>
        <v>0</v>
      </c>
      <c r="E178" s="57"/>
      <c r="F178" s="57"/>
      <c r="G178" s="55"/>
      <c r="H178" s="55"/>
      <c r="I178" s="56"/>
    </row>
    <row r="179">
      <c r="A179" s="57"/>
      <c r="B179" s="57"/>
      <c r="C179" s="57"/>
      <c r="D179" s="58">
        <f t="shared" si="1"/>
        <v>0</v>
      </c>
      <c r="E179" s="57"/>
      <c r="F179" s="57"/>
      <c r="G179" s="55"/>
      <c r="H179" s="55"/>
      <c r="I179" s="56"/>
    </row>
    <row r="180">
      <c r="A180" s="57"/>
      <c r="B180" s="57"/>
      <c r="C180" s="57"/>
      <c r="D180" s="58">
        <f t="shared" si="1"/>
        <v>0</v>
      </c>
      <c r="E180" s="57"/>
      <c r="F180" s="57"/>
      <c r="G180" s="55"/>
      <c r="H180" s="55"/>
      <c r="I180" s="56"/>
    </row>
    <row r="181">
      <c r="A181" s="57"/>
      <c r="B181" s="57"/>
      <c r="C181" s="57"/>
      <c r="D181" s="58">
        <f t="shared" si="1"/>
        <v>0</v>
      </c>
      <c r="E181" s="57"/>
      <c r="F181" s="57"/>
      <c r="G181" s="55"/>
      <c r="H181" s="55"/>
      <c r="I181" s="56"/>
    </row>
    <row r="182">
      <c r="A182" s="57"/>
      <c r="B182" s="57"/>
      <c r="C182" s="57"/>
      <c r="D182" s="58">
        <f t="shared" si="1"/>
        <v>0</v>
      </c>
      <c r="E182" s="57"/>
      <c r="F182" s="57"/>
      <c r="G182" s="55"/>
      <c r="H182" s="55"/>
      <c r="I182" s="56"/>
    </row>
    <row r="183">
      <c r="A183" s="57"/>
      <c r="B183" s="57"/>
      <c r="C183" s="57"/>
      <c r="D183" s="58">
        <f t="shared" si="1"/>
        <v>0</v>
      </c>
      <c r="E183" s="57"/>
      <c r="F183" s="57"/>
      <c r="G183" s="55"/>
      <c r="H183" s="55"/>
      <c r="I183" s="56"/>
    </row>
    <row r="184">
      <c r="A184" s="57"/>
      <c r="B184" s="57"/>
      <c r="C184" s="57"/>
      <c r="D184" s="58">
        <f t="shared" si="1"/>
        <v>0</v>
      </c>
      <c r="E184" s="57"/>
      <c r="F184" s="57"/>
      <c r="G184" s="55"/>
      <c r="H184" s="55"/>
      <c r="I184" s="56"/>
    </row>
    <row r="185">
      <c r="A185" s="57"/>
      <c r="B185" s="57"/>
      <c r="C185" s="57"/>
      <c r="D185" s="58">
        <f t="shared" si="1"/>
        <v>0</v>
      </c>
      <c r="E185" s="57"/>
      <c r="F185" s="57"/>
      <c r="G185" s="55"/>
      <c r="H185" s="55"/>
      <c r="I185" s="56"/>
    </row>
    <row r="186">
      <c r="A186" s="57"/>
      <c r="B186" s="57"/>
      <c r="C186" s="57"/>
      <c r="D186" s="58">
        <f t="shared" si="1"/>
        <v>0</v>
      </c>
      <c r="E186" s="57"/>
      <c r="F186" s="57"/>
      <c r="G186" s="55"/>
      <c r="H186" s="55"/>
      <c r="I186" s="56"/>
    </row>
    <row r="187">
      <c r="A187" s="57"/>
      <c r="B187" s="57"/>
      <c r="C187" s="57"/>
      <c r="D187" s="58">
        <f t="shared" si="1"/>
        <v>0</v>
      </c>
      <c r="E187" s="57"/>
      <c r="F187" s="57"/>
      <c r="G187" s="55"/>
      <c r="H187" s="55"/>
      <c r="I187" s="56"/>
    </row>
    <row r="188">
      <c r="A188" s="57"/>
      <c r="B188" s="57"/>
      <c r="C188" s="57"/>
      <c r="D188" s="58">
        <f t="shared" si="1"/>
        <v>0</v>
      </c>
      <c r="E188" s="57"/>
      <c r="F188" s="57"/>
      <c r="G188" s="55"/>
      <c r="H188" s="55"/>
      <c r="I188" s="56"/>
    </row>
    <row r="189">
      <c r="A189" s="57"/>
      <c r="B189" s="57"/>
      <c r="C189" s="57"/>
      <c r="D189" s="58">
        <f t="shared" si="1"/>
        <v>0</v>
      </c>
      <c r="E189" s="57"/>
      <c r="F189" s="57"/>
      <c r="G189" s="55"/>
      <c r="H189" s="55"/>
      <c r="I189" s="56"/>
    </row>
    <row r="190">
      <c r="A190" s="57"/>
      <c r="B190" s="57"/>
      <c r="C190" s="57"/>
      <c r="D190" s="58">
        <f t="shared" si="1"/>
        <v>0</v>
      </c>
      <c r="E190" s="57"/>
      <c r="F190" s="57"/>
      <c r="G190" s="55"/>
      <c r="H190" s="55"/>
      <c r="I190" s="56"/>
    </row>
    <row r="191">
      <c r="A191" s="57"/>
      <c r="B191" s="57"/>
      <c r="C191" s="57"/>
      <c r="D191" s="58">
        <f t="shared" si="1"/>
        <v>0</v>
      </c>
      <c r="E191" s="57"/>
      <c r="F191" s="57"/>
      <c r="G191" s="55"/>
      <c r="H191" s="55"/>
      <c r="I191" s="56"/>
    </row>
    <row r="192">
      <c r="A192" s="57"/>
      <c r="B192" s="57"/>
      <c r="C192" s="57"/>
      <c r="D192" s="58">
        <f t="shared" si="1"/>
        <v>0</v>
      </c>
      <c r="E192" s="57"/>
      <c r="F192" s="57"/>
      <c r="G192" s="55"/>
      <c r="H192" s="55"/>
      <c r="I192" s="56"/>
    </row>
    <row r="193">
      <c r="A193" s="57"/>
      <c r="B193" s="57"/>
      <c r="C193" s="57"/>
      <c r="D193" s="58">
        <f t="shared" si="1"/>
        <v>0</v>
      </c>
      <c r="E193" s="57"/>
      <c r="F193" s="57"/>
      <c r="G193" s="55"/>
      <c r="H193" s="55"/>
      <c r="I193" s="56"/>
    </row>
    <row r="194">
      <c r="A194" s="57"/>
      <c r="B194" s="57"/>
      <c r="C194" s="57"/>
      <c r="D194" s="58">
        <f t="shared" si="1"/>
        <v>0</v>
      </c>
      <c r="E194" s="57"/>
      <c r="F194" s="57"/>
      <c r="G194" s="55"/>
      <c r="H194" s="55"/>
      <c r="I194" s="56"/>
    </row>
    <row r="195">
      <c r="A195" s="57"/>
      <c r="B195" s="57"/>
      <c r="C195" s="57"/>
      <c r="D195" s="58">
        <f t="shared" si="1"/>
        <v>0</v>
      </c>
      <c r="E195" s="57"/>
      <c r="F195" s="57"/>
      <c r="G195" s="55"/>
      <c r="H195" s="55"/>
      <c r="I195" s="56"/>
    </row>
    <row r="196">
      <c r="A196" s="57"/>
      <c r="B196" s="57"/>
      <c r="C196" s="57"/>
      <c r="D196" s="58">
        <f t="shared" si="1"/>
        <v>0</v>
      </c>
      <c r="E196" s="57"/>
      <c r="F196" s="57"/>
      <c r="G196" s="55"/>
      <c r="H196" s="55"/>
      <c r="I196" s="56"/>
    </row>
    <row r="197">
      <c r="A197" s="57"/>
      <c r="B197" s="57"/>
      <c r="C197" s="57"/>
      <c r="D197" s="58">
        <f t="shared" si="1"/>
        <v>0</v>
      </c>
      <c r="E197" s="57"/>
      <c r="F197" s="57"/>
      <c r="G197" s="55"/>
      <c r="H197" s="55"/>
      <c r="I197" s="56"/>
    </row>
    <row r="198">
      <c r="A198" s="57"/>
      <c r="B198" s="57"/>
      <c r="C198" s="57"/>
      <c r="D198" s="58">
        <f t="shared" si="1"/>
        <v>0</v>
      </c>
      <c r="E198" s="57"/>
      <c r="F198" s="57"/>
      <c r="G198" s="55"/>
      <c r="H198" s="55"/>
      <c r="I198" s="56"/>
    </row>
    <row r="199">
      <c r="A199" s="57"/>
      <c r="B199" s="57"/>
      <c r="C199" s="57"/>
      <c r="D199" s="58">
        <f t="shared" si="1"/>
        <v>0</v>
      </c>
      <c r="E199" s="57"/>
      <c r="F199" s="57"/>
      <c r="G199" s="55"/>
      <c r="H199" s="55"/>
      <c r="I199" s="56"/>
    </row>
    <row r="200">
      <c r="A200" s="57"/>
      <c r="B200" s="57"/>
      <c r="C200" s="57"/>
      <c r="D200" s="58">
        <f t="shared" si="1"/>
        <v>0</v>
      </c>
      <c r="E200" s="57"/>
      <c r="F200" s="57"/>
      <c r="G200" s="55"/>
      <c r="H200" s="55"/>
      <c r="I200" s="56"/>
    </row>
    <row r="201">
      <c r="A201" s="57"/>
      <c r="B201" s="57"/>
      <c r="C201" s="57"/>
      <c r="D201" s="58">
        <f t="shared" si="1"/>
        <v>0</v>
      </c>
      <c r="E201" s="57"/>
      <c r="F201" s="57"/>
      <c r="G201" s="55"/>
      <c r="H201" s="55"/>
      <c r="I201" s="56"/>
    </row>
    <row r="202">
      <c r="A202" s="57"/>
      <c r="B202" s="57"/>
      <c r="C202" s="57"/>
      <c r="D202" s="58">
        <f t="shared" si="1"/>
        <v>0</v>
      </c>
      <c r="E202" s="57"/>
      <c r="F202" s="57"/>
      <c r="G202" s="55"/>
      <c r="H202" s="55"/>
      <c r="I202" s="56"/>
    </row>
    <row r="203">
      <c r="A203" s="57"/>
      <c r="B203" s="57"/>
      <c r="C203" s="57"/>
      <c r="D203" s="58">
        <f t="shared" si="1"/>
        <v>0</v>
      </c>
      <c r="E203" s="57"/>
      <c r="F203" s="57"/>
      <c r="G203" s="55"/>
      <c r="H203" s="55"/>
      <c r="I203" s="56"/>
    </row>
    <row r="204">
      <c r="A204" s="57"/>
      <c r="B204" s="57"/>
      <c r="C204" s="57"/>
      <c r="D204" s="58">
        <f t="shared" si="1"/>
        <v>0</v>
      </c>
      <c r="E204" s="57"/>
      <c r="F204" s="57"/>
      <c r="G204" s="55"/>
      <c r="H204" s="55"/>
      <c r="I204" s="56"/>
    </row>
    <row r="205">
      <c r="A205" s="57"/>
      <c r="B205" s="57"/>
      <c r="C205" s="57"/>
      <c r="D205" s="58">
        <f t="shared" si="1"/>
        <v>0</v>
      </c>
      <c r="E205" s="57"/>
      <c r="F205" s="57"/>
      <c r="G205" s="55"/>
      <c r="H205" s="55"/>
      <c r="I205" s="56"/>
    </row>
    <row r="206">
      <c r="A206" s="57"/>
      <c r="B206" s="57"/>
      <c r="C206" s="57"/>
      <c r="D206" s="58">
        <f t="shared" si="1"/>
        <v>0</v>
      </c>
      <c r="E206" s="57"/>
      <c r="F206" s="57"/>
      <c r="G206" s="55"/>
      <c r="H206" s="55"/>
      <c r="I206" s="56"/>
    </row>
    <row r="207">
      <c r="A207" s="57"/>
      <c r="B207" s="57"/>
      <c r="C207" s="57"/>
      <c r="D207" s="58">
        <f t="shared" si="1"/>
        <v>0</v>
      </c>
      <c r="E207" s="57"/>
      <c r="F207" s="57"/>
      <c r="G207" s="55"/>
      <c r="H207" s="55"/>
      <c r="I207" s="56"/>
    </row>
    <row r="208">
      <c r="A208" s="57"/>
      <c r="B208" s="57"/>
      <c r="C208" s="57"/>
      <c r="D208" s="58">
        <f t="shared" si="1"/>
        <v>0</v>
      </c>
      <c r="E208" s="57"/>
      <c r="F208" s="57"/>
      <c r="G208" s="55"/>
      <c r="H208" s="55"/>
      <c r="I208" s="56"/>
    </row>
    <row r="209">
      <c r="A209" s="57"/>
      <c r="B209" s="57"/>
      <c r="C209" s="57"/>
      <c r="D209" s="58">
        <f t="shared" si="1"/>
        <v>0</v>
      </c>
      <c r="E209" s="57"/>
      <c r="F209" s="57"/>
      <c r="G209" s="55"/>
      <c r="H209" s="55"/>
      <c r="I209" s="56"/>
    </row>
    <row r="210">
      <c r="A210" s="57"/>
      <c r="B210" s="57"/>
      <c r="C210" s="57"/>
      <c r="D210" s="58">
        <f t="shared" si="1"/>
        <v>0</v>
      </c>
      <c r="E210" s="57"/>
      <c r="F210" s="57"/>
      <c r="G210" s="55"/>
      <c r="H210" s="55"/>
      <c r="I210" s="56"/>
    </row>
    <row r="211">
      <c r="A211" s="57"/>
      <c r="B211" s="57"/>
      <c r="C211" s="57"/>
      <c r="D211" s="58">
        <f t="shared" si="1"/>
        <v>0</v>
      </c>
      <c r="E211" s="57"/>
      <c r="F211" s="57"/>
      <c r="G211" s="55"/>
      <c r="H211" s="55"/>
      <c r="I211" s="56"/>
    </row>
    <row r="212">
      <c r="A212" s="57"/>
      <c r="B212" s="57"/>
      <c r="C212" s="57"/>
      <c r="D212" s="58">
        <f t="shared" si="1"/>
        <v>0</v>
      </c>
      <c r="E212" s="57"/>
      <c r="F212" s="57"/>
      <c r="G212" s="55"/>
      <c r="H212" s="55"/>
      <c r="I212" s="56"/>
    </row>
    <row r="213">
      <c r="A213" s="57"/>
      <c r="B213" s="57"/>
      <c r="C213" s="57"/>
      <c r="D213" s="58">
        <f t="shared" si="1"/>
        <v>0</v>
      </c>
      <c r="E213" s="57"/>
      <c r="F213" s="57"/>
      <c r="G213" s="55"/>
      <c r="H213" s="55"/>
      <c r="I213" s="56"/>
    </row>
    <row r="214">
      <c r="A214" s="57"/>
      <c r="B214" s="57"/>
      <c r="C214" s="57"/>
      <c r="D214" s="58">
        <f t="shared" si="1"/>
        <v>0</v>
      </c>
      <c r="E214" s="57"/>
      <c r="F214" s="57"/>
      <c r="G214" s="55"/>
      <c r="H214" s="55"/>
      <c r="I214" s="56"/>
    </row>
    <row r="215">
      <c r="A215" s="57"/>
      <c r="B215" s="57"/>
      <c r="C215" s="57"/>
      <c r="D215" s="58">
        <f t="shared" si="1"/>
        <v>0</v>
      </c>
      <c r="E215" s="57"/>
      <c r="F215" s="57"/>
      <c r="G215" s="55"/>
      <c r="H215" s="55"/>
      <c r="I215" s="56"/>
    </row>
    <row r="216">
      <c r="A216" s="57"/>
      <c r="B216" s="57"/>
      <c r="C216" s="57"/>
      <c r="D216" s="58">
        <f t="shared" si="1"/>
        <v>0</v>
      </c>
      <c r="E216" s="57"/>
      <c r="F216" s="57"/>
      <c r="G216" s="55"/>
      <c r="H216" s="55"/>
      <c r="I216" s="56"/>
    </row>
    <row r="217">
      <c r="A217" s="57"/>
      <c r="B217" s="57"/>
      <c r="C217" s="57"/>
      <c r="D217" s="58">
        <f t="shared" si="1"/>
        <v>0</v>
      </c>
      <c r="E217" s="57"/>
      <c r="F217" s="57"/>
      <c r="G217" s="55"/>
      <c r="H217" s="55"/>
      <c r="I217" s="56"/>
    </row>
    <row r="218">
      <c r="A218" s="57"/>
      <c r="B218" s="57"/>
      <c r="C218" s="57"/>
      <c r="D218" s="58">
        <f t="shared" si="1"/>
        <v>0</v>
      </c>
      <c r="E218" s="57"/>
      <c r="F218" s="57"/>
      <c r="G218" s="55"/>
      <c r="H218" s="55"/>
      <c r="I218" s="56"/>
    </row>
    <row r="219">
      <c r="A219" s="57"/>
      <c r="B219" s="57"/>
      <c r="C219" s="57"/>
      <c r="D219" s="58">
        <f t="shared" si="1"/>
        <v>0</v>
      </c>
      <c r="E219" s="57"/>
      <c r="F219" s="57"/>
      <c r="G219" s="55"/>
      <c r="H219" s="55"/>
      <c r="I219" s="56"/>
    </row>
    <row r="220">
      <c r="A220" s="57"/>
      <c r="B220" s="57"/>
      <c r="C220" s="57"/>
      <c r="D220" s="58">
        <f t="shared" si="1"/>
        <v>0</v>
      </c>
      <c r="E220" s="57"/>
      <c r="F220" s="57"/>
      <c r="G220" s="55"/>
      <c r="H220" s="55"/>
      <c r="I220" s="56"/>
    </row>
    <row r="221">
      <c r="A221" s="57"/>
      <c r="B221" s="57"/>
      <c r="C221" s="57"/>
      <c r="D221" s="58">
        <f t="shared" si="1"/>
        <v>0</v>
      </c>
      <c r="E221" s="57"/>
      <c r="F221" s="57"/>
      <c r="G221" s="55"/>
      <c r="H221" s="55"/>
      <c r="I221" s="56"/>
    </row>
    <row r="222">
      <c r="A222" s="57"/>
      <c r="B222" s="57"/>
      <c r="C222" s="57"/>
      <c r="D222" s="58">
        <f t="shared" si="1"/>
        <v>0</v>
      </c>
      <c r="E222" s="57"/>
      <c r="F222" s="57"/>
      <c r="G222" s="55"/>
      <c r="H222" s="55"/>
      <c r="I222" s="56"/>
    </row>
    <row r="223">
      <c r="A223" s="57"/>
      <c r="B223" s="57"/>
      <c r="C223" s="57"/>
      <c r="D223" s="58">
        <f t="shared" si="1"/>
        <v>0</v>
      </c>
      <c r="E223" s="57"/>
      <c r="F223" s="57"/>
      <c r="G223" s="55"/>
      <c r="H223" s="55"/>
      <c r="I223" s="56"/>
    </row>
    <row r="224">
      <c r="A224" s="57"/>
      <c r="B224" s="57"/>
      <c r="C224" s="57"/>
      <c r="D224" s="58">
        <f t="shared" si="1"/>
        <v>0</v>
      </c>
      <c r="E224" s="57"/>
      <c r="F224" s="57"/>
      <c r="G224" s="55"/>
      <c r="H224" s="55"/>
      <c r="I224" s="56"/>
    </row>
    <row r="225">
      <c r="A225" s="57"/>
      <c r="B225" s="57"/>
      <c r="C225" s="57"/>
      <c r="D225" s="58">
        <f t="shared" si="1"/>
        <v>0</v>
      </c>
      <c r="E225" s="57"/>
      <c r="F225" s="57"/>
      <c r="G225" s="55"/>
      <c r="H225" s="55"/>
      <c r="I225" s="56"/>
    </row>
    <row r="226">
      <c r="A226" s="57"/>
      <c r="B226" s="57"/>
      <c r="C226" s="57"/>
      <c r="D226" s="58">
        <f t="shared" si="1"/>
        <v>0</v>
      </c>
      <c r="E226" s="57"/>
      <c r="F226" s="57"/>
      <c r="G226" s="55"/>
      <c r="H226" s="55"/>
      <c r="I226" s="56"/>
    </row>
    <row r="227">
      <c r="A227" s="57"/>
      <c r="B227" s="57"/>
      <c r="C227" s="57"/>
      <c r="D227" s="58">
        <f t="shared" si="1"/>
        <v>0</v>
      </c>
      <c r="E227" s="57"/>
      <c r="F227" s="57"/>
      <c r="G227" s="55"/>
      <c r="H227" s="55"/>
      <c r="I227" s="56"/>
    </row>
    <row r="228">
      <c r="A228" s="57"/>
      <c r="B228" s="57"/>
      <c r="C228" s="57"/>
      <c r="D228" s="58">
        <f t="shared" si="1"/>
        <v>0</v>
      </c>
      <c r="E228" s="57"/>
      <c r="F228" s="57"/>
      <c r="G228" s="55"/>
      <c r="H228" s="55"/>
      <c r="I228" s="56"/>
    </row>
    <row r="229">
      <c r="A229" s="57"/>
      <c r="B229" s="57"/>
      <c r="C229" s="57"/>
      <c r="D229" s="58">
        <f t="shared" si="1"/>
        <v>0</v>
      </c>
      <c r="E229" s="57"/>
      <c r="F229" s="57"/>
      <c r="G229" s="55"/>
      <c r="H229" s="55"/>
      <c r="I229" s="56"/>
    </row>
    <row r="230">
      <c r="A230" s="57"/>
      <c r="B230" s="57"/>
      <c r="C230" s="57"/>
      <c r="D230" s="58">
        <f t="shared" si="1"/>
        <v>0</v>
      </c>
      <c r="E230" s="57"/>
      <c r="F230" s="57"/>
      <c r="G230" s="55"/>
      <c r="H230" s="55"/>
      <c r="I230" s="56"/>
    </row>
    <row r="231">
      <c r="A231" s="57"/>
      <c r="B231" s="57"/>
      <c r="C231" s="57"/>
      <c r="D231" s="58">
        <f t="shared" si="1"/>
        <v>0</v>
      </c>
      <c r="E231" s="57"/>
      <c r="F231" s="57"/>
      <c r="G231" s="55"/>
      <c r="H231" s="55"/>
      <c r="I231" s="56"/>
    </row>
    <row r="232">
      <c r="A232" s="57"/>
      <c r="B232" s="57"/>
      <c r="C232" s="57"/>
      <c r="D232" s="58">
        <f t="shared" si="1"/>
        <v>0</v>
      </c>
      <c r="E232" s="57"/>
      <c r="F232" s="57"/>
      <c r="G232" s="55"/>
      <c r="H232" s="55"/>
      <c r="I232" s="56"/>
    </row>
    <row r="233">
      <c r="A233" s="57"/>
      <c r="B233" s="57"/>
      <c r="C233" s="57"/>
      <c r="D233" s="58">
        <f t="shared" si="1"/>
        <v>0</v>
      </c>
      <c r="E233" s="57"/>
      <c r="F233" s="57"/>
      <c r="G233" s="55"/>
      <c r="H233" s="55"/>
      <c r="I233" s="56"/>
    </row>
    <row r="234">
      <c r="A234" s="57"/>
      <c r="B234" s="57"/>
      <c r="C234" s="57"/>
      <c r="D234" s="58">
        <f t="shared" si="1"/>
        <v>0</v>
      </c>
      <c r="E234" s="57"/>
      <c r="F234" s="57"/>
      <c r="G234" s="55"/>
      <c r="H234" s="55"/>
      <c r="I234" s="56"/>
    </row>
    <row r="235">
      <c r="A235" s="57"/>
      <c r="B235" s="57"/>
      <c r="C235" s="57"/>
      <c r="D235" s="58">
        <f t="shared" si="1"/>
        <v>0</v>
      </c>
      <c r="E235" s="57"/>
      <c r="F235" s="57"/>
      <c r="G235" s="55"/>
      <c r="H235" s="55"/>
      <c r="I235" s="56"/>
    </row>
    <row r="236">
      <c r="A236" s="57"/>
      <c r="B236" s="57"/>
      <c r="C236" s="57"/>
      <c r="D236" s="58">
        <f t="shared" si="1"/>
        <v>0</v>
      </c>
      <c r="E236" s="57"/>
      <c r="F236" s="57"/>
      <c r="G236" s="55"/>
      <c r="H236" s="55"/>
      <c r="I236" s="56"/>
    </row>
    <row r="237">
      <c r="A237" s="57"/>
      <c r="B237" s="57"/>
      <c r="C237" s="57"/>
      <c r="D237" s="58">
        <f t="shared" si="1"/>
        <v>0</v>
      </c>
      <c r="E237" s="57"/>
      <c r="F237" s="57"/>
      <c r="G237" s="55"/>
      <c r="H237" s="55"/>
      <c r="I237" s="56"/>
    </row>
    <row r="238">
      <c r="A238" s="57"/>
      <c r="B238" s="57"/>
      <c r="C238" s="57"/>
      <c r="D238" s="58">
        <f t="shared" si="1"/>
        <v>0</v>
      </c>
      <c r="E238" s="57"/>
      <c r="F238" s="57"/>
      <c r="G238" s="55"/>
      <c r="H238" s="55"/>
      <c r="I238" s="56"/>
    </row>
    <row r="239">
      <c r="A239" s="57"/>
      <c r="B239" s="57"/>
      <c r="C239" s="57"/>
      <c r="D239" s="58">
        <f t="shared" si="1"/>
        <v>0</v>
      </c>
      <c r="E239" s="57"/>
      <c r="F239" s="57"/>
      <c r="G239" s="55"/>
      <c r="H239" s="55"/>
      <c r="I239" s="56"/>
    </row>
    <row r="240">
      <c r="A240" s="57"/>
      <c r="B240" s="57"/>
      <c r="C240" s="57"/>
      <c r="D240" s="58">
        <f t="shared" si="1"/>
        <v>0</v>
      </c>
      <c r="E240" s="57"/>
      <c r="F240" s="57"/>
      <c r="G240" s="55"/>
      <c r="H240" s="55"/>
      <c r="I240" s="56"/>
    </row>
    <row r="241">
      <c r="A241" s="57"/>
      <c r="B241" s="57"/>
      <c r="C241" s="57"/>
      <c r="D241" s="58">
        <f t="shared" si="1"/>
        <v>0</v>
      </c>
      <c r="E241" s="57"/>
      <c r="F241" s="57"/>
      <c r="G241" s="55"/>
      <c r="H241" s="55"/>
      <c r="I241" s="56"/>
    </row>
    <row r="242">
      <c r="A242" s="57"/>
      <c r="B242" s="57"/>
      <c r="C242" s="57"/>
      <c r="D242" s="58">
        <f t="shared" si="1"/>
        <v>0</v>
      </c>
      <c r="E242" s="57"/>
      <c r="F242" s="57"/>
      <c r="G242" s="55"/>
      <c r="H242" s="55"/>
      <c r="I242" s="56"/>
    </row>
    <row r="243">
      <c r="A243" s="57"/>
      <c r="B243" s="57"/>
      <c r="C243" s="57"/>
      <c r="D243" s="58">
        <f t="shared" si="1"/>
        <v>0</v>
      </c>
      <c r="E243" s="57"/>
      <c r="F243" s="57"/>
      <c r="G243" s="55"/>
      <c r="H243" s="55"/>
      <c r="I243" s="56"/>
    </row>
    <row r="244">
      <c r="A244" s="57"/>
      <c r="B244" s="57"/>
      <c r="C244" s="57"/>
      <c r="D244" s="58">
        <f t="shared" si="1"/>
        <v>0</v>
      </c>
      <c r="E244" s="57"/>
      <c r="F244" s="57"/>
      <c r="G244" s="55"/>
      <c r="H244" s="55"/>
      <c r="I244" s="56"/>
    </row>
    <row r="245">
      <c r="A245" s="57"/>
      <c r="B245" s="57"/>
      <c r="C245" s="57"/>
      <c r="D245" s="58">
        <f t="shared" si="1"/>
        <v>0</v>
      </c>
      <c r="E245" s="57"/>
      <c r="F245" s="57"/>
      <c r="G245" s="55"/>
      <c r="H245" s="55"/>
      <c r="I245" s="56"/>
    </row>
    <row r="246">
      <c r="A246" s="57"/>
      <c r="B246" s="57"/>
      <c r="C246" s="57"/>
      <c r="D246" s="58">
        <f t="shared" si="1"/>
        <v>0</v>
      </c>
      <c r="E246" s="57"/>
      <c r="F246" s="57"/>
      <c r="G246" s="55"/>
      <c r="H246" s="55"/>
      <c r="I246" s="56"/>
    </row>
    <row r="247">
      <c r="A247" s="57"/>
      <c r="B247" s="57"/>
      <c r="C247" s="57"/>
      <c r="D247" s="58">
        <f t="shared" si="1"/>
        <v>0</v>
      </c>
      <c r="E247" s="57"/>
      <c r="F247" s="57"/>
      <c r="G247" s="55"/>
      <c r="H247" s="55"/>
      <c r="I247" s="56"/>
    </row>
    <row r="248">
      <c r="A248" s="57"/>
      <c r="B248" s="57"/>
      <c r="C248" s="57"/>
      <c r="D248" s="58">
        <f t="shared" si="1"/>
        <v>0</v>
      </c>
      <c r="E248" s="57"/>
      <c r="F248" s="57"/>
      <c r="G248" s="55"/>
      <c r="H248" s="55"/>
      <c r="I248" s="56"/>
    </row>
    <row r="249">
      <c r="A249" s="57"/>
      <c r="B249" s="57"/>
      <c r="C249" s="57"/>
      <c r="D249" s="58">
        <f t="shared" si="1"/>
        <v>0</v>
      </c>
      <c r="E249" s="57"/>
      <c r="F249" s="57"/>
      <c r="G249" s="55"/>
      <c r="H249" s="55"/>
      <c r="I249" s="56"/>
    </row>
    <row r="250">
      <c r="A250" s="57"/>
      <c r="B250" s="57"/>
      <c r="C250" s="57"/>
      <c r="D250" s="58">
        <f t="shared" si="1"/>
        <v>0</v>
      </c>
      <c r="E250" s="57"/>
      <c r="F250" s="57"/>
      <c r="G250" s="55"/>
      <c r="H250" s="55"/>
      <c r="I250" s="56"/>
    </row>
    <row r="251">
      <c r="A251" s="57"/>
      <c r="B251" s="57"/>
      <c r="C251" s="57"/>
      <c r="D251" s="58">
        <f t="shared" si="1"/>
        <v>0</v>
      </c>
      <c r="E251" s="57"/>
      <c r="F251" s="57"/>
      <c r="G251" s="55"/>
      <c r="H251" s="55"/>
      <c r="I251" s="56"/>
    </row>
    <row r="252">
      <c r="A252" s="57"/>
      <c r="B252" s="57"/>
      <c r="C252" s="57"/>
      <c r="D252" s="58">
        <f t="shared" si="1"/>
        <v>0</v>
      </c>
      <c r="E252" s="57"/>
      <c r="F252" s="57"/>
      <c r="G252" s="55"/>
      <c r="H252" s="55"/>
      <c r="I252" s="56"/>
    </row>
    <row r="253">
      <c r="A253" s="57"/>
      <c r="B253" s="57"/>
      <c r="C253" s="57"/>
      <c r="D253" s="58">
        <f t="shared" si="1"/>
        <v>0</v>
      </c>
      <c r="E253" s="57"/>
      <c r="F253" s="57"/>
      <c r="G253" s="55"/>
      <c r="H253" s="55"/>
      <c r="I253" s="56"/>
    </row>
    <row r="254">
      <c r="A254" s="57"/>
      <c r="B254" s="57"/>
      <c r="C254" s="57"/>
      <c r="D254" s="58">
        <f t="shared" si="1"/>
        <v>0</v>
      </c>
      <c r="E254" s="57"/>
      <c r="F254" s="57"/>
      <c r="G254" s="55"/>
      <c r="H254" s="55"/>
      <c r="I254" s="56"/>
    </row>
    <row r="255">
      <c r="A255" s="57"/>
      <c r="B255" s="57"/>
      <c r="C255" s="57"/>
      <c r="D255" s="58">
        <f t="shared" si="1"/>
        <v>0</v>
      </c>
      <c r="E255" s="57"/>
      <c r="F255" s="57"/>
      <c r="G255" s="55"/>
      <c r="H255" s="55"/>
      <c r="I255" s="56"/>
    </row>
    <row r="256">
      <c r="A256" s="57"/>
      <c r="B256" s="57"/>
      <c r="C256" s="57"/>
      <c r="D256" s="58">
        <f t="shared" si="1"/>
        <v>0</v>
      </c>
      <c r="E256" s="57"/>
      <c r="F256" s="57"/>
      <c r="G256" s="55"/>
      <c r="H256" s="55"/>
      <c r="I256" s="56"/>
    </row>
    <row r="257">
      <c r="A257" s="57"/>
      <c r="B257" s="57"/>
      <c r="C257" s="57"/>
      <c r="D257" s="58">
        <f t="shared" si="1"/>
        <v>0</v>
      </c>
      <c r="E257" s="57"/>
      <c r="F257" s="57"/>
      <c r="G257" s="55"/>
      <c r="H257" s="55"/>
      <c r="I257" s="56"/>
    </row>
    <row r="258">
      <c r="A258" s="57"/>
      <c r="B258" s="57"/>
      <c r="C258" s="57"/>
      <c r="D258" s="58">
        <f t="shared" si="1"/>
        <v>0</v>
      </c>
      <c r="E258" s="57"/>
      <c r="F258" s="57"/>
      <c r="G258" s="55"/>
      <c r="H258" s="55"/>
      <c r="I258" s="56"/>
    </row>
    <row r="259">
      <c r="A259" s="57"/>
      <c r="B259" s="57"/>
      <c r="C259" s="57"/>
      <c r="D259" s="58">
        <f t="shared" si="1"/>
        <v>0</v>
      </c>
      <c r="E259" s="57"/>
      <c r="F259" s="57"/>
      <c r="G259" s="55"/>
      <c r="H259" s="55"/>
      <c r="I259" s="56"/>
    </row>
    <row r="260">
      <c r="A260" s="57"/>
      <c r="B260" s="57"/>
      <c r="C260" s="57"/>
      <c r="D260" s="58">
        <f t="shared" si="1"/>
        <v>0</v>
      </c>
      <c r="E260" s="57"/>
      <c r="F260" s="57"/>
      <c r="G260" s="55"/>
      <c r="H260" s="55"/>
      <c r="I260" s="56"/>
    </row>
    <row r="261">
      <c r="A261" s="57"/>
      <c r="B261" s="57"/>
      <c r="C261" s="57"/>
      <c r="D261" s="58">
        <f t="shared" si="1"/>
        <v>0</v>
      </c>
      <c r="E261" s="57"/>
      <c r="F261" s="57"/>
      <c r="G261" s="55"/>
      <c r="H261" s="55"/>
      <c r="I261" s="56"/>
    </row>
    <row r="262">
      <c r="A262" s="57"/>
      <c r="B262" s="57"/>
      <c r="C262" s="57"/>
      <c r="D262" s="58">
        <f t="shared" si="1"/>
        <v>0</v>
      </c>
      <c r="E262" s="57"/>
      <c r="F262" s="57"/>
      <c r="G262" s="55"/>
      <c r="H262" s="55"/>
      <c r="I262" s="56"/>
    </row>
    <row r="263">
      <c r="A263" s="57"/>
      <c r="B263" s="57"/>
      <c r="C263" s="57"/>
      <c r="D263" s="58">
        <f t="shared" si="1"/>
        <v>0</v>
      </c>
      <c r="E263" s="57"/>
      <c r="F263" s="57"/>
      <c r="G263" s="55"/>
      <c r="H263" s="55"/>
      <c r="I263" s="56"/>
    </row>
    <row r="264">
      <c r="A264" s="57"/>
      <c r="B264" s="57"/>
      <c r="C264" s="57"/>
      <c r="D264" s="58">
        <f t="shared" si="1"/>
        <v>0</v>
      </c>
      <c r="E264" s="57"/>
      <c r="F264" s="57"/>
      <c r="G264" s="55"/>
      <c r="H264" s="55"/>
      <c r="I264" s="56"/>
    </row>
    <row r="265">
      <c r="A265" s="57"/>
      <c r="B265" s="57"/>
      <c r="C265" s="57"/>
      <c r="D265" s="58">
        <f t="shared" si="1"/>
        <v>0</v>
      </c>
      <c r="E265" s="57"/>
      <c r="F265" s="57"/>
      <c r="G265" s="55"/>
      <c r="H265" s="55"/>
      <c r="I265" s="56"/>
    </row>
    <row r="266">
      <c r="A266" s="57"/>
      <c r="B266" s="57"/>
      <c r="C266" s="57"/>
      <c r="D266" s="58">
        <f t="shared" si="1"/>
        <v>0</v>
      </c>
      <c r="E266" s="57"/>
      <c r="F266" s="57"/>
      <c r="G266" s="55"/>
      <c r="H266" s="55"/>
      <c r="I266" s="56"/>
    </row>
    <row r="267">
      <c r="A267" s="57"/>
      <c r="B267" s="57"/>
      <c r="C267" s="57"/>
      <c r="D267" s="58">
        <f t="shared" si="1"/>
        <v>0</v>
      </c>
      <c r="E267" s="57"/>
      <c r="F267" s="57"/>
      <c r="G267" s="55"/>
      <c r="H267" s="55"/>
      <c r="I267" s="56"/>
    </row>
    <row r="268">
      <c r="A268" s="57"/>
      <c r="B268" s="57"/>
      <c r="C268" s="57"/>
      <c r="D268" s="58">
        <f t="shared" si="1"/>
        <v>0</v>
      </c>
      <c r="E268" s="57"/>
      <c r="F268" s="57"/>
      <c r="G268" s="55"/>
      <c r="H268" s="55"/>
      <c r="I268" s="56"/>
    </row>
    <row r="269">
      <c r="A269" s="57"/>
      <c r="B269" s="57"/>
      <c r="C269" s="57"/>
      <c r="D269" s="58">
        <f t="shared" si="1"/>
        <v>0</v>
      </c>
      <c r="E269" s="57"/>
      <c r="F269" s="57"/>
      <c r="G269" s="55"/>
      <c r="H269" s="55"/>
      <c r="I269" s="56"/>
    </row>
    <row r="270">
      <c r="A270" s="57"/>
      <c r="B270" s="57"/>
      <c r="C270" s="57"/>
      <c r="D270" s="58">
        <f t="shared" si="1"/>
        <v>0</v>
      </c>
      <c r="E270" s="57"/>
      <c r="F270" s="57"/>
      <c r="G270" s="55"/>
      <c r="H270" s="55"/>
      <c r="I270" s="56"/>
    </row>
    <row r="271">
      <c r="A271" s="57"/>
      <c r="B271" s="57"/>
      <c r="C271" s="57"/>
      <c r="D271" s="58">
        <f t="shared" si="1"/>
        <v>0</v>
      </c>
      <c r="E271" s="57"/>
      <c r="F271" s="57"/>
      <c r="G271" s="55"/>
      <c r="H271" s="55"/>
      <c r="I271" s="56"/>
    </row>
    <row r="272">
      <c r="A272" s="57"/>
      <c r="B272" s="57"/>
      <c r="C272" s="57"/>
      <c r="D272" s="58">
        <f t="shared" si="1"/>
        <v>0</v>
      </c>
      <c r="E272" s="57"/>
      <c r="F272" s="57"/>
      <c r="G272" s="55"/>
      <c r="H272" s="55"/>
      <c r="I272" s="56"/>
    </row>
    <row r="273">
      <c r="A273" s="57"/>
      <c r="B273" s="57"/>
      <c r="C273" s="57"/>
      <c r="D273" s="58">
        <f t="shared" si="1"/>
        <v>0</v>
      </c>
      <c r="E273" s="57"/>
      <c r="F273" s="57"/>
      <c r="G273" s="55"/>
      <c r="H273" s="55"/>
      <c r="I273" s="56"/>
    </row>
    <row r="274">
      <c r="A274" s="57"/>
      <c r="B274" s="57"/>
      <c r="C274" s="57"/>
      <c r="D274" s="58">
        <f t="shared" si="1"/>
        <v>0</v>
      </c>
      <c r="E274" s="57"/>
      <c r="F274" s="57"/>
      <c r="G274" s="55"/>
      <c r="H274" s="55"/>
      <c r="I274" s="56"/>
    </row>
    <row r="275">
      <c r="A275" s="57"/>
      <c r="B275" s="57"/>
      <c r="C275" s="57"/>
      <c r="D275" s="58">
        <f t="shared" si="1"/>
        <v>0</v>
      </c>
      <c r="E275" s="57"/>
      <c r="F275" s="57"/>
      <c r="G275" s="55"/>
      <c r="H275" s="55"/>
      <c r="I275" s="56"/>
    </row>
    <row r="276">
      <c r="A276" s="57"/>
      <c r="B276" s="57"/>
      <c r="C276" s="57"/>
      <c r="D276" s="58">
        <f t="shared" si="1"/>
        <v>0</v>
      </c>
      <c r="E276" s="57"/>
      <c r="F276" s="57"/>
      <c r="G276" s="55"/>
      <c r="H276" s="55"/>
      <c r="I276" s="56"/>
    </row>
    <row r="277">
      <c r="A277" s="57"/>
      <c r="B277" s="57"/>
      <c r="C277" s="57"/>
      <c r="D277" s="58">
        <f t="shared" si="1"/>
        <v>0</v>
      </c>
      <c r="E277" s="57"/>
      <c r="F277" s="57"/>
      <c r="G277" s="55"/>
      <c r="H277" s="55"/>
      <c r="I277" s="56"/>
    </row>
    <row r="278">
      <c r="A278" s="57"/>
      <c r="B278" s="57"/>
      <c r="C278" s="57"/>
      <c r="D278" s="58">
        <f t="shared" si="1"/>
        <v>0</v>
      </c>
      <c r="E278" s="57"/>
      <c r="F278" s="57"/>
      <c r="G278" s="55"/>
      <c r="H278" s="55"/>
      <c r="I278" s="56"/>
    </row>
    <row r="279">
      <c r="A279" s="57"/>
      <c r="B279" s="57"/>
      <c r="C279" s="57"/>
      <c r="D279" s="58">
        <f t="shared" si="1"/>
        <v>0</v>
      </c>
      <c r="E279" s="57"/>
      <c r="F279" s="57"/>
      <c r="G279" s="55"/>
      <c r="H279" s="55"/>
      <c r="I279" s="56"/>
    </row>
    <row r="280">
      <c r="A280" s="57"/>
      <c r="B280" s="57"/>
      <c r="C280" s="57"/>
      <c r="D280" s="58">
        <f t="shared" si="1"/>
        <v>0</v>
      </c>
      <c r="E280" s="57"/>
      <c r="F280" s="57"/>
      <c r="G280" s="55"/>
      <c r="H280" s="55"/>
      <c r="I280" s="56"/>
    </row>
    <row r="281">
      <c r="A281" s="57"/>
      <c r="B281" s="57"/>
      <c r="C281" s="57"/>
      <c r="D281" s="58">
        <f t="shared" si="1"/>
        <v>0</v>
      </c>
      <c r="E281" s="57"/>
      <c r="F281" s="57"/>
      <c r="G281" s="55"/>
      <c r="H281" s="55"/>
      <c r="I281" s="56"/>
    </row>
    <row r="282">
      <c r="A282" s="57"/>
      <c r="B282" s="57"/>
      <c r="C282" s="57"/>
      <c r="D282" s="58">
        <f t="shared" si="1"/>
        <v>0</v>
      </c>
      <c r="E282" s="57"/>
      <c r="F282" s="57"/>
      <c r="G282" s="55"/>
      <c r="H282" s="55"/>
      <c r="I282" s="56"/>
    </row>
    <row r="283">
      <c r="A283" s="57"/>
      <c r="B283" s="57"/>
      <c r="C283" s="57"/>
      <c r="D283" s="58">
        <f t="shared" si="1"/>
        <v>0</v>
      </c>
      <c r="E283" s="57"/>
      <c r="F283" s="57"/>
      <c r="G283" s="55"/>
      <c r="H283" s="55"/>
      <c r="I283" s="56"/>
    </row>
    <row r="284">
      <c r="A284" s="57"/>
      <c r="B284" s="57"/>
      <c r="C284" s="57"/>
      <c r="D284" s="58">
        <f t="shared" si="1"/>
        <v>0</v>
      </c>
      <c r="E284" s="57"/>
      <c r="F284" s="57"/>
      <c r="G284" s="55"/>
      <c r="H284" s="55"/>
      <c r="I284" s="56"/>
    </row>
    <row r="285">
      <c r="A285" s="57"/>
      <c r="B285" s="57"/>
      <c r="C285" s="57"/>
      <c r="D285" s="58">
        <f t="shared" si="1"/>
        <v>0</v>
      </c>
      <c r="E285" s="57"/>
      <c r="F285" s="57"/>
      <c r="G285" s="55"/>
      <c r="H285" s="55"/>
      <c r="I285" s="56"/>
    </row>
    <row r="286">
      <c r="A286" s="57"/>
      <c r="B286" s="57"/>
      <c r="C286" s="57"/>
      <c r="D286" s="58">
        <f t="shared" si="1"/>
        <v>0</v>
      </c>
      <c r="E286" s="57"/>
      <c r="F286" s="57"/>
      <c r="G286" s="55"/>
      <c r="H286" s="55"/>
      <c r="I286" s="56"/>
    </row>
    <row r="287">
      <c r="A287" s="57"/>
      <c r="B287" s="57"/>
      <c r="C287" s="57"/>
      <c r="D287" s="58">
        <f t="shared" si="1"/>
        <v>0</v>
      </c>
      <c r="E287" s="57"/>
      <c r="F287" s="57"/>
      <c r="G287" s="55"/>
      <c r="H287" s="55"/>
      <c r="I287" s="56"/>
    </row>
    <row r="288">
      <c r="A288" s="57"/>
      <c r="B288" s="57"/>
      <c r="C288" s="57"/>
      <c r="D288" s="58">
        <f t="shared" si="1"/>
        <v>0</v>
      </c>
      <c r="E288" s="57"/>
      <c r="F288" s="57"/>
      <c r="G288" s="55"/>
      <c r="H288" s="55"/>
      <c r="I288" s="56"/>
    </row>
    <row r="289">
      <c r="A289" s="57"/>
      <c r="B289" s="57"/>
      <c r="C289" s="57"/>
      <c r="D289" s="58">
        <f t="shared" si="1"/>
        <v>0</v>
      </c>
      <c r="E289" s="57"/>
      <c r="F289" s="57"/>
      <c r="G289" s="55"/>
      <c r="H289" s="55"/>
      <c r="I289" s="56"/>
    </row>
    <row r="290">
      <c r="A290" s="57"/>
      <c r="B290" s="57"/>
      <c r="C290" s="57"/>
      <c r="D290" s="58">
        <f t="shared" si="1"/>
        <v>0</v>
      </c>
      <c r="E290" s="57"/>
      <c r="F290" s="57"/>
      <c r="G290" s="55"/>
      <c r="H290" s="55"/>
      <c r="I290" s="56"/>
    </row>
    <row r="291">
      <c r="A291" s="57"/>
      <c r="B291" s="57"/>
      <c r="C291" s="57"/>
      <c r="D291" s="58">
        <f t="shared" si="1"/>
        <v>0</v>
      </c>
      <c r="E291" s="57"/>
      <c r="F291" s="57"/>
      <c r="G291" s="55"/>
      <c r="H291" s="55"/>
      <c r="I291" s="56"/>
    </row>
    <row r="292">
      <c r="A292" s="57"/>
      <c r="B292" s="57"/>
      <c r="C292" s="57"/>
      <c r="D292" s="58">
        <f t="shared" si="1"/>
        <v>0</v>
      </c>
      <c r="E292" s="57"/>
      <c r="F292" s="57"/>
      <c r="G292" s="55"/>
      <c r="H292" s="55"/>
      <c r="I292" s="56"/>
    </row>
    <row r="293">
      <c r="A293" s="57"/>
      <c r="B293" s="57"/>
      <c r="C293" s="57"/>
      <c r="D293" s="58">
        <f t="shared" si="1"/>
        <v>0</v>
      </c>
      <c r="E293" s="57"/>
      <c r="F293" s="57"/>
      <c r="G293" s="55"/>
      <c r="H293" s="55"/>
      <c r="I293" s="56"/>
    </row>
    <row r="294">
      <c r="A294" s="57"/>
      <c r="B294" s="57"/>
      <c r="C294" s="57"/>
      <c r="D294" s="58">
        <f t="shared" si="1"/>
        <v>0</v>
      </c>
      <c r="E294" s="57"/>
      <c r="F294" s="57"/>
      <c r="G294" s="55"/>
      <c r="H294" s="55"/>
      <c r="I294" s="56"/>
    </row>
    <row r="295">
      <c r="A295" s="57"/>
      <c r="B295" s="57"/>
      <c r="C295" s="57"/>
      <c r="D295" s="58">
        <f t="shared" si="1"/>
        <v>0</v>
      </c>
      <c r="E295" s="57"/>
      <c r="F295" s="57"/>
      <c r="G295" s="55"/>
      <c r="H295" s="55"/>
      <c r="I295" s="56"/>
    </row>
    <row r="296">
      <c r="A296" s="57"/>
      <c r="B296" s="57"/>
      <c r="C296" s="57"/>
      <c r="D296" s="58">
        <f t="shared" si="1"/>
        <v>0</v>
      </c>
      <c r="E296" s="57"/>
      <c r="F296" s="57"/>
      <c r="G296" s="55"/>
      <c r="H296" s="55"/>
      <c r="I296" s="56"/>
    </row>
    <row r="297">
      <c r="A297" s="57"/>
      <c r="B297" s="57"/>
      <c r="C297" s="57"/>
      <c r="D297" s="58">
        <f t="shared" si="1"/>
        <v>0</v>
      </c>
      <c r="E297" s="57"/>
      <c r="F297" s="57"/>
      <c r="G297" s="55"/>
      <c r="H297" s="55"/>
      <c r="I297" s="56"/>
    </row>
    <row r="298">
      <c r="A298" s="57"/>
      <c r="B298" s="57"/>
      <c r="C298" s="57"/>
      <c r="D298" s="58">
        <f t="shared" si="1"/>
        <v>0</v>
      </c>
      <c r="E298" s="57"/>
      <c r="F298" s="57"/>
      <c r="G298" s="55"/>
      <c r="H298" s="55"/>
      <c r="I298" s="56"/>
    </row>
    <row r="299">
      <c r="A299" s="57"/>
      <c r="B299" s="57"/>
      <c r="C299" s="57"/>
      <c r="D299" s="58">
        <f t="shared" si="1"/>
        <v>0</v>
      </c>
      <c r="E299" s="57"/>
      <c r="F299" s="57"/>
      <c r="G299" s="55"/>
      <c r="H299" s="55"/>
      <c r="I299" s="56"/>
    </row>
    <row r="300">
      <c r="A300" s="57"/>
      <c r="B300" s="57"/>
      <c r="C300" s="57"/>
      <c r="D300" s="58">
        <f t="shared" si="1"/>
        <v>0</v>
      </c>
      <c r="E300" s="57"/>
      <c r="F300" s="57"/>
      <c r="G300" s="55"/>
      <c r="H300" s="55"/>
      <c r="I300" s="56"/>
    </row>
    <row r="301">
      <c r="A301" s="57"/>
      <c r="B301" s="57"/>
      <c r="C301" s="57"/>
      <c r="D301" s="58">
        <f t="shared" si="1"/>
        <v>0</v>
      </c>
      <c r="E301" s="57"/>
      <c r="F301" s="57"/>
      <c r="G301" s="55"/>
      <c r="H301" s="55"/>
      <c r="I301" s="56"/>
    </row>
    <row r="302">
      <c r="A302" s="57"/>
      <c r="B302" s="57"/>
      <c r="C302" s="57"/>
      <c r="D302" s="58">
        <f t="shared" si="1"/>
        <v>0</v>
      </c>
      <c r="E302" s="57"/>
      <c r="F302" s="57"/>
      <c r="G302" s="55"/>
      <c r="H302" s="55"/>
      <c r="I302" s="56"/>
    </row>
    <row r="303">
      <c r="A303" s="57"/>
      <c r="B303" s="57"/>
      <c r="C303" s="57"/>
      <c r="D303" s="58">
        <f t="shared" si="1"/>
        <v>0</v>
      </c>
      <c r="E303" s="57"/>
      <c r="F303" s="57"/>
      <c r="G303" s="55"/>
      <c r="H303" s="55"/>
      <c r="I303" s="56"/>
    </row>
    <row r="304">
      <c r="A304" s="57"/>
      <c r="B304" s="57"/>
      <c r="C304" s="57"/>
      <c r="D304" s="58">
        <f t="shared" si="1"/>
        <v>0</v>
      </c>
      <c r="E304" s="57"/>
      <c r="F304" s="57"/>
      <c r="G304" s="55"/>
      <c r="H304" s="55"/>
      <c r="I304" s="56"/>
    </row>
    <row r="305">
      <c r="A305" s="57"/>
      <c r="B305" s="57"/>
      <c r="C305" s="57"/>
      <c r="D305" s="58">
        <f t="shared" si="1"/>
        <v>0</v>
      </c>
      <c r="E305" s="57"/>
      <c r="F305" s="57"/>
      <c r="G305" s="55"/>
      <c r="H305" s="55"/>
      <c r="I305" s="56"/>
    </row>
    <row r="306">
      <c r="A306" s="57"/>
      <c r="B306" s="57"/>
      <c r="C306" s="57"/>
      <c r="D306" s="58">
        <f t="shared" si="1"/>
        <v>0</v>
      </c>
      <c r="E306" s="57"/>
      <c r="F306" s="57"/>
      <c r="G306" s="55"/>
      <c r="H306" s="55"/>
      <c r="I306" s="56"/>
    </row>
    <row r="307">
      <c r="A307" s="57"/>
      <c r="B307" s="57"/>
      <c r="C307" s="57"/>
      <c r="D307" s="58">
        <f t="shared" si="1"/>
        <v>0</v>
      </c>
      <c r="E307" s="57"/>
      <c r="F307" s="57"/>
      <c r="G307" s="55"/>
      <c r="H307" s="55"/>
      <c r="I307" s="56"/>
    </row>
    <row r="308">
      <c r="A308" s="57"/>
      <c r="B308" s="57"/>
      <c r="C308" s="57"/>
      <c r="D308" s="58">
        <f t="shared" si="1"/>
        <v>0</v>
      </c>
      <c r="E308" s="57"/>
      <c r="F308" s="57"/>
      <c r="G308" s="55"/>
      <c r="H308" s="55"/>
      <c r="I308" s="56"/>
    </row>
    <row r="309">
      <c r="A309" s="57"/>
      <c r="B309" s="57"/>
      <c r="C309" s="57"/>
      <c r="D309" s="58">
        <f t="shared" si="1"/>
        <v>0</v>
      </c>
      <c r="E309" s="57"/>
      <c r="F309" s="57"/>
      <c r="G309" s="55"/>
      <c r="H309" s="55"/>
      <c r="I309" s="56"/>
    </row>
    <row r="310">
      <c r="A310" s="57"/>
      <c r="B310" s="57"/>
      <c r="C310" s="57"/>
      <c r="D310" s="58">
        <f t="shared" si="1"/>
        <v>0</v>
      </c>
      <c r="E310" s="57"/>
      <c r="F310" s="57"/>
      <c r="G310" s="55"/>
      <c r="H310" s="55"/>
      <c r="I310" s="56"/>
    </row>
    <row r="311">
      <c r="A311" s="57"/>
      <c r="B311" s="57"/>
      <c r="C311" s="57"/>
      <c r="D311" s="58">
        <f t="shared" si="1"/>
        <v>0</v>
      </c>
      <c r="E311" s="57"/>
      <c r="F311" s="57"/>
      <c r="G311" s="55"/>
      <c r="H311" s="55"/>
      <c r="I311" s="56"/>
    </row>
    <row r="312">
      <c r="A312" s="57"/>
      <c r="B312" s="57"/>
      <c r="C312" s="57"/>
      <c r="D312" s="58">
        <f t="shared" si="1"/>
        <v>0</v>
      </c>
      <c r="E312" s="57"/>
      <c r="F312" s="57"/>
      <c r="G312" s="55"/>
      <c r="H312" s="55"/>
      <c r="I312" s="56"/>
    </row>
    <row r="313">
      <c r="A313" s="57"/>
      <c r="B313" s="57"/>
      <c r="C313" s="57"/>
      <c r="D313" s="58">
        <f t="shared" si="1"/>
        <v>0</v>
      </c>
      <c r="E313" s="57"/>
      <c r="F313" s="57"/>
      <c r="G313" s="55"/>
      <c r="H313" s="55"/>
      <c r="I313" s="56"/>
    </row>
    <row r="314">
      <c r="A314" s="57"/>
      <c r="B314" s="57"/>
      <c r="C314" s="57"/>
      <c r="D314" s="58">
        <f t="shared" si="1"/>
        <v>0</v>
      </c>
      <c r="E314" s="57"/>
      <c r="F314" s="57"/>
      <c r="G314" s="55"/>
      <c r="H314" s="55"/>
      <c r="I314" s="56"/>
    </row>
    <row r="315">
      <c r="A315" s="57"/>
      <c r="B315" s="57"/>
      <c r="C315" s="57"/>
      <c r="D315" s="58">
        <f t="shared" si="1"/>
        <v>0</v>
      </c>
      <c r="E315" s="57"/>
      <c r="F315" s="57"/>
      <c r="G315" s="55"/>
      <c r="H315" s="55"/>
      <c r="I315" s="56"/>
    </row>
    <row r="316">
      <c r="A316" s="57"/>
      <c r="B316" s="57"/>
      <c r="C316" s="57"/>
      <c r="D316" s="58">
        <f t="shared" si="1"/>
        <v>0</v>
      </c>
      <c r="E316" s="57"/>
      <c r="F316" s="57"/>
      <c r="G316" s="55"/>
      <c r="H316" s="55"/>
      <c r="I316" s="56"/>
    </row>
    <row r="317">
      <c r="A317" s="57"/>
      <c r="B317" s="57"/>
      <c r="C317" s="57"/>
      <c r="D317" s="58">
        <f t="shared" si="1"/>
        <v>0</v>
      </c>
      <c r="E317" s="57"/>
      <c r="F317" s="57"/>
      <c r="G317" s="55"/>
      <c r="H317" s="55"/>
      <c r="I317" s="56"/>
    </row>
    <row r="318">
      <c r="A318" s="57"/>
      <c r="B318" s="57"/>
      <c r="C318" s="57"/>
      <c r="D318" s="58">
        <f t="shared" si="1"/>
        <v>0</v>
      </c>
      <c r="E318" s="57"/>
      <c r="F318" s="57"/>
      <c r="G318" s="55"/>
      <c r="H318" s="55"/>
      <c r="I318" s="56"/>
    </row>
    <row r="319">
      <c r="A319" s="57"/>
      <c r="B319" s="57"/>
      <c r="C319" s="57"/>
      <c r="D319" s="58">
        <f t="shared" si="1"/>
        <v>0</v>
      </c>
      <c r="E319" s="57"/>
      <c r="F319" s="57"/>
      <c r="G319" s="55"/>
      <c r="H319" s="55"/>
      <c r="I319" s="56"/>
    </row>
    <row r="320">
      <c r="A320" s="57"/>
      <c r="B320" s="57"/>
      <c r="C320" s="57"/>
      <c r="D320" s="58">
        <f t="shared" si="1"/>
        <v>0</v>
      </c>
      <c r="E320" s="57"/>
      <c r="F320" s="57"/>
      <c r="G320" s="55"/>
      <c r="H320" s="55"/>
      <c r="I320" s="56"/>
    </row>
    <row r="321">
      <c r="A321" s="57"/>
      <c r="B321" s="57"/>
      <c r="C321" s="57"/>
      <c r="D321" s="58">
        <f t="shared" si="1"/>
        <v>0</v>
      </c>
      <c r="E321" s="57"/>
      <c r="F321" s="57"/>
      <c r="G321" s="55"/>
      <c r="H321" s="55"/>
      <c r="I321" s="56"/>
    </row>
    <row r="322">
      <c r="A322" s="57"/>
      <c r="B322" s="57"/>
      <c r="C322" s="57"/>
      <c r="D322" s="58">
        <f t="shared" si="1"/>
        <v>0</v>
      </c>
      <c r="E322" s="57"/>
      <c r="F322" s="57"/>
      <c r="G322" s="55"/>
      <c r="H322" s="55"/>
      <c r="I322" s="56"/>
    </row>
    <row r="323">
      <c r="A323" s="57"/>
      <c r="B323" s="57"/>
      <c r="C323" s="57"/>
      <c r="D323" s="58">
        <f t="shared" si="1"/>
        <v>0</v>
      </c>
      <c r="E323" s="57"/>
      <c r="F323" s="57"/>
      <c r="G323" s="55"/>
      <c r="H323" s="55"/>
      <c r="I323" s="56"/>
    </row>
    <row r="324">
      <c r="A324" s="57"/>
      <c r="B324" s="57"/>
      <c r="C324" s="57"/>
      <c r="D324" s="58">
        <f t="shared" si="1"/>
        <v>0</v>
      </c>
      <c r="E324" s="57"/>
      <c r="F324" s="57"/>
      <c r="G324" s="55"/>
      <c r="H324" s="55"/>
      <c r="I324" s="56"/>
    </row>
    <row r="325">
      <c r="A325" s="57"/>
      <c r="B325" s="57"/>
      <c r="C325" s="57"/>
      <c r="D325" s="58">
        <f t="shared" si="1"/>
        <v>0</v>
      </c>
      <c r="E325" s="57"/>
      <c r="F325" s="57"/>
      <c r="G325" s="55"/>
      <c r="H325" s="55"/>
      <c r="I325" s="56"/>
    </row>
    <row r="326">
      <c r="A326" s="57"/>
      <c r="B326" s="57"/>
      <c r="C326" s="57"/>
      <c r="D326" s="58">
        <f t="shared" si="1"/>
        <v>0</v>
      </c>
      <c r="E326" s="57"/>
      <c r="F326" s="57"/>
      <c r="G326" s="55"/>
      <c r="H326" s="55"/>
      <c r="I326" s="56"/>
    </row>
    <row r="327">
      <c r="A327" s="57"/>
      <c r="B327" s="57"/>
      <c r="C327" s="57"/>
      <c r="D327" s="58">
        <f t="shared" si="1"/>
        <v>0</v>
      </c>
      <c r="E327" s="57"/>
      <c r="F327" s="57"/>
      <c r="G327" s="55"/>
      <c r="H327" s="55"/>
      <c r="I327" s="56"/>
    </row>
    <row r="328">
      <c r="A328" s="57"/>
      <c r="B328" s="57"/>
      <c r="C328" s="57"/>
      <c r="D328" s="58">
        <f t="shared" si="1"/>
        <v>0</v>
      </c>
      <c r="E328" s="57"/>
      <c r="F328" s="57"/>
      <c r="G328" s="55"/>
      <c r="H328" s="55"/>
      <c r="I328" s="56"/>
    </row>
    <row r="329">
      <c r="A329" s="57"/>
      <c r="B329" s="57"/>
      <c r="C329" s="57"/>
      <c r="D329" s="58">
        <f t="shared" si="1"/>
        <v>0</v>
      </c>
      <c r="E329" s="57"/>
      <c r="F329" s="57"/>
      <c r="G329" s="55"/>
      <c r="H329" s="55"/>
      <c r="I329" s="56"/>
    </row>
    <row r="330">
      <c r="A330" s="57"/>
      <c r="B330" s="57"/>
      <c r="C330" s="57"/>
      <c r="D330" s="58">
        <f t="shared" si="1"/>
        <v>0</v>
      </c>
      <c r="E330" s="57"/>
      <c r="F330" s="57"/>
      <c r="G330" s="55"/>
      <c r="H330" s="55"/>
      <c r="I330" s="56"/>
    </row>
    <row r="331">
      <c r="A331" s="57"/>
      <c r="B331" s="57"/>
      <c r="C331" s="57"/>
      <c r="D331" s="58">
        <f t="shared" si="1"/>
        <v>0</v>
      </c>
      <c r="E331" s="57"/>
      <c r="F331" s="57"/>
      <c r="G331" s="55"/>
      <c r="H331" s="55"/>
      <c r="I331" s="56"/>
    </row>
    <row r="332">
      <c r="A332" s="57"/>
      <c r="B332" s="57"/>
      <c r="C332" s="57"/>
      <c r="D332" s="58">
        <f t="shared" si="1"/>
        <v>0</v>
      </c>
      <c r="E332" s="57"/>
      <c r="F332" s="57"/>
      <c r="G332" s="55"/>
      <c r="H332" s="55"/>
      <c r="I332" s="56"/>
    </row>
    <row r="333">
      <c r="A333" s="57"/>
      <c r="B333" s="57"/>
      <c r="C333" s="57"/>
      <c r="D333" s="58">
        <f t="shared" si="1"/>
        <v>0</v>
      </c>
      <c r="E333" s="57"/>
      <c r="F333" s="57"/>
      <c r="G333" s="55"/>
      <c r="H333" s="55"/>
      <c r="I333" s="56"/>
    </row>
    <row r="334">
      <c r="A334" s="57"/>
      <c r="B334" s="57"/>
      <c r="C334" s="57"/>
      <c r="D334" s="58">
        <f t="shared" si="1"/>
        <v>0</v>
      </c>
      <c r="E334" s="57"/>
      <c r="F334" s="57"/>
      <c r="G334" s="55"/>
      <c r="H334" s="55"/>
      <c r="I334" s="56"/>
    </row>
    <row r="335">
      <c r="A335" s="57"/>
      <c r="B335" s="57"/>
      <c r="C335" s="57"/>
      <c r="D335" s="58">
        <f t="shared" si="1"/>
        <v>0</v>
      </c>
      <c r="E335" s="57"/>
      <c r="F335" s="57"/>
      <c r="G335" s="55"/>
      <c r="H335" s="55"/>
      <c r="I335" s="56"/>
    </row>
    <row r="336">
      <c r="A336" s="57"/>
      <c r="B336" s="57"/>
      <c r="C336" s="57"/>
      <c r="D336" s="58">
        <f t="shared" si="1"/>
        <v>0</v>
      </c>
      <c r="E336" s="57"/>
      <c r="F336" s="57"/>
      <c r="G336" s="55"/>
      <c r="H336" s="55"/>
      <c r="I336" s="56"/>
    </row>
    <row r="337">
      <c r="A337" s="57"/>
      <c r="B337" s="57"/>
      <c r="C337" s="57"/>
      <c r="D337" s="58">
        <f t="shared" si="1"/>
        <v>0</v>
      </c>
      <c r="E337" s="57"/>
      <c r="F337" s="57"/>
      <c r="G337" s="55"/>
      <c r="H337" s="55"/>
      <c r="I337" s="56"/>
    </row>
    <row r="338">
      <c r="A338" s="57"/>
      <c r="B338" s="57"/>
      <c r="C338" s="57"/>
      <c r="D338" s="58">
        <f t="shared" si="1"/>
        <v>0</v>
      </c>
      <c r="E338" s="57"/>
      <c r="F338" s="57"/>
      <c r="G338" s="55"/>
      <c r="H338" s="55"/>
      <c r="I338" s="56"/>
    </row>
    <row r="339">
      <c r="A339" s="57"/>
      <c r="B339" s="57"/>
      <c r="C339" s="57"/>
      <c r="D339" s="58">
        <f t="shared" si="1"/>
        <v>0</v>
      </c>
      <c r="E339" s="57"/>
      <c r="F339" s="57"/>
      <c r="G339" s="55"/>
      <c r="H339" s="55"/>
      <c r="I339" s="56"/>
    </row>
    <row r="340">
      <c r="A340" s="57"/>
      <c r="B340" s="57"/>
      <c r="C340" s="57"/>
      <c r="D340" s="58">
        <f t="shared" si="1"/>
        <v>0</v>
      </c>
      <c r="E340" s="57"/>
      <c r="F340" s="57"/>
      <c r="G340" s="55"/>
      <c r="H340" s="55"/>
      <c r="I340" s="56"/>
    </row>
    <row r="341">
      <c r="A341" s="57"/>
      <c r="B341" s="57"/>
      <c r="C341" s="57"/>
      <c r="D341" s="58">
        <f t="shared" si="1"/>
        <v>0</v>
      </c>
      <c r="E341" s="57"/>
      <c r="F341" s="57"/>
      <c r="G341" s="55"/>
      <c r="H341" s="55"/>
      <c r="I341" s="56"/>
    </row>
    <row r="342">
      <c r="A342" s="57"/>
      <c r="B342" s="57"/>
      <c r="C342" s="57"/>
      <c r="D342" s="58">
        <f t="shared" si="1"/>
        <v>0</v>
      </c>
      <c r="E342" s="57"/>
      <c r="F342" s="57"/>
      <c r="G342" s="55"/>
      <c r="H342" s="55"/>
      <c r="I342" s="56"/>
    </row>
    <row r="343">
      <c r="A343" s="57"/>
      <c r="B343" s="57"/>
      <c r="C343" s="57"/>
      <c r="D343" s="58">
        <f t="shared" si="1"/>
        <v>0</v>
      </c>
      <c r="E343" s="57"/>
      <c r="F343" s="57"/>
      <c r="G343" s="55"/>
      <c r="H343" s="55"/>
      <c r="I343" s="56"/>
    </row>
    <row r="344">
      <c r="A344" s="57"/>
      <c r="B344" s="57"/>
      <c r="C344" s="57"/>
      <c r="D344" s="58">
        <f t="shared" si="1"/>
        <v>0</v>
      </c>
      <c r="E344" s="57"/>
      <c r="F344" s="57"/>
      <c r="G344" s="55"/>
      <c r="H344" s="55"/>
      <c r="I344" s="56"/>
    </row>
    <row r="345">
      <c r="A345" s="57"/>
      <c r="B345" s="57"/>
      <c r="C345" s="57"/>
      <c r="D345" s="58">
        <f t="shared" si="1"/>
        <v>0</v>
      </c>
      <c r="E345" s="57"/>
      <c r="F345" s="57"/>
      <c r="G345" s="55"/>
      <c r="H345" s="55"/>
      <c r="I345" s="56"/>
    </row>
    <row r="346">
      <c r="A346" s="57"/>
      <c r="B346" s="57"/>
      <c r="C346" s="57"/>
      <c r="D346" s="58">
        <f t="shared" si="1"/>
        <v>0</v>
      </c>
      <c r="E346" s="57"/>
      <c r="F346" s="57"/>
      <c r="G346" s="55"/>
      <c r="H346" s="55"/>
      <c r="I346" s="56"/>
    </row>
    <row r="347">
      <c r="A347" s="57"/>
      <c r="B347" s="57"/>
      <c r="C347" s="57"/>
      <c r="D347" s="58">
        <f t="shared" si="1"/>
        <v>0</v>
      </c>
      <c r="E347" s="57"/>
      <c r="F347" s="57"/>
      <c r="G347" s="55"/>
      <c r="H347" s="55"/>
      <c r="I347" s="56"/>
    </row>
    <row r="348">
      <c r="A348" s="57"/>
      <c r="B348" s="57"/>
      <c r="C348" s="57"/>
      <c r="D348" s="58">
        <f t="shared" si="1"/>
        <v>0</v>
      </c>
      <c r="E348" s="57"/>
      <c r="F348" s="57"/>
      <c r="G348" s="55"/>
      <c r="H348" s="55"/>
      <c r="I348" s="56"/>
    </row>
    <row r="349">
      <c r="A349" s="57"/>
      <c r="B349" s="57"/>
      <c r="C349" s="57"/>
      <c r="D349" s="58">
        <f t="shared" si="1"/>
        <v>0</v>
      </c>
      <c r="E349" s="57"/>
      <c r="F349" s="57"/>
      <c r="G349" s="55"/>
      <c r="H349" s="55"/>
      <c r="I349" s="56"/>
    </row>
    <row r="350">
      <c r="A350" s="57"/>
      <c r="B350" s="57"/>
      <c r="C350" s="57"/>
      <c r="D350" s="58">
        <f t="shared" si="1"/>
        <v>0</v>
      </c>
      <c r="E350" s="57"/>
      <c r="F350" s="57"/>
      <c r="G350" s="55"/>
      <c r="H350" s="55"/>
      <c r="I350" s="56"/>
    </row>
    <row r="351">
      <c r="A351" s="57"/>
      <c r="B351" s="57"/>
      <c r="C351" s="57"/>
      <c r="D351" s="58">
        <f t="shared" si="1"/>
        <v>0</v>
      </c>
      <c r="E351" s="57"/>
      <c r="F351" s="57"/>
      <c r="G351" s="55"/>
      <c r="H351" s="55"/>
      <c r="I351" s="56"/>
    </row>
    <row r="352">
      <c r="A352" s="57"/>
      <c r="B352" s="57"/>
      <c r="C352" s="57"/>
      <c r="D352" s="58">
        <f t="shared" si="1"/>
        <v>0</v>
      </c>
      <c r="E352" s="57"/>
      <c r="F352" s="57"/>
      <c r="G352" s="55"/>
      <c r="H352" s="55"/>
      <c r="I352" s="56"/>
    </row>
    <row r="353">
      <c r="A353" s="57"/>
      <c r="B353" s="57"/>
      <c r="C353" s="57"/>
      <c r="D353" s="58">
        <f t="shared" si="1"/>
        <v>0</v>
      </c>
      <c r="E353" s="57"/>
      <c r="F353" s="57"/>
      <c r="G353" s="55"/>
      <c r="H353" s="55"/>
      <c r="I353" s="56"/>
    </row>
    <row r="354">
      <c r="A354" s="57"/>
      <c r="B354" s="57"/>
      <c r="C354" s="57"/>
      <c r="D354" s="58">
        <f t="shared" si="1"/>
        <v>0</v>
      </c>
      <c r="E354" s="57"/>
      <c r="F354" s="57"/>
      <c r="G354" s="55"/>
      <c r="H354" s="55"/>
      <c r="I354" s="56"/>
    </row>
    <row r="355">
      <c r="A355" s="57"/>
      <c r="B355" s="57"/>
      <c r="C355" s="57"/>
      <c r="D355" s="58">
        <f t="shared" si="1"/>
        <v>0</v>
      </c>
      <c r="E355" s="57"/>
      <c r="F355" s="57"/>
      <c r="G355" s="55"/>
      <c r="H355" s="55"/>
      <c r="I355" s="56"/>
    </row>
    <row r="356">
      <c r="A356" s="57"/>
      <c r="B356" s="57"/>
      <c r="C356" s="57"/>
      <c r="D356" s="58">
        <f t="shared" si="1"/>
        <v>0</v>
      </c>
      <c r="E356" s="57"/>
      <c r="F356" s="57"/>
      <c r="G356" s="55"/>
      <c r="H356" s="55"/>
      <c r="I356" s="56"/>
    </row>
    <row r="357">
      <c r="A357" s="57"/>
      <c r="B357" s="57"/>
      <c r="C357" s="57"/>
      <c r="D357" s="58">
        <f t="shared" si="1"/>
        <v>0</v>
      </c>
      <c r="E357" s="57"/>
      <c r="F357" s="57"/>
      <c r="G357" s="55"/>
      <c r="H357" s="55"/>
      <c r="I357" s="56"/>
    </row>
    <row r="358">
      <c r="A358" s="57"/>
      <c r="B358" s="57"/>
      <c r="C358" s="57"/>
      <c r="D358" s="58">
        <f t="shared" si="1"/>
        <v>0</v>
      </c>
      <c r="E358" s="57"/>
      <c r="F358" s="57"/>
      <c r="G358" s="55"/>
      <c r="H358" s="55"/>
      <c r="I358" s="56"/>
    </row>
    <row r="359">
      <c r="A359" s="57"/>
      <c r="B359" s="57"/>
      <c r="C359" s="57"/>
      <c r="D359" s="58">
        <f t="shared" si="1"/>
        <v>0</v>
      </c>
      <c r="E359" s="57"/>
      <c r="F359" s="57"/>
      <c r="G359" s="55"/>
      <c r="H359" s="55"/>
      <c r="I359" s="56"/>
    </row>
    <row r="360">
      <c r="A360" s="57"/>
      <c r="B360" s="57"/>
      <c r="C360" s="57"/>
      <c r="D360" s="58">
        <f t="shared" si="1"/>
        <v>0</v>
      </c>
      <c r="E360" s="57"/>
      <c r="F360" s="57"/>
      <c r="G360" s="55"/>
      <c r="H360" s="55"/>
      <c r="I360" s="56"/>
    </row>
    <row r="361">
      <c r="A361" s="57"/>
      <c r="B361" s="57"/>
      <c r="C361" s="57"/>
      <c r="D361" s="58">
        <f t="shared" si="1"/>
        <v>0</v>
      </c>
      <c r="E361" s="57"/>
      <c r="F361" s="57"/>
      <c r="G361" s="55"/>
      <c r="H361" s="55"/>
      <c r="I361" s="56"/>
    </row>
    <row r="362">
      <c r="A362" s="57"/>
      <c r="B362" s="57"/>
      <c r="C362" s="57"/>
      <c r="D362" s="58">
        <f t="shared" si="1"/>
        <v>0</v>
      </c>
      <c r="E362" s="57"/>
      <c r="F362" s="57"/>
      <c r="G362" s="55"/>
      <c r="H362" s="55"/>
      <c r="I362" s="56"/>
    </row>
    <row r="363">
      <c r="A363" s="57"/>
      <c r="B363" s="57"/>
      <c r="C363" s="57"/>
      <c r="D363" s="58">
        <f t="shared" si="1"/>
        <v>0</v>
      </c>
      <c r="E363" s="57"/>
      <c r="F363" s="57"/>
      <c r="G363" s="55"/>
      <c r="H363" s="55"/>
      <c r="I363" s="56"/>
    </row>
    <row r="364">
      <c r="A364" s="57"/>
      <c r="B364" s="57"/>
      <c r="C364" s="57"/>
      <c r="D364" s="58">
        <f t="shared" si="1"/>
        <v>0</v>
      </c>
      <c r="E364" s="57"/>
      <c r="F364" s="57"/>
      <c r="G364" s="55"/>
      <c r="H364" s="55"/>
      <c r="I364" s="56"/>
    </row>
    <row r="365">
      <c r="A365" s="57"/>
      <c r="B365" s="57"/>
      <c r="C365" s="57"/>
      <c r="D365" s="58">
        <f t="shared" si="1"/>
        <v>0</v>
      </c>
      <c r="E365" s="57"/>
      <c r="F365" s="57"/>
      <c r="G365" s="55"/>
      <c r="H365" s="55"/>
      <c r="I365" s="56"/>
    </row>
    <row r="366">
      <c r="A366" s="57"/>
      <c r="B366" s="57"/>
      <c r="C366" s="57"/>
      <c r="D366" s="58">
        <f t="shared" si="1"/>
        <v>0</v>
      </c>
      <c r="E366" s="57"/>
      <c r="F366" s="57"/>
      <c r="G366" s="55"/>
      <c r="H366" s="55"/>
      <c r="I366" s="56"/>
    </row>
    <row r="367">
      <c r="A367" s="57"/>
      <c r="B367" s="57"/>
      <c r="C367" s="57"/>
      <c r="D367" s="58">
        <f t="shared" si="1"/>
        <v>0</v>
      </c>
      <c r="E367" s="57"/>
      <c r="F367" s="57"/>
      <c r="G367" s="55"/>
      <c r="H367" s="55"/>
      <c r="I367" s="56"/>
    </row>
    <row r="368">
      <c r="A368" s="57"/>
      <c r="B368" s="57"/>
      <c r="C368" s="57"/>
      <c r="D368" s="58">
        <f t="shared" si="1"/>
        <v>0</v>
      </c>
      <c r="E368" s="57"/>
      <c r="F368" s="57"/>
      <c r="G368" s="55"/>
      <c r="H368" s="55"/>
      <c r="I368" s="56"/>
    </row>
    <row r="369">
      <c r="A369" s="57"/>
      <c r="B369" s="57"/>
      <c r="C369" s="57"/>
      <c r="D369" s="58">
        <f t="shared" si="1"/>
        <v>0</v>
      </c>
      <c r="E369" s="57"/>
      <c r="F369" s="57"/>
      <c r="G369" s="55"/>
      <c r="H369" s="55"/>
      <c r="I369" s="56"/>
    </row>
    <row r="370">
      <c r="A370" s="57"/>
      <c r="B370" s="57"/>
      <c r="C370" s="57"/>
      <c r="D370" s="58">
        <f t="shared" si="1"/>
        <v>0</v>
      </c>
      <c r="E370" s="57"/>
      <c r="F370" s="57"/>
      <c r="G370" s="55"/>
      <c r="H370" s="55"/>
      <c r="I370" s="56"/>
    </row>
    <row r="371">
      <c r="A371" s="57"/>
      <c r="B371" s="57"/>
      <c r="C371" s="57"/>
      <c r="D371" s="58">
        <f t="shared" si="1"/>
        <v>0</v>
      </c>
      <c r="E371" s="57"/>
      <c r="F371" s="57"/>
      <c r="G371" s="55"/>
      <c r="H371" s="55"/>
      <c r="I371" s="56"/>
    </row>
    <row r="372">
      <c r="A372" s="57"/>
      <c r="B372" s="57"/>
      <c r="C372" s="57"/>
      <c r="D372" s="58">
        <f t="shared" si="1"/>
        <v>0</v>
      </c>
      <c r="E372" s="57"/>
      <c r="F372" s="57"/>
      <c r="G372" s="55"/>
      <c r="H372" s="55"/>
      <c r="I372" s="56"/>
    </row>
    <row r="373">
      <c r="A373" s="57"/>
      <c r="B373" s="57"/>
      <c r="C373" s="57"/>
      <c r="D373" s="58">
        <f t="shared" si="1"/>
        <v>0</v>
      </c>
      <c r="E373" s="57"/>
      <c r="F373" s="57"/>
      <c r="G373" s="55"/>
      <c r="H373" s="55"/>
      <c r="I373" s="56"/>
    </row>
    <row r="374">
      <c r="A374" s="57"/>
      <c r="B374" s="57"/>
      <c r="C374" s="57"/>
      <c r="D374" s="58">
        <f t="shared" si="1"/>
        <v>0</v>
      </c>
      <c r="E374" s="57"/>
      <c r="F374" s="57"/>
      <c r="G374" s="55"/>
      <c r="H374" s="55"/>
      <c r="I374" s="56"/>
    </row>
    <row r="375">
      <c r="A375" s="57"/>
      <c r="B375" s="57"/>
      <c r="C375" s="57"/>
      <c r="D375" s="58">
        <f t="shared" si="1"/>
        <v>0</v>
      </c>
      <c r="E375" s="57"/>
      <c r="F375" s="57"/>
      <c r="G375" s="55"/>
      <c r="H375" s="55"/>
      <c r="I375" s="56"/>
    </row>
    <row r="376">
      <c r="A376" s="57"/>
      <c r="B376" s="57"/>
      <c r="C376" s="57"/>
      <c r="D376" s="58">
        <f t="shared" si="1"/>
        <v>0</v>
      </c>
      <c r="E376" s="57"/>
      <c r="F376" s="57"/>
      <c r="G376" s="55"/>
      <c r="H376" s="55"/>
      <c r="I376" s="56"/>
    </row>
    <row r="377">
      <c r="A377" s="57"/>
      <c r="B377" s="57"/>
      <c r="C377" s="57"/>
      <c r="D377" s="58">
        <f t="shared" si="1"/>
        <v>0</v>
      </c>
      <c r="E377" s="57"/>
      <c r="F377" s="57"/>
      <c r="G377" s="55"/>
      <c r="H377" s="55"/>
      <c r="I377" s="56"/>
    </row>
    <row r="378">
      <c r="A378" s="57"/>
      <c r="B378" s="57"/>
      <c r="C378" s="57"/>
      <c r="D378" s="58">
        <f t="shared" si="1"/>
        <v>0</v>
      </c>
      <c r="E378" s="57"/>
      <c r="F378" s="57"/>
      <c r="G378" s="55"/>
      <c r="H378" s="55"/>
      <c r="I378" s="56"/>
    </row>
    <row r="379">
      <c r="A379" s="57"/>
      <c r="B379" s="57"/>
      <c r="C379" s="57"/>
      <c r="D379" s="58">
        <f t="shared" si="1"/>
        <v>0</v>
      </c>
      <c r="E379" s="57"/>
      <c r="F379" s="57"/>
      <c r="G379" s="55"/>
      <c r="H379" s="55"/>
      <c r="I379" s="56"/>
    </row>
    <row r="380">
      <c r="A380" s="57"/>
      <c r="B380" s="57"/>
      <c r="C380" s="57"/>
      <c r="D380" s="58">
        <f t="shared" si="1"/>
        <v>0</v>
      </c>
      <c r="E380" s="57"/>
      <c r="F380" s="57"/>
      <c r="G380" s="55"/>
      <c r="H380" s="55"/>
      <c r="I380" s="56"/>
    </row>
    <row r="381">
      <c r="A381" s="57"/>
      <c r="B381" s="57"/>
      <c r="C381" s="57"/>
      <c r="D381" s="58">
        <f t="shared" si="1"/>
        <v>0</v>
      </c>
      <c r="E381" s="57"/>
      <c r="F381" s="57"/>
      <c r="G381" s="55"/>
      <c r="H381" s="55"/>
      <c r="I381" s="56"/>
    </row>
    <row r="382">
      <c r="A382" s="57"/>
      <c r="B382" s="57"/>
      <c r="C382" s="57"/>
      <c r="D382" s="58">
        <f t="shared" si="1"/>
        <v>0</v>
      </c>
      <c r="E382" s="57"/>
      <c r="F382" s="57"/>
      <c r="G382" s="55"/>
      <c r="H382" s="55"/>
      <c r="I382" s="56"/>
    </row>
    <row r="383">
      <c r="A383" s="57"/>
      <c r="B383" s="57"/>
      <c r="C383" s="57"/>
      <c r="D383" s="58">
        <f t="shared" si="1"/>
        <v>0</v>
      </c>
      <c r="E383" s="57"/>
      <c r="F383" s="57"/>
      <c r="G383" s="55"/>
      <c r="H383" s="55"/>
      <c r="I383" s="56"/>
    </row>
    <row r="384">
      <c r="A384" s="57"/>
      <c r="B384" s="57"/>
      <c r="C384" s="57"/>
      <c r="D384" s="58">
        <f t="shared" si="1"/>
        <v>0</v>
      </c>
      <c r="E384" s="57"/>
      <c r="F384" s="57"/>
      <c r="G384" s="55"/>
      <c r="H384" s="55"/>
      <c r="I384" s="56"/>
    </row>
    <row r="385">
      <c r="A385" s="57"/>
      <c r="B385" s="57"/>
      <c r="C385" s="57"/>
      <c r="D385" s="58">
        <f t="shared" si="1"/>
        <v>0</v>
      </c>
      <c r="E385" s="57"/>
      <c r="F385" s="57"/>
      <c r="G385" s="55"/>
      <c r="H385" s="55"/>
      <c r="I385" s="56"/>
    </row>
    <row r="386">
      <c r="A386" s="57"/>
      <c r="B386" s="57"/>
      <c r="C386" s="57"/>
      <c r="D386" s="58">
        <f t="shared" si="1"/>
        <v>0</v>
      </c>
      <c r="E386" s="57"/>
      <c r="F386" s="57"/>
      <c r="G386" s="55"/>
      <c r="H386" s="55"/>
      <c r="I386" s="56"/>
    </row>
    <row r="387">
      <c r="A387" s="57"/>
      <c r="B387" s="57"/>
      <c r="C387" s="57"/>
      <c r="D387" s="58">
        <f t="shared" si="1"/>
        <v>0</v>
      </c>
      <c r="E387" s="57"/>
      <c r="F387" s="57"/>
      <c r="G387" s="55"/>
      <c r="H387" s="55"/>
      <c r="I387" s="56"/>
    </row>
    <row r="388">
      <c r="A388" s="57"/>
      <c r="B388" s="57"/>
      <c r="C388" s="57"/>
      <c r="D388" s="58">
        <f t="shared" si="1"/>
        <v>0</v>
      </c>
      <c r="E388" s="57"/>
      <c r="F388" s="57"/>
      <c r="G388" s="55"/>
      <c r="H388" s="55"/>
      <c r="I388" s="56"/>
    </row>
    <row r="389">
      <c r="A389" s="57"/>
      <c r="B389" s="57"/>
      <c r="C389" s="57"/>
      <c r="D389" s="58">
        <f t="shared" si="1"/>
        <v>0</v>
      </c>
      <c r="E389" s="57"/>
      <c r="F389" s="57"/>
      <c r="G389" s="55"/>
      <c r="H389" s="55"/>
      <c r="I389" s="56"/>
    </row>
    <row r="390">
      <c r="A390" s="57"/>
      <c r="B390" s="57"/>
      <c r="C390" s="57"/>
      <c r="D390" s="58">
        <f t="shared" si="1"/>
        <v>0</v>
      </c>
      <c r="E390" s="57"/>
      <c r="F390" s="57"/>
      <c r="G390" s="55"/>
      <c r="H390" s="55"/>
      <c r="I390" s="56"/>
    </row>
    <row r="391">
      <c r="A391" s="57"/>
      <c r="B391" s="57"/>
      <c r="C391" s="57"/>
      <c r="D391" s="58">
        <f t="shared" si="1"/>
        <v>0</v>
      </c>
      <c r="E391" s="57"/>
      <c r="F391" s="57"/>
      <c r="G391" s="55"/>
      <c r="H391" s="55"/>
      <c r="I391" s="56"/>
    </row>
    <row r="392">
      <c r="A392" s="57"/>
      <c r="B392" s="57"/>
      <c r="C392" s="57"/>
      <c r="D392" s="58">
        <f t="shared" si="1"/>
        <v>0</v>
      </c>
      <c r="E392" s="57"/>
      <c r="F392" s="57"/>
      <c r="G392" s="55"/>
      <c r="H392" s="55"/>
      <c r="I392" s="56"/>
    </row>
    <row r="393">
      <c r="A393" s="57"/>
      <c r="B393" s="57"/>
      <c r="C393" s="57"/>
      <c r="D393" s="58">
        <f t="shared" si="1"/>
        <v>0</v>
      </c>
      <c r="E393" s="57"/>
      <c r="F393" s="57"/>
      <c r="G393" s="55"/>
      <c r="H393" s="55"/>
      <c r="I393" s="56"/>
    </row>
    <row r="394">
      <c r="A394" s="57"/>
      <c r="B394" s="57"/>
      <c r="C394" s="57"/>
      <c r="D394" s="58">
        <f t="shared" si="1"/>
        <v>0</v>
      </c>
      <c r="E394" s="57"/>
      <c r="F394" s="57"/>
      <c r="G394" s="55"/>
      <c r="H394" s="55"/>
      <c r="I394" s="56"/>
    </row>
    <row r="395">
      <c r="A395" s="57"/>
      <c r="B395" s="57"/>
      <c r="C395" s="57"/>
      <c r="D395" s="58">
        <f t="shared" si="1"/>
        <v>0</v>
      </c>
      <c r="E395" s="57"/>
      <c r="F395" s="57"/>
      <c r="G395" s="55"/>
      <c r="H395" s="55"/>
      <c r="I395" s="56"/>
    </row>
    <row r="396">
      <c r="A396" s="57"/>
      <c r="B396" s="57"/>
      <c r="C396" s="57"/>
      <c r="D396" s="58">
        <f t="shared" si="1"/>
        <v>0</v>
      </c>
      <c r="E396" s="57"/>
      <c r="F396" s="57"/>
      <c r="G396" s="55"/>
      <c r="H396" s="55"/>
      <c r="I396" s="56"/>
    </row>
    <row r="397">
      <c r="A397" s="57"/>
      <c r="B397" s="57"/>
      <c r="C397" s="57"/>
      <c r="D397" s="58">
        <f t="shared" si="1"/>
        <v>0</v>
      </c>
      <c r="E397" s="57"/>
      <c r="F397" s="57"/>
      <c r="G397" s="55"/>
      <c r="H397" s="55"/>
      <c r="I397" s="56"/>
    </row>
    <row r="398">
      <c r="A398" s="57"/>
      <c r="B398" s="57"/>
      <c r="C398" s="57"/>
      <c r="D398" s="58">
        <f t="shared" si="1"/>
        <v>0</v>
      </c>
      <c r="E398" s="57"/>
      <c r="F398" s="57"/>
      <c r="G398" s="55"/>
      <c r="H398" s="55"/>
      <c r="I398" s="56"/>
    </row>
    <row r="399">
      <c r="A399" s="57"/>
      <c r="B399" s="57"/>
      <c r="C399" s="57"/>
      <c r="D399" s="58">
        <f t="shared" si="1"/>
        <v>0</v>
      </c>
      <c r="E399" s="57"/>
      <c r="F399" s="57"/>
      <c r="G399" s="55"/>
      <c r="H399" s="55"/>
      <c r="I399" s="56"/>
    </row>
    <row r="400">
      <c r="A400" s="57"/>
      <c r="B400" s="57"/>
      <c r="C400" s="57"/>
      <c r="D400" s="58">
        <f t="shared" si="1"/>
        <v>0</v>
      </c>
      <c r="E400" s="57"/>
      <c r="F400" s="57"/>
      <c r="G400" s="55"/>
      <c r="H400" s="55"/>
      <c r="I400" s="56"/>
    </row>
    <row r="401">
      <c r="A401" s="57"/>
      <c r="B401" s="57"/>
      <c r="C401" s="57"/>
      <c r="D401" s="58">
        <f t="shared" si="1"/>
        <v>0</v>
      </c>
      <c r="E401" s="57"/>
      <c r="F401" s="57"/>
      <c r="G401" s="55"/>
      <c r="H401" s="55"/>
      <c r="I401" s="56"/>
    </row>
    <row r="402">
      <c r="A402" s="57"/>
      <c r="B402" s="57"/>
      <c r="C402" s="57"/>
      <c r="D402" s="58">
        <f t="shared" si="1"/>
        <v>0</v>
      </c>
      <c r="E402" s="57"/>
      <c r="F402" s="57"/>
      <c r="G402" s="55"/>
      <c r="H402" s="55"/>
      <c r="I402" s="56"/>
    </row>
    <row r="403">
      <c r="A403" s="57"/>
      <c r="B403" s="57"/>
      <c r="C403" s="57"/>
      <c r="D403" s="58">
        <f t="shared" si="1"/>
        <v>0</v>
      </c>
      <c r="E403" s="57"/>
      <c r="F403" s="57"/>
      <c r="G403" s="55"/>
      <c r="H403" s="55"/>
      <c r="I403" s="56"/>
    </row>
    <row r="404">
      <c r="A404" s="57"/>
      <c r="B404" s="57"/>
      <c r="C404" s="57"/>
      <c r="D404" s="58">
        <f t="shared" si="1"/>
        <v>0</v>
      </c>
      <c r="E404" s="57"/>
      <c r="F404" s="57"/>
      <c r="G404" s="55"/>
      <c r="H404" s="55"/>
      <c r="I404" s="56"/>
    </row>
    <row r="405">
      <c r="A405" s="57"/>
      <c r="B405" s="57"/>
      <c r="C405" s="57"/>
      <c r="D405" s="58">
        <f t="shared" si="1"/>
        <v>0</v>
      </c>
      <c r="E405" s="57"/>
      <c r="F405" s="57"/>
      <c r="G405" s="55"/>
      <c r="H405" s="55"/>
      <c r="I405" s="56"/>
    </row>
    <row r="406">
      <c r="A406" s="57"/>
      <c r="B406" s="57"/>
      <c r="C406" s="57"/>
      <c r="D406" s="58">
        <f t="shared" si="1"/>
        <v>0</v>
      </c>
      <c r="E406" s="57"/>
      <c r="F406" s="57"/>
      <c r="G406" s="55"/>
      <c r="H406" s="55"/>
      <c r="I406" s="56"/>
    </row>
    <row r="407">
      <c r="A407" s="57"/>
      <c r="B407" s="57"/>
      <c r="C407" s="57"/>
      <c r="D407" s="58">
        <f t="shared" si="1"/>
        <v>0</v>
      </c>
      <c r="E407" s="57"/>
      <c r="F407" s="57"/>
      <c r="G407" s="55"/>
      <c r="H407" s="55"/>
      <c r="I407" s="56"/>
    </row>
    <row r="408">
      <c r="A408" s="57"/>
      <c r="B408" s="57"/>
      <c r="C408" s="57"/>
      <c r="D408" s="58">
        <f t="shared" si="1"/>
        <v>0</v>
      </c>
      <c r="E408" s="57"/>
      <c r="F408" s="57"/>
      <c r="G408" s="55"/>
      <c r="H408" s="55"/>
      <c r="I408" s="56"/>
    </row>
    <row r="409">
      <c r="A409" s="57"/>
      <c r="B409" s="57"/>
      <c r="C409" s="57"/>
      <c r="D409" s="58">
        <f t="shared" si="1"/>
        <v>0</v>
      </c>
      <c r="E409" s="57"/>
      <c r="F409" s="57"/>
      <c r="G409" s="55"/>
      <c r="H409" s="55"/>
      <c r="I409" s="56"/>
    </row>
    <row r="410">
      <c r="A410" s="57"/>
      <c r="B410" s="57"/>
      <c r="C410" s="57"/>
      <c r="D410" s="58">
        <f t="shared" si="1"/>
        <v>0</v>
      </c>
      <c r="E410" s="57"/>
      <c r="F410" s="57"/>
      <c r="G410" s="55"/>
      <c r="H410" s="55"/>
      <c r="I410" s="56"/>
    </row>
    <row r="411">
      <c r="A411" s="57"/>
      <c r="B411" s="57"/>
      <c r="C411" s="57"/>
      <c r="D411" s="58">
        <f t="shared" si="1"/>
        <v>0</v>
      </c>
      <c r="E411" s="57"/>
      <c r="F411" s="57"/>
      <c r="G411" s="55"/>
      <c r="H411" s="55"/>
      <c r="I411" s="56"/>
    </row>
    <row r="412">
      <c r="A412" s="57"/>
      <c r="B412" s="57"/>
      <c r="C412" s="57"/>
      <c r="D412" s="58">
        <f t="shared" si="1"/>
        <v>0</v>
      </c>
      <c r="E412" s="57"/>
      <c r="F412" s="57"/>
      <c r="G412" s="55"/>
      <c r="H412" s="55"/>
      <c r="I412" s="56"/>
    </row>
    <row r="413">
      <c r="A413" s="57"/>
      <c r="B413" s="57"/>
      <c r="C413" s="57"/>
      <c r="D413" s="58">
        <f t="shared" si="1"/>
        <v>0</v>
      </c>
      <c r="E413" s="57"/>
      <c r="F413" s="57"/>
      <c r="G413" s="55"/>
      <c r="H413" s="55"/>
      <c r="I413" s="56"/>
    </row>
    <row r="414">
      <c r="A414" s="57"/>
      <c r="B414" s="57"/>
      <c r="C414" s="57"/>
      <c r="D414" s="58">
        <f t="shared" si="1"/>
        <v>0</v>
      </c>
      <c r="E414" s="57"/>
      <c r="F414" s="57"/>
      <c r="G414" s="55"/>
      <c r="H414" s="55"/>
      <c r="I414" s="56"/>
    </row>
    <row r="415">
      <c r="A415" s="57"/>
      <c r="B415" s="57"/>
      <c r="C415" s="57"/>
      <c r="D415" s="58">
        <f t="shared" si="1"/>
        <v>0</v>
      </c>
      <c r="E415" s="57"/>
      <c r="F415" s="57"/>
      <c r="G415" s="55"/>
      <c r="H415" s="55"/>
      <c r="I415" s="56"/>
    </row>
    <row r="416">
      <c r="A416" s="57"/>
      <c r="B416" s="57"/>
      <c r="C416" s="57"/>
      <c r="D416" s="58">
        <f t="shared" si="1"/>
        <v>0</v>
      </c>
      <c r="E416" s="57"/>
      <c r="F416" s="57"/>
      <c r="G416" s="55"/>
      <c r="H416" s="55"/>
      <c r="I416" s="56"/>
    </row>
    <row r="417">
      <c r="A417" s="57"/>
      <c r="B417" s="57"/>
      <c r="C417" s="57"/>
      <c r="D417" s="58">
        <f t="shared" si="1"/>
        <v>0</v>
      </c>
      <c r="E417" s="57"/>
      <c r="F417" s="57"/>
      <c r="G417" s="55"/>
      <c r="H417" s="55"/>
      <c r="I417" s="56"/>
    </row>
    <row r="418">
      <c r="A418" s="57"/>
      <c r="B418" s="57"/>
      <c r="C418" s="57"/>
      <c r="D418" s="58">
        <f t="shared" si="1"/>
        <v>0</v>
      </c>
      <c r="E418" s="57"/>
      <c r="F418" s="57"/>
      <c r="G418" s="55"/>
      <c r="H418" s="55"/>
      <c r="I418" s="56"/>
    </row>
    <row r="419">
      <c r="A419" s="57"/>
      <c r="B419" s="57"/>
      <c r="C419" s="57"/>
      <c r="D419" s="58">
        <f t="shared" si="1"/>
        <v>0</v>
      </c>
      <c r="E419" s="57"/>
      <c r="F419" s="57"/>
      <c r="G419" s="55"/>
      <c r="H419" s="55"/>
      <c r="I419" s="56"/>
    </row>
    <row r="420">
      <c r="A420" s="57"/>
      <c r="B420" s="57"/>
      <c r="C420" s="57"/>
      <c r="D420" s="58">
        <f t="shared" si="1"/>
        <v>0</v>
      </c>
      <c r="E420" s="57"/>
      <c r="F420" s="57"/>
      <c r="G420" s="55"/>
      <c r="H420" s="55"/>
      <c r="I420" s="56"/>
    </row>
    <row r="421">
      <c r="A421" s="57"/>
      <c r="B421" s="57"/>
      <c r="C421" s="57"/>
      <c r="D421" s="58">
        <f t="shared" si="1"/>
        <v>0</v>
      </c>
      <c r="E421" s="57"/>
      <c r="F421" s="57"/>
      <c r="G421" s="55"/>
      <c r="H421" s="55"/>
      <c r="I421" s="56"/>
    </row>
    <row r="422">
      <c r="A422" s="57"/>
      <c r="B422" s="57"/>
      <c r="C422" s="57"/>
      <c r="D422" s="58">
        <f t="shared" si="1"/>
        <v>0</v>
      </c>
      <c r="E422" s="57"/>
      <c r="F422" s="57"/>
      <c r="G422" s="55"/>
      <c r="H422" s="55"/>
      <c r="I422" s="56"/>
    </row>
    <row r="423">
      <c r="A423" s="57"/>
      <c r="B423" s="57"/>
      <c r="C423" s="57"/>
      <c r="D423" s="58">
        <f t="shared" si="1"/>
        <v>0</v>
      </c>
      <c r="E423" s="57"/>
      <c r="F423" s="57"/>
      <c r="G423" s="55"/>
      <c r="H423" s="55"/>
      <c r="I423" s="56"/>
    </row>
    <row r="424">
      <c r="A424" s="57"/>
      <c r="B424" s="57"/>
      <c r="C424" s="57"/>
      <c r="D424" s="58">
        <f t="shared" si="1"/>
        <v>0</v>
      </c>
      <c r="E424" s="57"/>
      <c r="F424" s="57"/>
      <c r="G424" s="55"/>
      <c r="H424" s="55"/>
      <c r="I424" s="56"/>
    </row>
    <row r="425">
      <c r="A425" s="57"/>
      <c r="B425" s="57"/>
      <c r="C425" s="57"/>
      <c r="D425" s="58">
        <f t="shared" si="1"/>
        <v>0</v>
      </c>
      <c r="E425" s="57"/>
      <c r="F425" s="57"/>
      <c r="G425" s="55"/>
      <c r="H425" s="55"/>
      <c r="I425" s="56"/>
    </row>
    <row r="426">
      <c r="A426" s="57"/>
      <c r="B426" s="57"/>
      <c r="C426" s="57"/>
      <c r="D426" s="58">
        <f t="shared" si="1"/>
        <v>0</v>
      </c>
      <c r="E426" s="57"/>
      <c r="F426" s="57"/>
      <c r="G426" s="55"/>
      <c r="H426" s="55"/>
      <c r="I426" s="56"/>
    </row>
    <row r="427">
      <c r="A427" s="57"/>
      <c r="B427" s="57"/>
      <c r="C427" s="57"/>
      <c r="D427" s="58">
        <f t="shared" si="1"/>
        <v>0</v>
      </c>
      <c r="E427" s="57"/>
      <c r="F427" s="57"/>
      <c r="G427" s="55"/>
      <c r="H427" s="55"/>
      <c r="I427" s="56"/>
    </row>
    <row r="428">
      <c r="A428" s="57"/>
      <c r="B428" s="57"/>
      <c r="C428" s="57"/>
      <c r="D428" s="58">
        <f t="shared" si="1"/>
        <v>0</v>
      </c>
      <c r="E428" s="57"/>
      <c r="F428" s="57"/>
      <c r="G428" s="55"/>
      <c r="H428" s="55"/>
      <c r="I428" s="56"/>
    </row>
    <row r="429">
      <c r="A429" s="57"/>
      <c r="B429" s="57"/>
      <c r="C429" s="57"/>
      <c r="D429" s="58">
        <f t="shared" si="1"/>
        <v>0</v>
      </c>
      <c r="E429" s="57"/>
      <c r="F429" s="57"/>
      <c r="G429" s="55"/>
      <c r="H429" s="55"/>
      <c r="I429" s="56"/>
    </row>
    <row r="430">
      <c r="A430" s="57"/>
      <c r="B430" s="57"/>
      <c r="C430" s="57"/>
      <c r="D430" s="58">
        <f t="shared" si="1"/>
        <v>0</v>
      </c>
      <c r="E430" s="57"/>
      <c r="F430" s="57"/>
      <c r="G430" s="55"/>
      <c r="H430" s="55"/>
      <c r="I430" s="56"/>
    </row>
    <row r="431">
      <c r="A431" s="57"/>
      <c r="B431" s="57"/>
      <c r="C431" s="57"/>
      <c r="D431" s="58">
        <f t="shared" si="1"/>
        <v>0</v>
      </c>
      <c r="E431" s="57"/>
      <c r="F431" s="57"/>
      <c r="G431" s="55"/>
      <c r="H431" s="55"/>
      <c r="I431" s="56"/>
    </row>
    <row r="432">
      <c r="A432" s="57"/>
      <c r="B432" s="57"/>
      <c r="C432" s="57"/>
      <c r="D432" s="58">
        <f t="shared" si="1"/>
        <v>0</v>
      </c>
      <c r="E432" s="57"/>
      <c r="F432" s="57"/>
      <c r="G432" s="55"/>
      <c r="H432" s="55"/>
      <c r="I432" s="56"/>
    </row>
    <row r="433">
      <c r="A433" s="57"/>
      <c r="B433" s="57"/>
      <c r="C433" s="57"/>
      <c r="D433" s="58">
        <f t="shared" si="1"/>
        <v>0</v>
      </c>
      <c r="E433" s="57"/>
      <c r="F433" s="57"/>
      <c r="G433" s="55"/>
      <c r="H433" s="55"/>
      <c r="I433" s="56"/>
    </row>
    <row r="434">
      <c r="A434" s="57"/>
      <c r="B434" s="57"/>
      <c r="C434" s="57"/>
      <c r="D434" s="58">
        <f t="shared" si="1"/>
        <v>0</v>
      </c>
      <c r="E434" s="57"/>
      <c r="F434" s="57"/>
      <c r="G434" s="55"/>
      <c r="H434" s="55"/>
      <c r="I434" s="56"/>
    </row>
    <row r="435">
      <c r="A435" s="57"/>
      <c r="B435" s="57"/>
      <c r="C435" s="57"/>
      <c r="D435" s="58">
        <f t="shared" si="1"/>
        <v>0</v>
      </c>
      <c r="E435" s="57"/>
      <c r="F435" s="57"/>
      <c r="G435" s="55"/>
      <c r="H435" s="55"/>
      <c r="I435" s="56"/>
    </row>
    <row r="436">
      <c r="A436" s="57"/>
      <c r="B436" s="57"/>
      <c r="C436" s="57"/>
      <c r="D436" s="58">
        <f t="shared" si="1"/>
        <v>0</v>
      </c>
      <c r="E436" s="57"/>
      <c r="F436" s="57"/>
      <c r="G436" s="55"/>
      <c r="H436" s="55"/>
      <c r="I436" s="56"/>
    </row>
    <row r="437">
      <c r="A437" s="57"/>
      <c r="B437" s="57"/>
      <c r="C437" s="57"/>
      <c r="D437" s="58">
        <f t="shared" si="1"/>
        <v>0</v>
      </c>
      <c r="E437" s="57"/>
      <c r="F437" s="57"/>
      <c r="G437" s="55"/>
      <c r="H437" s="55"/>
      <c r="I437" s="56"/>
    </row>
    <row r="438">
      <c r="A438" s="57"/>
      <c r="B438" s="57"/>
      <c r="C438" s="57"/>
      <c r="D438" s="58">
        <f t="shared" si="1"/>
        <v>0</v>
      </c>
      <c r="E438" s="57"/>
      <c r="F438" s="57"/>
      <c r="G438" s="55"/>
      <c r="H438" s="55"/>
      <c r="I438" s="56"/>
    </row>
    <row r="439">
      <c r="A439" s="57"/>
      <c r="B439" s="57"/>
      <c r="C439" s="57"/>
      <c r="D439" s="58">
        <f t="shared" si="1"/>
        <v>0</v>
      </c>
      <c r="E439" s="57"/>
      <c r="F439" s="57"/>
      <c r="G439" s="55"/>
      <c r="H439" s="55"/>
      <c r="I439" s="56"/>
    </row>
    <row r="440">
      <c r="A440" s="57"/>
      <c r="B440" s="57"/>
      <c r="C440" s="57"/>
      <c r="D440" s="58">
        <f t="shared" si="1"/>
        <v>0</v>
      </c>
      <c r="E440" s="57"/>
      <c r="F440" s="57"/>
      <c r="G440" s="55"/>
      <c r="H440" s="55"/>
      <c r="I440" s="56"/>
    </row>
    <row r="441">
      <c r="A441" s="57"/>
      <c r="B441" s="57"/>
      <c r="C441" s="57"/>
      <c r="D441" s="58">
        <f t="shared" si="1"/>
        <v>0</v>
      </c>
      <c r="E441" s="57"/>
      <c r="F441" s="57"/>
      <c r="G441" s="55"/>
      <c r="H441" s="55"/>
      <c r="I441" s="56"/>
    </row>
    <row r="442">
      <c r="A442" s="57"/>
      <c r="B442" s="57"/>
      <c r="C442" s="57"/>
      <c r="D442" s="58">
        <f t="shared" si="1"/>
        <v>0</v>
      </c>
      <c r="E442" s="57"/>
      <c r="F442" s="57"/>
      <c r="G442" s="55"/>
      <c r="H442" s="55"/>
      <c r="I442" s="56"/>
    </row>
    <row r="443">
      <c r="A443" s="57"/>
      <c r="B443" s="57"/>
      <c r="C443" s="57"/>
      <c r="D443" s="58">
        <f t="shared" si="1"/>
        <v>0</v>
      </c>
      <c r="E443" s="57"/>
      <c r="F443" s="57"/>
      <c r="G443" s="55"/>
      <c r="H443" s="55"/>
      <c r="I443" s="56"/>
    </row>
    <row r="444">
      <c r="A444" s="57"/>
      <c r="B444" s="57"/>
      <c r="C444" s="57"/>
      <c r="D444" s="58">
        <f t="shared" si="1"/>
        <v>0</v>
      </c>
      <c r="E444" s="57"/>
      <c r="F444" s="57"/>
      <c r="G444" s="55"/>
      <c r="H444" s="55"/>
      <c r="I444" s="56"/>
    </row>
    <row r="445">
      <c r="A445" s="57"/>
      <c r="B445" s="57"/>
      <c r="C445" s="57"/>
      <c r="D445" s="58">
        <f t="shared" si="1"/>
        <v>0</v>
      </c>
      <c r="E445" s="57"/>
      <c r="F445" s="57"/>
      <c r="G445" s="55"/>
      <c r="H445" s="55"/>
      <c r="I445" s="56"/>
    </row>
    <row r="446">
      <c r="A446" s="57"/>
      <c r="B446" s="57"/>
      <c r="C446" s="57"/>
      <c r="D446" s="58">
        <f t="shared" si="1"/>
        <v>0</v>
      </c>
      <c r="E446" s="57"/>
      <c r="F446" s="57"/>
      <c r="G446" s="55"/>
      <c r="H446" s="55"/>
      <c r="I446" s="56"/>
    </row>
    <row r="447">
      <c r="A447" s="57"/>
      <c r="B447" s="57"/>
      <c r="C447" s="57"/>
      <c r="D447" s="58">
        <f t="shared" si="1"/>
        <v>0</v>
      </c>
      <c r="E447" s="57"/>
      <c r="F447" s="57"/>
      <c r="G447" s="55"/>
      <c r="H447" s="55"/>
      <c r="I447" s="56"/>
    </row>
    <row r="448">
      <c r="A448" s="57"/>
      <c r="B448" s="57"/>
      <c r="C448" s="57"/>
      <c r="D448" s="58">
        <f t="shared" si="1"/>
        <v>0</v>
      </c>
      <c r="E448" s="57"/>
      <c r="F448" s="57"/>
      <c r="G448" s="55"/>
      <c r="H448" s="55"/>
      <c r="I448" s="56"/>
    </row>
    <row r="449">
      <c r="A449" s="57"/>
      <c r="B449" s="57"/>
      <c r="C449" s="57"/>
      <c r="D449" s="58">
        <f t="shared" si="1"/>
        <v>0</v>
      </c>
      <c r="E449" s="57"/>
      <c r="F449" s="57"/>
      <c r="G449" s="55"/>
      <c r="H449" s="55"/>
      <c r="I449" s="56"/>
    </row>
    <row r="450">
      <c r="A450" s="57"/>
      <c r="B450" s="57"/>
      <c r="C450" s="57"/>
      <c r="D450" s="58">
        <f t="shared" si="1"/>
        <v>0</v>
      </c>
      <c r="E450" s="57"/>
      <c r="F450" s="57"/>
      <c r="G450" s="55"/>
      <c r="H450" s="55"/>
      <c r="I450" s="56"/>
    </row>
    <row r="451">
      <c r="A451" s="57"/>
      <c r="B451" s="57"/>
      <c r="C451" s="57"/>
      <c r="D451" s="58">
        <f t="shared" si="1"/>
        <v>0</v>
      </c>
      <c r="E451" s="57"/>
      <c r="F451" s="57"/>
      <c r="G451" s="55"/>
      <c r="H451" s="55"/>
      <c r="I451" s="56"/>
    </row>
    <row r="452">
      <c r="A452" s="57"/>
      <c r="B452" s="57"/>
      <c r="C452" s="57"/>
      <c r="D452" s="58">
        <f t="shared" si="1"/>
        <v>0</v>
      </c>
      <c r="E452" s="57"/>
      <c r="F452" s="57"/>
      <c r="G452" s="55"/>
      <c r="H452" s="55"/>
      <c r="I452" s="56"/>
    </row>
    <row r="453">
      <c r="A453" s="57"/>
      <c r="B453" s="57"/>
      <c r="C453" s="57"/>
      <c r="D453" s="58">
        <f t="shared" si="1"/>
        <v>0</v>
      </c>
      <c r="E453" s="57"/>
      <c r="F453" s="57"/>
      <c r="G453" s="55"/>
      <c r="H453" s="55"/>
      <c r="I453" s="56"/>
    </row>
    <row r="454">
      <c r="A454" s="57"/>
      <c r="B454" s="57"/>
      <c r="C454" s="57"/>
      <c r="D454" s="58">
        <f t="shared" si="1"/>
        <v>0</v>
      </c>
      <c r="E454" s="57"/>
      <c r="F454" s="57"/>
      <c r="G454" s="55"/>
      <c r="H454" s="55"/>
      <c r="I454" s="56"/>
    </row>
    <row r="455">
      <c r="A455" s="57"/>
      <c r="B455" s="57"/>
      <c r="C455" s="57"/>
      <c r="D455" s="58">
        <f t="shared" si="1"/>
        <v>0</v>
      </c>
      <c r="E455" s="57"/>
      <c r="F455" s="57"/>
      <c r="G455" s="55"/>
      <c r="H455" s="55"/>
      <c r="I455" s="56"/>
    </row>
    <row r="456">
      <c r="A456" s="57"/>
      <c r="B456" s="57"/>
      <c r="C456" s="57"/>
      <c r="D456" s="58">
        <f t="shared" si="1"/>
        <v>0</v>
      </c>
      <c r="E456" s="57"/>
      <c r="F456" s="57"/>
      <c r="G456" s="55"/>
      <c r="H456" s="55"/>
      <c r="I456" s="56"/>
    </row>
    <row r="457">
      <c r="A457" s="57"/>
      <c r="B457" s="57"/>
      <c r="C457" s="57"/>
      <c r="D457" s="58">
        <f t="shared" si="1"/>
        <v>0</v>
      </c>
      <c r="E457" s="57"/>
      <c r="F457" s="57"/>
      <c r="G457" s="55"/>
      <c r="H457" s="55"/>
      <c r="I457" s="56"/>
    </row>
    <row r="458">
      <c r="A458" s="57"/>
      <c r="B458" s="57"/>
      <c r="C458" s="57"/>
      <c r="D458" s="58">
        <f t="shared" si="1"/>
        <v>0</v>
      </c>
      <c r="E458" s="57"/>
      <c r="F458" s="57"/>
      <c r="G458" s="55"/>
      <c r="H458" s="55"/>
      <c r="I458" s="56"/>
    </row>
    <row r="459">
      <c r="A459" s="57"/>
      <c r="B459" s="57"/>
      <c r="C459" s="57"/>
      <c r="D459" s="58">
        <f t="shared" si="1"/>
        <v>0</v>
      </c>
      <c r="E459" s="57"/>
      <c r="F459" s="57"/>
      <c r="G459" s="55"/>
      <c r="H459" s="55"/>
      <c r="I459" s="56"/>
    </row>
    <row r="460">
      <c r="A460" s="57"/>
      <c r="B460" s="57"/>
      <c r="C460" s="57"/>
      <c r="D460" s="58">
        <f t="shared" si="1"/>
        <v>0</v>
      </c>
      <c r="E460" s="57"/>
      <c r="F460" s="57"/>
      <c r="G460" s="55"/>
      <c r="H460" s="55"/>
      <c r="I460" s="56"/>
    </row>
    <row r="461">
      <c r="A461" s="57"/>
      <c r="B461" s="57"/>
      <c r="C461" s="57"/>
      <c r="D461" s="58">
        <f t="shared" si="1"/>
        <v>0</v>
      </c>
      <c r="E461" s="57"/>
      <c r="F461" s="57"/>
      <c r="G461" s="55"/>
      <c r="H461" s="55"/>
      <c r="I461" s="56"/>
    </row>
    <row r="462">
      <c r="A462" s="57"/>
      <c r="B462" s="57"/>
      <c r="C462" s="57"/>
      <c r="D462" s="58">
        <f t="shared" si="1"/>
        <v>0</v>
      </c>
      <c r="E462" s="57"/>
      <c r="F462" s="57"/>
      <c r="G462" s="55"/>
      <c r="H462" s="55"/>
      <c r="I462" s="56"/>
    </row>
    <row r="463">
      <c r="A463" s="57"/>
      <c r="B463" s="57"/>
      <c r="C463" s="57"/>
      <c r="D463" s="58">
        <f t="shared" si="1"/>
        <v>0</v>
      </c>
      <c r="E463" s="57"/>
      <c r="F463" s="57"/>
      <c r="G463" s="55"/>
      <c r="H463" s="55"/>
      <c r="I463" s="56"/>
    </row>
    <row r="464">
      <c r="A464" s="57"/>
      <c r="B464" s="57"/>
      <c r="C464" s="57"/>
      <c r="D464" s="58">
        <f t="shared" si="1"/>
        <v>0</v>
      </c>
      <c r="E464" s="57"/>
      <c r="F464" s="57"/>
      <c r="G464" s="55"/>
      <c r="H464" s="55"/>
      <c r="I464" s="56"/>
    </row>
    <row r="465">
      <c r="A465" s="57"/>
      <c r="B465" s="57"/>
      <c r="C465" s="57"/>
      <c r="D465" s="58">
        <f t="shared" si="1"/>
        <v>0</v>
      </c>
      <c r="E465" s="57"/>
      <c r="F465" s="57"/>
      <c r="G465" s="55"/>
      <c r="H465" s="55"/>
      <c r="I465" s="56"/>
    </row>
    <row r="466">
      <c r="A466" s="57"/>
      <c r="B466" s="57"/>
      <c r="C466" s="57"/>
      <c r="D466" s="58">
        <f t="shared" si="1"/>
        <v>0</v>
      </c>
      <c r="E466" s="57"/>
      <c r="F466" s="57"/>
      <c r="G466" s="55"/>
      <c r="H466" s="55"/>
      <c r="I466" s="56"/>
    </row>
    <row r="467">
      <c r="A467" s="57"/>
      <c r="B467" s="57"/>
      <c r="C467" s="57"/>
      <c r="D467" s="58">
        <f t="shared" si="1"/>
        <v>0</v>
      </c>
      <c r="E467" s="57"/>
      <c r="F467" s="57"/>
      <c r="G467" s="55"/>
      <c r="H467" s="55"/>
      <c r="I467" s="56"/>
    </row>
    <row r="468">
      <c r="A468" s="57"/>
      <c r="B468" s="57"/>
      <c r="C468" s="57"/>
      <c r="D468" s="58">
        <f t="shared" si="1"/>
        <v>0</v>
      </c>
      <c r="E468" s="57"/>
      <c r="F468" s="57"/>
      <c r="G468" s="55"/>
      <c r="H468" s="55"/>
      <c r="I468" s="56"/>
    </row>
    <row r="469">
      <c r="A469" s="57"/>
      <c r="B469" s="57"/>
      <c r="C469" s="57"/>
      <c r="D469" s="58">
        <f t="shared" si="1"/>
        <v>0</v>
      </c>
      <c r="E469" s="57"/>
      <c r="F469" s="57"/>
      <c r="G469" s="55"/>
      <c r="H469" s="55"/>
      <c r="I469" s="56"/>
    </row>
    <row r="470">
      <c r="A470" s="57"/>
      <c r="B470" s="57"/>
      <c r="C470" s="57"/>
      <c r="D470" s="58">
        <f t="shared" si="1"/>
        <v>0</v>
      </c>
      <c r="E470" s="57"/>
      <c r="F470" s="57"/>
      <c r="G470" s="55"/>
      <c r="H470" s="55"/>
      <c r="I470" s="56"/>
    </row>
    <row r="471">
      <c r="A471" s="57"/>
      <c r="B471" s="57"/>
      <c r="C471" s="57"/>
      <c r="D471" s="58">
        <f t="shared" si="1"/>
        <v>0</v>
      </c>
      <c r="E471" s="57"/>
      <c r="F471" s="57"/>
      <c r="G471" s="55"/>
      <c r="H471" s="55"/>
      <c r="I471" s="56"/>
    </row>
    <row r="472">
      <c r="A472" s="57"/>
      <c r="B472" s="57"/>
      <c r="C472" s="57"/>
      <c r="D472" s="58">
        <f t="shared" si="1"/>
        <v>0</v>
      </c>
      <c r="E472" s="57"/>
      <c r="F472" s="57"/>
      <c r="G472" s="55"/>
      <c r="H472" s="55"/>
      <c r="I472" s="56"/>
    </row>
    <row r="473">
      <c r="A473" s="57"/>
      <c r="B473" s="57"/>
      <c r="C473" s="57"/>
      <c r="D473" s="58">
        <f t="shared" si="1"/>
        <v>0</v>
      </c>
      <c r="E473" s="57"/>
      <c r="F473" s="57"/>
      <c r="G473" s="55"/>
      <c r="H473" s="55"/>
      <c r="I473" s="56"/>
    </row>
    <row r="474">
      <c r="A474" s="57"/>
      <c r="B474" s="57"/>
      <c r="C474" s="57"/>
      <c r="D474" s="58">
        <f t="shared" si="1"/>
        <v>0</v>
      </c>
      <c r="E474" s="57"/>
      <c r="F474" s="57"/>
      <c r="G474" s="55"/>
      <c r="H474" s="55"/>
      <c r="I474" s="56"/>
    </row>
    <row r="475">
      <c r="A475" s="57"/>
      <c r="B475" s="57"/>
      <c r="C475" s="57"/>
      <c r="D475" s="58">
        <f t="shared" si="1"/>
        <v>0</v>
      </c>
      <c r="E475" s="57"/>
      <c r="F475" s="57"/>
      <c r="G475" s="55"/>
      <c r="H475" s="55"/>
      <c r="I475" s="56"/>
    </row>
    <row r="476">
      <c r="A476" s="57"/>
      <c r="B476" s="57"/>
      <c r="C476" s="57"/>
      <c r="D476" s="58">
        <f t="shared" si="1"/>
        <v>0</v>
      </c>
      <c r="E476" s="57"/>
      <c r="F476" s="57"/>
      <c r="G476" s="55"/>
      <c r="H476" s="55"/>
      <c r="I476" s="56"/>
    </row>
    <row r="477">
      <c r="A477" s="57"/>
      <c r="B477" s="57"/>
      <c r="C477" s="57"/>
      <c r="D477" s="58">
        <f t="shared" si="1"/>
        <v>0</v>
      </c>
      <c r="E477" s="57"/>
      <c r="F477" s="57"/>
      <c r="G477" s="55"/>
      <c r="H477" s="55"/>
      <c r="I477" s="56"/>
    </row>
    <row r="478">
      <c r="A478" s="57"/>
      <c r="B478" s="57"/>
      <c r="C478" s="57"/>
      <c r="D478" s="58">
        <f t="shared" si="1"/>
        <v>0</v>
      </c>
      <c r="E478" s="57"/>
      <c r="F478" s="57"/>
      <c r="G478" s="55"/>
      <c r="H478" s="55"/>
      <c r="I478" s="56"/>
    </row>
    <row r="479">
      <c r="A479" s="57"/>
      <c r="B479" s="57"/>
      <c r="C479" s="57"/>
      <c r="D479" s="58">
        <f t="shared" si="1"/>
        <v>0</v>
      </c>
      <c r="E479" s="57"/>
      <c r="F479" s="57"/>
      <c r="G479" s="55"/>
      <c r="H479" s="55"/>
      <c r="I479" s="56"/>
    </row>
    <row r="480">
      <c r="A480" s="57"/>
      <c r="B480" s="57"/>
      <c r="C480" s="57"/>
      <c r="D480" s="58">
        <f t="shared" si="1"/>
        <v>0</v>
      </c>
      <c r="E480" s="57"/>
      <c r="F480" s="57"/>
      <c r="G480" s="55"/>
      <c r="H480" s="55"/>
      <c r="I480" s="56"/>
    </row>
    <row r="481">
      <c r="A481" s="57"/>
      <c r="B481" s="57"/>
      <c r="C481" s="57"/>
      <c r="D481" s="58">
        <f t="shared" si="1"/>
        <v>0</v>
      </c>
      <c r="E481" s="57"/>
      <c r="F481" s="57"/>
      <c r="G481" s="55"/>
      <c r="H481" s="55"/>
      <c r="I481" s="56"/>
    </row>
    <row r="482">
      <c r="A482" s="57"/>
      <c r="B482" s="57"/>
      <c r="C482" s="57"/>
      <c r="D482" s="58">
        <f t="shared" si="1"/>
        <v>0</v>
      </c>
      <c r="E482" s="57"/>
      <c r="F482" s="57"/>
      <c r="G482" s="55"/>
      <c r="H482" s="55"/>
      <c r="I482" s="56"/>
    </row>
    <row r="483">
      <c r="A483" s="57"/>
      <c r="B483" s="57"/>
      <c r="C483" s="57"/>
      <c r="D483" s="58">
        <f t="shared" si="1"/>
        <v>0</v>
      </c>
      <c r="E483" s="57"/>
      <c r="F483" s="57"/>
      <c r="G483" s="55"/>
      <c r="H483" s="55"/>
      <c r="I483" s="56"/>
    </row>
    <row r="484">
      <c r="A484" s="57"/>
      <c r="B484" s="57"/>
      <c r="C484" s="57"/>
      <c r="D484" s="58">
        <f t="shared" si="1"/>
        <v>0</v>
      </c>
      <c r="E484" s="57"/>
      <c r="F484" s="57"/>
      <c r="G484" s="55"/>
      <c r="H484" s="55"/>
      <c r="I484" s="56"/>
    </row>
    <row r="485">
      <c r="A485" s="57"/>
      <c r="B485" s="57"/>
      <c r="C485" s="57"/>
      <c r="D485" s="58">
        <f t="shared" si="1"/>
        <v>0</v>
      </c>
      <c r="E485" s="57"/>
      <c r="F485" s="57"/>
      <c r="G485" s="55"/>
      <c r="H485" s="55"/>
      <c r="I485" s="56"/>
    </row>
    <row r="486">
      <c r="A486" s="57"/>
      <c r="B486" s="57"/>
      <c r="C486" s="57"/>
      <c r="D486" s="58">
        <f t="shared" si="1"/>
        <v>0</v>
      </c>
      <c r="E486" s="57"/>
      <c r="F486" s="57"/>
      <c r="G486" s="55"/>
      <c r="H486" s="55"/>
      <c r="I486" s="56"/>
    </row>
    <row r="487">
      <c r="A487" s="57"/>
      <c r="B487" s="57"/>
      <c r="C487" s="57"/>
      <c r="D487" s="58">
        <f t="shared" si="1"/>
        <v>0</v>
      </c>
      <c r="E487" s="57"/>
      <c r="F487" s="57"/>
      <c r="G487" s="55"/>
      <c r="H487" s="55"/>
      <c r="I487" s="56"/>
    </row>
    <row r="488">
      <c r="A488" s="57"/>
      <c r="B488" s="57"/>
      <c r="C488" s="57"/>
      <c r="D488" s="58">
        <f t="shared" si="1"/>
        <v>0</v>
      </c>
      <c r="E488" s="57"/>
      <c r="F488" s="57"/>
      <c r="G488" s="55"/>
      <c r="H488" s="55"/>
      <c r="I488" s="56"/>
    </row>
    <row r="489">
      <c r="A489" s="57"/>
      <c r="B489" s="57"/>
      <c r="C489" s="57"/>
      <c r="D489" s="58">
        <f t="shared" si="1"/>
        <v>0</v>
      </c>
      <c r="E489" s="57"/>
      <c r="F489" s="57"/>
      <c r="G489" s="55"/>
      <c r="H489" s="55"/>
      <c r="I489" s="56"/>
    </row>
    <row r="490">
      <c r="A490" s="57"/>
      <c r="B490" s="57"/>
      <c r="C490" s="57"/>
      <c r="D490" s="58">
        <f t="shared" si="1"/>
        <v>0</v>
      </c>
      <c r="E490" s="57"/>
      <c r="F490" s="57"/>
      <c r="G490" s="55"/>
      <c r="H490" s="55"/>
      <c r="I490" s="56"/>
    </row>
    <row r="491">
      <c r="A491" s="57"/>
      <c r="B491" s="57"/>
      <c r="C491" s="57"/>
      <c r="D491" s="58">
        <f t="shared" si="1"/>
        <v>0</v>
      </c>
      <c r="E491" s="57"/>
      <c r="F491" s="57"/>
      <c r="G491" s="55"/>
      <c r="H491" s="55"/>
      <c r="I491" s="56"/>
    </row>
    <row r="492">
      <c r="A492" s="57"/>
      <c r="B492" s="57"/>
      <c r="C492" s="57"/>
      <c r="D492" s="58">
        <f t="shared" si="1"/>
        <v>0</v>
      </c>
      <c r="E492" s="57"/>
      <c r="F492" s="57"/>
      <c r="G492" s="55"/>
      <c r="H492" s="55"/>
      <c r="I492" s="56"/>
    </row>
    <row r="493">
      <c r="A493" s="57"/>
      <c r="B493" s="57"/>
      <c r="C493" s="57"/>
      <c r="D493" s="58">
        <f t="shared" si="1"/>
        <v>0</v>
      </c>
      <c r="E493" s="57"/>
      <c r="F493" s="57"/>
      <c r="G493" s="55"/>
      <c r="H493" s="55"/>
      <c r="I493" s="56"/>
    </row>
    <row r="494">
      <c r="A494" s="57"/>
      <c r="B494" s="57"/>
      <c r="C494" s="57"/>
      <c r="D494" s="58">
        <f t="shared" si="1"/>
        <v>0</v>
      </c>
      <c r="E494" s="57"/>
      <c r="F494" s="57"/>
      <c r="G494" s="55"/>
      <c r="H494" s="55"/>
      <c r="I494" s="56"/>
    </row>
    <row r="495">
      <c r="A495" s="57"/>
      <c r="B495" s="57"/>
      <c r="C495" s="57"/>
      <c r="D495" s="58">
        <f t="shared" si="1"/>
        <v>0</v>
      </c>
      <c r="E495" s="57"/>
      <c r="F495" s="57"/>
      <c r="G495" s="55"/>
      <c r="H495" s="55"/>
      <c r="I495" s="56"/>
    </row>
    <row r="496">
      <c r="A496" s="57"/>
      <c r="B496" s="57"/>
      <c r="C496" s="57"/>
      <c r="D496" s="58">
        <f t="shared" si="1"/>
        <v>0</v>
      </c>
      <c r="E496" s="57"/>
      <c r="F496" s="57"/>
      <c r="G496" s="55"/>
      <c r="H496" s="55"/>
      <c r="I496" s="56"/>
    </row>
    <row r="497">
      <c r="A497" s="57"/>
      <c r="B497" s="57"/>
      <c r="C497" s="57"/>
      <c r="D497" s="58">
        <f t="shared" si="1"/>
        <v>0</v>
      </c>
      <c r="E497" s="57"/>
      <c r="F497" s="57"/>
      <c r="G497" s="55"/>
      <c r="H497" s="55"/>
      <c r="I497" s="56"/>
    </row>
    <row r="498">
      <c r="A498" s="57"/>
      <c r="B498" s="57"/>
      <c r="C498" s="57"/>
      <c r="D498" s="58">
        <f t="shared" si="1"/>
        <v>0</v>
      </c>
      <c r="E498" s="57"/>
      <c r="F498" s="57"/>
      <c r="G498" s="55"/>
      <c r="H498" s="55"/>
      <c r="I498" s="56"/>
    </row>
    <row r="499">
      <c r="A499" s="57"/>
      <c r="B499" s="57"/>
      <c r="C499" s="57"/>
      <c r="D499" s="58">
        <f t="shared" si="1"/>
        <v>0</v>
      </c>
      <c r="E499" s="57"/>
      <c r="F499" s="57"/>
      <c r="G499" s="55"/>
      <c r="H499" s="55"/>
      <c r="I499" s="56"/>
    </row>
    <row r="500">
      <c r="A500" s="57"/>
      <c r="B500" s="57"/>
      <c r="C500" s="57"/>
      <c r="D500" s="58">
        <f t="shared" si="1"/>
        <v>0</v>
      </c>
      <c r="E500" s="57"/>
      <c r="F500" s="57"/>
      <c r="G500" s="55"/>
      <c r="H500" s="55"/>
      <c r="I500" s="56"/>
    </row>
    <row r="501">
      <c r="A501" s="57"/>
      <c r="B501" s="57"/>
      <c r="C501" s="57"/>
      <c r="D501" s="58">
        <f t="shared" si="1"/>
        <v>0</v>
      </c>
      <c r="E501" s="57"/>
      <c r="F501" s="57"/>
      <c r="G501" s="55"/>
      <c r="H501" s="55"/>
      <c r="I501" s="56"/>
    </row>
    <row r="502">
      <c r="A502" s="57"/>
      <c r="B502" s="57"/>
      <c r="C502" s="57"/>
      <c r="D502" s="58">
        <f t="shared" si="1"/>
        <v>0</v>
      </c>
      <c r="E502" s="57"/>
      <c r="F502" s="57"/>
      <c r="G502" s="55"/>
      <c r="H502" s="55"/>
      <c r="I502" s="56"/>
    </row>
    <row r="503">
      <c r="A503" s="57"/>
      <c r="B503" s="57"/>
      <c r="C503" s="57"/>
      <c r="D503" s="58">
        <f t="shared" si="1"/>
        <v>0</v>
      </c>
      <c r="E503" s="57"/>
      <c r="F503" s="57"/>
      <c r="G503" s="55"/>
      <c r="H503" s="55"/>
      <c r="I503" s="56"/>
    </row>
    <row r="504">
      <c r="A504" s="57"/>
      <c r="B504" s="57"/>
      <c r="C504" s="57"/>
      <c r="D504" s="58">
        <f t="shared" si="1"/>
        <v>0</v>
      </c>
      <c r="E504" s="57"/>
      <c r="F504" s="57"/>
      <c r="G504" s="55"/>
      <c r="H504" s="55"/>
      <c r="I504" s="56"/>
    </row>
    <row r="505">
      <c r="A505" s="57"/>
      <c r="B505" s="57"/>
      <c r="C505" s="57"/>
      <c r="D505" s="58">
        <f t="shared" si="1"/>
        <v>0</v>
      </c>
      <c r="E505" s="57"/>
      <c r="F505" s="57"/>
      <c r="G505" s="55"/>
      <c r="H505" s="55"/>
      <c r="I505" s="56"/>
    </row>
    <row r="506">
      <c r="A506" s="57"/>
      <c r="B506" s="57"/>
      <c r="C506" s="57"/>
      <c r="D506" s="58">
        <f t="shared" si="1"/>
        <v>0</v>
      </c>
      <c r="E506" s="57"/>
      <c r="F506" s="57"/>
      <c r="G506" s="55"/>
      <c r="H506" s="55"/>
      <c r="I506" s="56"/>
    </row>
    <row r="507">
      <c r="A507" s="57"/>
      <c r="B507" s="57"/>
      <c r="C507" s="57"/>
      <c r="D507" s="58">
        <f t="shared" si="1"/>
        <v>0</v>
      </c>
      <c r="E507" s="57"/>
      <c r="F507" s="57"/>
      <c r="G507" s="55"/>
      <c r="H507" s="55"/>
      <c r="I507" s="56"/>
    </row>
    <row r="508">
      <c r="A508" s="57"/>
      <c r="B508" s="57"/>
      <c r="C508" s="57"/>
      <c r="D508" s="58">
        <f t="shared" si="1"/>
        <v>0</v>
      </c>
      <c r="E508" s="57"/>
      <c r="F508" s="57"/>
      <c r="G508" s="55"/>
      <c r="H508" s="55"/>
      <c r="I508" s="56"/>
    </row>
    <row r="509">
      <c r="A509" s="57"/>
      <c r="B509" s="57"/>
      <c r="C509" s="57"/>
      <c r="D509" s="58">
        <f t="shared" si="1"/>
        <v>0</v>
      </c>
      <c r="E509" s="57"/>
      <c r="F509" s="57"/>
      <c r="G509" s="55"/>
      <c r="H509" s="55"/>
      <c r="I509" s="56"/>
    </row>
    <row r="510">
      <c r="A510" s="57"/>
      <c r="B510" s="57"/>
      <c r="C510" s="57"/>
      <c r="D510" s="58">
        <f t="shared" si="1"/>
        <v>0</v>
      </c>
      <c r="E510" s="57"/>
      <c r="F510" s="57"/>
      <c r="G510" s="55"/>
      <c r="H510" s="55"/>
      <c r="I510" s="56"/>
    </row>
    <row r="511">
      <c r="A511" s="57"/>
      <c r="B511" s="57"/>
      <c r="C511" s="57"/>
      <c r="D511" s="58">
        <f t="shared" si="1"/>
        <v>0</v>
      </c>
      <c r="E511" s="57"/>
      <c r="F511" s="57"/>
      <c r="G511" s="55"/>
      <c r="H511" s="55"/>
      <c r="I511" s="56"/>
    </row>
    <row r="512">
      <c r="A512" s="57"/>
      <c r="B512" s="57"/>
      <c r="C512" s="57"/>
      <c r="D512" s="58">
        <f t="shared" si="1"/>
        <v>0</v>
      </c>
      <c r="E512" s="57"/>
      <c r="F512" s="57"/>
      <c r="G512" s="55"/>
      <c r="H512" s="55"/>
      <c r="I512" s="56"/>
    </row>
    <row r="513">
      <c r="A513" s="57"/>
      <c r="B513" s="57"/>
      <c r="C513" s="57"/>
      <c r="D513" s="58">
        <f t="shared" si="1"/>
        <v>0</v>
      </c>
      <c r="E513" s="57"/>
      <c r="F513" s="57"/>
      <c r="G513" s="55"/>
      <c r="H513" s="55"/>
      <c r="I513" s="56"/>
    </row>
    <row r="514">
      <c r="A514" s="57"/>
      <c r="B514" s="57"/>
      <c r="C514" s="57"/>
      <c r="D514" s="58">
        <f t="shared" si="1"/>
        <v>0</v>
      </c>
      <c r="E514" s="57"/>
      <c r="F514" s="57"/>
      <c r="G514" s="55"/>
      <c r="H514" s="55"/>
      <c r="I514" s="56"/>
    </row>
    <row r="515">
      <c r="A515" s="57"/>
      <c r="B515" s="57"/>
      <c r="C515" s="57"/>
      <c r="D515" s="58">
        <f t="shared" si="1"/>
        <v>0</v>
      </c>
      <c r="E515" s="57"/>
      <c r="F515" s="57"/>
      <c r="G515" s="55"/>
      <c r="H515" s="55"/>
      <c r="I515" s="56"/>
    </row>
    <row r="516">
      <c r="A516" s="57"/>
      <c r="B516" s="57"/>
      <c r="C516" s="57"/>
      <c r="D516" s="58">
        <f t="shared" si="1"/>
        <v>0</v>
      </c>
      <c r="E516" s="57"/>
      <c r="F516" s="57"/>
      <c r="G516" s="55"/>
      <c r="H516" s="55"/>
      <c r="I516" s="56"/>
    </row>
    <row r="517">
      <c r="A517" s="57"/>
      <c r="B517" s="57"/>
      <c r="C517" s="57"/>
      <c r="D517" s="58">
        <f t="shared" si="1"/>
        <v>0</v>
      </c>
      <c r="E517" s="57"/>
      <c r="F517" s="57"/>
      <c r="G517" s="55"/>
      <c r="H517" s="55"/>
      <c r="I517" s="56"/>
    </row>
    <row r="518">
      <c r="A518" s="57"/>
      <c r="B518" s="57"/>
      <c r="C518" s="57"/>
      <c r="D518" s="58">
        <f t="shared" si="1"/>
        <v>0</v>
      </c>
      <c r="E518" s="57"/>
      <c r="F518" s="57"/>
      <c r="G518" s="55"/>
      <c r="H518" s="55"/>
      <c r="I518" s="56"/>
    </row>
    <row r="519">
      <c r="A519" s="57"/>
      <c r="B519" s="57"/>
      <c r="C519" s="57"/>
      <c r="D519" s="58">
        <f t="shared" si="1"/>
        <v>0</v>
      </c>
      <c r="E519" s="57"/>
      <c r="F519" s="57"/>
      <c r="G519" s="55"/>
      <c r="H519" s="55"/>
      <c r="I519" s="56"/>
    </row>
    <row r="520">
      <c r="A520" s="57"/>
      <c r="B520" s="57"/>
      <c r="C520" s="57"/>
      <c r="D520" s="58">
        <f t="shared" si="1"/>
        <v>0</v>
      </c>
      <c r="E520" s="57"/>
      <c r="F520" s="57"/>
      <c r="G520" s="55"/>
      <c r="H520" s="55"/>
      <c r="I520" s="56"/>
    </row>
    <row r="521">
      <c r="A521" s="57"/>
      <c r="B521" s="57"/>
      <c r="C521" s="57"/>
      <c r="D521" s="58">
        <f t="shared" si="1"/>
        <v>0</v>
      </c>
      <c r="E521" s="57"/>
      <c r="F521" s="57"/>
      <c r="G521" s="55"/>
      <c r="H521" s="55"/>
      <c r="I521" s="56"/>
    </row>
    <row r="522">
      <c r="A522" s="57"/>
      <c r="B522" s="57"/>
      <c r="C522" s="57"/>
      <c r="D522" s="58">
        <f t="shared" si="1"/>
        <v>0</v>
      </c>
      <c r="E522" s="57"/>
      <c r="F522" s="57"/>
      <c r="G522" s="55"/>
      <c r="H522" s="55"/>
      <c r="I522" s="56"/>
    </row>
    <row r="523">
      <c r="A523" s="57"/>
      <c r="B523" s="57"/>
      <c r="C523" s="57"/>
      <c r="D523" s="58">
        <f t="shared" si="1"/>
        <v>0</v>
      </c>
      <c r="E523" s="57"/>
      <c r="F523" s="57"/>
      <c r="G523" s="55"/>
      <c r="H523" s="55"/>
      <c r="I523" s="56"/>
    </row>
    <row r="524">
      <c r="A524" s="57"/>
      <c r="B524" s="57"/>
      <c r="C524" s="57"/>
      <c r="D524" s="58">
        <f t="shared" si="1"/>
        <v>0</v>
      </c>
      <c r="E524" s="57"/>
      <c r="F524" s="57"/>
      <c r="G524" s="55"/>
      <c r="H524" s="55"/>
      <c r="I524" s="56"/>
    </row>
    <row r="525">
      <c r="A525" s="57"/>
      <c r="B525" s="57"/>
      <c r="C525" s="57"/>
      <c r="D525" s="58">
        <f t="shared" si="1"/>
        <v>0</v>
      </c>
      <c r="E525" s="57"/>
      <c r="F525" s="57"/>
      <c r="G525" s="55"/>
      <c r="H525" s="55"/>
      <c r="I525" s="56"/>
    </row>
    <row r="526">
      <c r="A526" s="57"/>
      <c r="B526" s="57"/>
      <c r="C526" s="57"/>
      <c r="D526" s="58">
        <f t="shared" si="1"/>
        <v>0</v>
      </c>
      <c r="E526" s="57"/>
      <c r="F526" s="57"/>
      <c r="G526" s="55"/>
      <c r="H526" s="55"/>
      <c r="I526" s="56"/>
    </row>
    <row r="527">
      <c r="A527" s="57"/>
      <c r="B527" s="57"/>
      <c r="C527" s="57"/>
      <c r="D527" s="58">
        <f t="shared" si="1"/>
        <v>0</v>
      </c>
      <c r="E527" s="57"/>
      <c r="F527" s="57"/>
      <c r="G527" s="55"/>
      <c r="H527" s="55"/>
      <c r="I527" s="56"/>
    </row>
    <row r="528">
      <c r="A528" s="57"/>
      <c r="B528" s="57"/>
      <c r="C528" s="57"/>
      <c r="D528" s="58">
        <f t="shared" si="1"/>
        <v>0</v>
      </c>
      <c r="E528" s="57"/>
      <c r="F528" s="57"/>
      <c r="G528" s="55"/>
      <c r="H528" s="55"/>
      <c r="I528" s="56"/>
    </row>
    <row r="529">
      <c r="A529" s="57"/>
      <c r="B529" s="57"/>
      <c r="C529" s="57"/>
      <c r="D529" s="58">
        <f t="shared" si="1"/>
        <v>0</v>
      </c>
      <c r="E529" s="57"/>
      <c r="F529" s="57"/>
      <c r="G529" s="55"/>
      <c r="H529" s="55"/>
      <c r="I529" s="56"/>
    </row>
    <row r="530">
      <c r="A530" s="57"/>
      <c r="B530" s="57"/>
      <c r="C530" s="57"/>
      <c r="D530" s="58">
        <f t="shared" si="1"/>
        <v>0</v>
      </c>
      <c r="E530" s="57"/>
      <c r="F530" s="57"/>
      <c r="G530" s="55"/>
      <c r="H530" s="55"/>
      <c r="I530" s="56"/>
    </row>
    <row r="531">
      <c r="A531" s="57"/>
      <c r="B531" s="57"/>
      <c r="C531" s="57"/>
      <c r="D531" s="58">
        <f t="shared" si="1"/>
        <v>0</v>
      </c>
      <c r="E531" s="57"/>
      <c r="F531" s="57"/>
      <c r="G531" s="55"/>
      <c r="H531" s="55"/>
      <c r="I531" s="56"/>
    </row>
    <row r="532">
      <c r="A532" s="57"/>
      <c r="B532" s="57"/>
      <c r="C532" s="57"/>
      <c r="D532" s="58">
        <f t="shared" si="1"/>
        <v>0</v>
      </c>
      <c r="E532" s="57"/>
      <c r="F532" s="57"/>
      <c r="G532" s="55"/>
      <c r="H532" s="55"/>
      <c r="I532" s="56"/>
    </row>
    <row r="533">
      <c r="A533" s="57"/>
      <c r="B533" s="57"/>
      <c r="C533" s="57"/>
      <c r="D533" s="58">
        <f t="shared" si="1"/>
        <v>0</v>
      </c>
      <c r="E533" s="57"/>
      <c r="F533" s="57"/>
      <c r="G533" s="55"/>
      <c r="H533" s="55"/>
      <c r="I533" s="56"/>
    </row>
    <row r="534">
      <c r="A534" s="57"/>
      <c r="B534" s="57"/>
      <c r="C534" s="57"/>
      <c r="D534" s="58">
        <f t="shared" si="1"/>
        <v>0</v>
      </c>
      <c r="E534" s="57"/>
      <c r="F534" s="57"/>
      <c r="G534" s="55"/>
      <c r="H534" s="55"/>
      <c r="I534" s="56"/>
    </row>
    <row r="535">
      <c r="A535" s="57"/>
      <c r="B535" s="57"/>
      <c r="C535" s="57"/>
      <c r="D535" s="58">
        <f t="shared" si="1"/>
        <v>0</v>
      </c>
      <c r="E535" s="57"/>
      <c r="F535" s="57"/>
      <c r="G535" s="55"/>
      <c r="H535" s="55"/>
      <c r="I535" s="56"/>
    </row>
    <row r="536">
      <c r="A536" s="57"/>
      <c r="B536" s="57"/>
      <c r="C536" s="57"/>
      <c r="D536" s="58">
        <f t="shared" si="1"/>
        <v>0</v>
      </c>
      <c r="E536" s="57"/>
      <c r="F536" s="57"/>
      <c r="G536" s="55"/>
      <c r="H536" s="55"/>
      <c r="I536" s="56"/>
    </row>
    <row r="537">
      <c r="A537" s="57"/>
      <c r="B537" s="57"/>
      <c r="C537" s="57"/>
      <c r="D537" s="58">
        <f t="shared" si="1"/>
        <v>0</v>
      </c>
      <c r="E537" s="57"/>
      <c r="F537" s="57"/>
      <c r="G537" s="55"/>
      <c r="H537" s="55"/>
      <c r="I537" s="56"/>
    </row>
    <row r="538">
      <c r="A538" s="57"/>
      <c r="B538" s="57"/>
      <c r="C538" s="57"/>
      <c r="D538" s="58">
        <f t="shared" si="1"/>
        <v>0</v>
      </c>
      <c r="E538" s="57"/>
      <c r="F538" s="57"/>
      <c r="G538" s="55"/>
      <c r="H538" s="55"/>
      <c r="I538" s="56"/>
    </row>
    <row r="539">
      <c r="A539" s="57"/>
      <c r="B539" s="57"/>
      <c r="C539" s="57"/>
      <c r="D539" s="58">
        <f t="shared" si="1"/>
        <v>0</v>
      </c>
      <c r="E539" s="57"/>
      <c r="F539" s="57"/>
      <c r="G539" s="55"/>
      <c r="H539" s="55"/>
      <c r="I539" s="56"/>
    </row>
    <row r="540">
      <c r="A540" s="57"/>
      <c r="B540" s="57"/>
      <c r="C540" s="57"/>
      <c r="D540" s="58">
        <f t="shared" si="1"/>
        <v>0</v>
      </c>
      <c r="E540" s="57"/>
      <c r="F540" s="57"/>
      <c r="G540" s="55"/>
      <c r="H540" s="55"/>
      <c r="I540" s="56"/>
    </row>
    <row r="541">
      <c r="A541" s="57"/>
      <c r="B541" s="57"/>
      <c r="C541" s="57"/>
      <c r="D541" s="58">
        <f t="shared" si="1"/>
        <v>0</v>
      </c>
      <c r="E541" s="57"/>
      <c r="F541" s="57"/>
      <c r="G541" s="55"/>
      <c r="H541" s="55"/>
      <c r="I541" s="56"/>
    </row>
    <row r="542">
      <c r="A542" s="57"/>
      <c r="B542" s="57"/>
      <c r="C542" s="57"/>
      <c r="D542" s="58">
        <f t="shared" si="1"/>
        <v>0</v>
      </c>
      <c r="E542" s="57"/>
      <c r="F542" s="57"/>
      <c r="G542" s="55"/>
      <c r="H542" s="55"/>
      <c r="I542" s="56"/>
    </row>
    <row r="543">
      <c r="A543" s="57"/>
      <c r="B543" s="57"/>
      <c r="C543" s="57"/>
      <c r="D543" s="58">
        <f t="shared" si="1"/>
        <v>0</v>
      </c>
      <c r="E543" s="57"/>
      <c r="F543" s="57"/>
      <c r="G543" s="55"/>
      <c r="H543" s="55"/>
      <c r="I543" s="56"/>
    </row>
    <row r="544">
      <c r="A544" s="57"/>
      <c r="B544" s="57"/>
      <c r="C544" s="57"/>
      <c r="D544" s="58">
        <f t="shared" si="1"/>
        <v>0</v>
      </c>
      <c r="E544" s="57"/>
      <c r="F544" s="57"/>
      <c r="G544" s="55"/>
      <c r="H544" s="55"/>
      <c r="I544" s="56"/>
    </row>
    <row r="545">
      <c r="A545" s="57"/>
      <c r="B545" s="57"/>
      <c r="C545" s="57"/>
      <c r="D545" s="58">
        <f t="shared" si="1"/>
        <v>0</v>
      </c>
      <c r="E545" s="57"/>
      <c r="F545" s="57"/>
      <c r="G545" s="55"/>
      <c r="H545" s="55"/>
      <c r="I545" s="56"/>
    </row>
    <row r="546">
      <c r="A546" s="57"/>
      <c r="B546" s="57"/>
      <c r="C546" s="57"/>
      <c r="D546" s="58">
        <f t="shared" si="1"/>
        <v>0</v>
      </c>
      <c r="E546" s="57"/>
      <c r="F546" s="57"/>
      <c r="G546" s="55"/>
      <c r="H546" s="55"/>
      <c r="I546" s="56"/>
    </row>
    <row r="547">
      <c r="A547" s="57"/>
      <c r="B547" s="57"/>
      <c r="C547" s="57"/>
      <c r="D547" s="58">
        <f t="shared" si="1"/>
        <v>0</v>
      </c>
      <c r="E547" s="57"/>
      <c r="F547" s="57"/>
      <c r="G547" s="55"/>
      <c r="H547" s="55"/>
      <c r="I547" s="56"/>
    </row>
    <row r="548">
      <c r="A548" s="57"/>
      <c r="B548" s="57"/>
      <c r="C548" s="57"/>
      <c r="D548" s="58">
        <f t="shared" si="1"/>
        <v>0</v>
      </c>
      <c r="E548" s="57"/>
      <c r="F548" s="57"/>
      <c r="G548" s="55"/>
      <c r="H548" s="55"/>
      <c r="I548" s="56"/>
    </row>
    <row r="549">
      <c r="A549" s="57"/>
      <c r="B549" s="57"/>
      <c r="C549" s="57"/>
      <c r="D549" s="58">
        <f t="shared" si="1"/>
        <v>0</v>
      </c>
      <c r="E549" s="57"/>
      <c r="F549" s="57"/>
      <c r="G549" s="55"/>
      <c r="H549" s="55"/>
      <c r="I549" s="56"/>
    </row>
    <row r="550">
      <c r="A550" s="57"/>
      <c r="B550" s="57"/>
      <c r="C550" s="57"/>
      <c r="D550" s="58">
        <f t="shared" si="1"/>
        <v>0</v>
      </c>
      <c r="E550" s="57"/>
      <c r="F550" s="57"/>
      <c r="G550" s="55"/>
      <c r="H550" s="55"/>
      <c r="I550" s="56"/>
    </row>
    <row r="551">
      <c r="A551" s="57"/>
      <c r="B551" s="57"/>
      <c r="C551" s="57"/>
      <c r="D551" s="58">
        <f t="shared" si="1"/>
        <v>0</v>
      </c>
      <c r="E551" s="57"/>
      <c r="F551" s="57"/>
      <c r="G551" s="55"/>
      <c r="H551" s="55"/>
      <c r="I551" s="56"/>
    </row>
    <row r="552">
      <c r="A552" s="57"/>
      <c r="B552" s="57"/>
      <c r="C552" s="57"/>
      <c r="D552" s="58">
        <f t="shared" si="1"/>
        <v>0</v>
      </c>
      <c r="E552" s="57"/>
      <c r="F552" s="57"/>
      <c r="G552" s="55"/>
      <c r="H552" s="55"/>
      <c r="I552" s="56"/>
    </row>
    <row r="553">
      <c r="A553" s="57"/>
      <c r="B553" s="57"/>
      <c r="C553" s="57"/>
      <c r="D553" s="58">
        <f t="shared" si="1"/>
        <v>0</v>
      </c>
      <c r="E553" s="57"/>
      <c r="F553" s="57"/>
      <c r="G553" s="55"/>
      <c r="H553" s="55"/>
      <c r="I553" s="56"/>
    </row>
    <row r="554">
      <c r="A554" s="57"/>
      <c r="B554" s="57"/>
      <c r="C554" s="57"/>
      <c r="D554" s="58">
        <f t="shared" si="1"/>
        <v>0</v>
      </c>
      <c r="E554" s="57"/>
      <c r="F554" s="57"/>
      <c r="G554" s="55"/>
      <c r="H554" s="55"/>
      <c r="I554" s="56"/>
    </row>
    <row r="555">
      <c r="A555" s="57"/>
      <c r="B555" s="57"/>
      <c r="C555" s="57"/>
      <c r="D555" s="58">
        <f t="shared" si="1"/>
        <v>0</v>
      </c>
      <c r="E555" s="57"/>
      <c r="F555" s="57"/>
      <c r="G555" s="55"/>
      <c r="H555" s="55"/>
      <c r="I555" s="56"/>
    </row>
    <row r="556">
      <c r="A556" s="57"/>
      <c r="B556" s="57"/>
      <c r="C556" s="57"/>
      <c r="D556" s="58">
        <f t="shared" si="1"/>
        <v>0</v>
      </c>
      <c r="E556" s="57"/>
      <c r="F556" s="57"/>
      <c r="G556" s="55"/>
      <c r="H556" s="55"/>
      <c r="I556" s="56"/>
    </row>
    <row r="557">
      <c r="A557" s="57"/>
      <c r="B557" s="57"/>
      <c r="C557" s="57"/>
      <c r="D557" s="58">
        <f t="shared" si="1"/>
        <v>0</v>
      </c>
      <c r="E557" s="57"/>
      <c r="F557" s="57"/>
      <c r="G557" s="55"/>
      <c r="H557" s="55"/>
      <c r="I557" s="56"/>
    </row>
    <row r="558">
      <c r="A558" s="57"/>
      <c r="B558" s="57"/>
      <c r="C558" s="57"/>
      <c r="D558" s="58">
        <f t="shared" si="1"/>
        <v>0</v>
      </c>
      <c r="E558" s="57"/>
      <c r="F558" s="57"/>
      <c r="G558" s="55"/>
      <c r="H558" s="55"/>
      <c r="I558" s="56"/>
    </row>
    <row r="559">
      <c r="A559" s="57"/>
      <c r="B559" s="57"/>
      <c r="C559" s="57"/>
      <c r="D559" s="58">
        <f t="shared" si="1"/>
        <v>0</v>
      </c>
      <c r="E559" s="57"/>
      <c r="F559" s="57"/>
      <c r="G559" s="55"/>
      <c r="H559" s="55"/>
      <c r="I559" s="56"/>
    </row>
    <row r="560">
      <c r="A560" s="57"/>
      <c r="B560" s="57"/>
      <c r="C560" s="57"/>
      <c r="D560" s="58">
        <f t="shared" si="1"/>
        <v>0</v>
      </c>
      <c r="E560" s="57"/>
      <c r="F560" s="57"/>
      <c r="G560" s="55"/>
      <c r="H560" s="55"/>
      <c r="I560" s="56"/>
    </row>
    <row r="561">
      <c r="A561" s="57"/>
      <c r="B561" s="57"/>
      <c r="C561" s="57"/>
      <c r="D561" s="58">
        <f t="shared" si="1"/>
        <v>0</v>
      </c>
      <c r="E561" s="57"/>
      <c r="F561" s="57"/>
      <c r="G561" s="55"/>
      <c r="H561" s="55"/>
      <c r="I561" s="56"/>
    </row>
    <row r="562">
      <c r="A562" s="57"/>
      <c r="B562" s="57"/>
      <c r="C562" s="57"/>
      <c r="D562" s="58">
        <f t="shared" si="1"/>
        <v>0</v>
      </c>
      <c r="E562" s="57"/>
      <c r="F562" s="57"/>
      <c r="G562" s="55"/>
      <c r="H562" s="55"/>
      <c r="I562" s="56"/>
    </row>
    <row r="563">
      <c r="A563" s="57"/>
      <c r="B563" s="57"/>
      <c r="C563" s="57"/>
      <c r="D563" s="58">
        <f t="shared" si="1"/>
        <v>0</v>
      </c>
      <c r="E563" s="57"/>
      <c r="F563" s="57"/>
      <c r="G563" s="55"/>
      <c r="H563" s="55"/>
      <c r="I563" s="56"/>
    </row>
    <row r="564">
      <c r="A564" s="57"/>
      <c r="B564" s="57"/>
      <c r="C564" s="57"/>
      <c r="D564" s="58">
        <f t="shared" si="1"/>
        <v>0</v>
      </c>
      <c r="E564" s="57"/>
      <c r="F564" s="57"/>
      <c r="G564" s="55"/>
      <c r="H564" s="55"/>
      <c r="I564" s="56"/>
    </row>
    <row r="565">
      <c r="A565" s="57"/>
      <c r="B565" s="57"/>
      <c r="C565" s="57"/>
      <c r="D565" s="58">
        <f t="shared" si="1"/>
        <v>0</v>
      </c>
      <c r="E565" s="57"/>
      <c r="F565" s="57"/>
      <c r="G565" s="55"/>
      <c r="H565" s="55"/>
      <c r="I565" s="56"/>
    </row>
    <row r="566">
      <c r="A566" s="57"/>
      <c r="B566" s="57"/>
      <c r="C566" s="57"/>
      <c r="D566" s="58">
        <f t="shared" si="1"/>
        <v>0</v>
      </c>
      <c r="E566" s="57"/>
      <c r="F566" s="57"/>
      <c r="G566" s="55"/>
      <c r="H566" s="55"/>
      <c r="I566" s="56"/>
    </row>
    <row r="567">
      <c r="A567" s="57"/>
      <c r="B567" s="57"/>
      <c r="C567" s="57"/>
      <c r="D567" s="58">
        <f t="shared" si="1"/>
        <v>0</v>
      </c>
      <c r="E567" s="57"/>
      <c r="F567" s="57"/>
      <c r="G567" s="55"/>
      <c r="H567" s="55"/>
      <c r="I567" s="56"/>
    </row>
    <row r="568">
      <c r="A568" s="57"/>
      <c r="B568" s="57"/>
      <c r="C568" s="57"/>
      <c r="D568" s="58">
        <f t="shared" si="1"/>
        <v>0</v>
      </c>
      <c r="E568" s="57"/>
      <c r="F568" s="57"/>
      <c r="G568" s="55"/>
      <c r="H568" s="55"/>
      <c r="I568" s="56"/>
    </row>
    <row r="569">
      <c r="A569" s="57"/>
      <c r="B569" s="57"/>
      <c r="C569" s="57"/>
      <c r="D569" s="58">
        <f t="shared" si="1"/>
        <v>0</v>
      </c>
      <c r="E569" s="57"/>
      <c r="F569" s="57"/>
      <c r="G569" s="55"/>
      <c r="H569" s="55"/>
      <c r="I569" s="56"/>
    </row>
    <row r="570">
      <c r="A570" s="57"/>
      <c r="B570" s="57"/>
      <c r="C570" s="57"/>
      <c r="D570" s="58">
        <f t="shared" si="1"/>
        <v>0</v>
      </c>
      <c r="E570" s="57"/>
      <c r="F570" s="57"/>
      <c r="G570" s="55"/>
      <c r="H570" s="55"/>
      <c r="I570" s="56"/>
    </row>
    <row r="571">
      <c r="A571" s="57"/>
      <c r="B571" s="57"/>
      <c r="C571" s="57"/>
      <c r="D571" s="58">
        <f t="shared" si="1"/>
        <v>0</v>
      </c>
      <c r="E571" s="57"/>
      <c r="F571" s="57"/>
      <c r="G571" s="55"/>
      <c r="H571" s="55"/>
      <c r="I571" s="56"/>
    </row>
    <row r="572">
      <c r="A572" s="57"/>
      <c r="B572" s="57"/>
      <c r="C572" s="57"/>
      <c r="D572" s="58">
        <f t="shared" si="1"/>
        <v>0</v>
      </c>
      <c r="E572" s="57"/>
      <c r="F572" s="57"/>
      <c r="G572" s="55"/>
      <c r="H572" s="55"/>
      <c r="I572" s="56"/>
    </row>
    <row r="573">
      <c r="A573" s="57"/>
      <c r="B573" s="57"/>
      <c r="C573" s="57"/>
      <c r="D573" s="58">
        <f t="shared" si="1"/>
        <v>0</v>
      </c>
      <c r="E573" s="57"/>
      <c r="F573" s="57"/>
      <c r="G573" s="55"/>
      <c r="H573" s="55"/>
      <c r="I573" s="56"/>
    </row>
    <row r="574">
      <c r="A574" s="57"/>
      <c r="B574" s="57"/>
      <c r="C574" s="57"/>
      <c r="D574" s="58">
        <f t="shared" si="1"/>
        <v>0</v>
      </c>
      <c r="E574" s="57"/>
      <c r="F574" s="57"/>
      <c r="G574" s="55"/>
      <c r="H574" s="55"/>
      <c r="I574" s="56"/>
    </row>
    <row r="575">
      <c r="A575" s="57"/>
      <c r="B575" s="57"/>
      <c r="C575" s="57"/>
      <c r="D575" s="58">
        <f t="shared" si="1"/>
        <v>0</v>
      </c>
      <c r="E575" s="57"/>
      <c r="F575" s="57"/>
      <c r="G575" s="55"/>
      <c r="H575" s="55"/>
      <c r="I575" s="56"/>
    </row>
    <row r="576">
      <c r="A576" s="57"/>
      <c r="B576" s="57"/>
      <c r="C576" s="57"/>
      <c r="D576" s="58">
        <f t="shared" si="1"/>
        <v>0</v>
      </c>
      <c r="E576" s="57"/>
      <c r="F576" s="57"/>
      <c r="G576" s="55"/>
      <c r="H576" s="55"/>
      <c r="I576" s="56"/>
    </row>
    <row r="577">
      <c r="A577" s="57"/>
      <c r="B577" s="57"/>
      <c r="C577" s="57"/>
      <c r="D577" s="58">
        <f t="shared" si="1"/>
        <v>0</v>
      </c>
      <c r="E577" s="57"/>
      <c r="F577" s="57"/>
      <c r="G577" s="55"/>
      <c r="H577" s="55"/>
      <c r="I577" s="56"/>
    </row>
    <row r="578">
      <c r="A578" s="57"/>
      <c r="B578" s="57"/>
      <c r="C578" s="57"/>
      <c r="D578" s="58">
        <f t="shared" si="1"/>
        <v>0</v>
      </c>
      <c r="E578" s="57"/>
      <c r="F578" s="57"/>
      <c r="G578" s="55"/>
      <c r="H578" s="55"/>
      <c r="I578" s="56"/>
    </row>
    <row r="579">
      <c r="A579" s="57"/>
      <c r="B579" s="57"/>
      <c r="C579" s="57"/>
      <c r="D579" s="58">
        <f t="shared" si="1"/>
        <v>0</v>
      </c>
      <c r="E579" s="57"/>
      <c r="F579" s="57"/>
      <c r="G579" s="55"/>
      <c r="H579" s="55"/>
      <c r="I579" s="56"/>
    </row>
    <row r="580">
      <c r="A580" s="57"/>
      <c r="B580" s="57"/>
      <c r="C580" s="57"/>
      <c r="D580" s="58">
        <f t="shared" si="1"/>
        <v>0</v>
      </c>
      <c r="E580" s="57"/>
      <c r="F580" s="57"/>
      <c r="G580" s="55"/>
      <c r="H580" s="55"/>
      <c r="I580" s="56"/>
    </row>
    <row r="581">
      <c r="A581" s="57"/>
      <c r="B581" s="57"/>
      <c r="C581" s="57"/>
      <c r="D581" s="58">
        <f t="shared" si="1"/>
        <v>0</v>
      </c>
      <c r="E581" s="57"/>
      <c r="F581" s="57"/>
      <c r="G581" s="55"/>
      <c r="H581" s="55"/>
      <c r="I581" s="56"/>
    </row>
    <row r="582">
      <c r="A582" s="57"/>
      <c r="B582" s="57"/>
      <c r="C582" s="57"/>
      <c r="D582" s="58">
        <f t="shared" si="1"/>
        <v>0</v>
      </c>
      <c r="E582" s="57"/>
      <c r="F582" s="57"/>
      <c r="G582" s="55"/>
      <c r="H582" s="55"/>
      <c r="I582" s="56"/>
    </row>
    <row r="583">
      <c r="A583" s="57"/>
      <c r="B583" s="57"/>
      <c r="C583" s="57"/>
      <c r="D583" s="58">
        <f t="shared" si="1"/>
        <v>0</v>
      </c>
      <c r="E583" s="57"/>
      <c r="F583" s="57"/>
      <c r="G583" s="55"/>
      <c r="H583" s="55"/>
      <c r="I583" s="56"/>
    </row>
    <row r="584">
      <c r="A584" s="57"/>
      <c r="B584" s="57"/>
      <c r="C584" s="57"/>
      <c r="D584" s="58">
        <f t="shared" si="1"/>
        <v>0</v>
      </c>
      <c r="E584" s="57"/>
      <c r="F584" s="57"/>
      <c r="G584" s="55"/>
      <c r="H584" s="55"/>
      <c r="I584" s="56"/>
    </row>
    <row r="585">
      <c r="A585" s="57"/>
      <c r="B585" s="57"/>
      <c r="C585" s="57"/>
      <c r="D585" s="58">
        <f t="shared" si="1"/>
        <v>0</v>
      </c>
      <c r="E585" s="57"/>
      <c r="F585" s="57"/>
      <c r="G585" s="55"/>
      <c r="H585" s="55"/>
      <c r="I585" s="56"/>
    </row>
    <row r="586">
      <c r="A586" s="57"/>
      <c r="B586" s="57"/>
      <c r="C586" s="57"/>
      <c r="D586" s="58">
        <f t="shared" si="1"/>
        <v>0</v>
      </c>
      <c r="E586" s="57"/>
      <c r="F586" s="57"/>
      <c r="G586" s="55"/>
      <c r="H586" s="55"/>
      <c r="I586" s="56"/>
    </row>
    <row r="587">
      <c r="A587" s="57"/>
      <c r="B587" s="57"/>
      <c r="C587" s="57"/>
      <c r="D587" s="58">
        <f t="shared" si="1"/>
        <v>0</v>
      </c>
      <c r="E587" s="57"/>
      <c r="F587" s="57"/>
      <c r="G587" s="55"/>
      <c r="H587" s="55"/>
      <c r="I587" s="56"/>
    </row>
    <row r="588">
      <c r="A588" s="57"/>
      <c r="B588" s="57"/>
      <c r="C588" s="57"/>
      <c r="D588" s="58">
        <f t="shared" si="1"/>
        <v>0</v>
      </c>
      <c r="E588" s="57"/>
      <c r="F588" s="57"/>
      <c r="G588" s="55"/>
      <c r="H588" s="55"/>
      <c r="I588" s="56"/>
    </row>
    <row r="589">
      <c r="A589" s="57"/>
      <c r="B589" s="57"/>
      <c r="C589" s="57"/>
      <c r="D589" s="58">
        <f t="shared" si="1"/>
        <v>0</v>
      </c>
      <c r="E589" s="57"/>
      <c r="F589" s="57"/>
      <c r="G589" s="55"/>
      <c r="H589" s="55"/>
      <c r="I589" s="56"/>
    </row>
    <row r="590">
      <c r="A590" s="57"/>
      <c r="B590" s="57"/>
      <c r="C590" s="57"/>
      <c r="D590" s="58">
        <f t="shared" si="1"/>
        <v>0</v>
      </c>
      <c r="E590" s="57"/>
      <c r="F590" s="57"/>
      <c r="G590" s="55"/>
      <c r="H590" s="55"/>
      <c r="I590" s="56"/>
    </row>
    <row r="591">
      <c r="A591" s="57"/>
      <c r="B591" s="57"/>
      <c r="C591" s="57"/>
      <c r="D591" s="58">
        <f t="shared" si="1"/>
        <v>0</v>
      </c>
      <c r="E591" s="57"/>
      <c r="F591" s="57"/>
      <c r="G591" s="55"/>
      <c r="H591" s="55"/>
      <c r="I591" s="56"/>
    </row>
    <row r="592">
      <c r="A592" s="57"/>
      <c r="B592" s="57"/>
      <c r="C592" s="57"/>
      <c r="D592" s="58">
        <f t="shared" si="1"/>
        <v>0</v>
      </c>
      <c r="E592" s="57"/>
      <c r="F592" s="57"/>
      <c r="G592" s="55"/>
      <c r="H592" s="55"/>
      <c r="I592" s="56"/>
    </row>
    <row r="593">
      <c r="A593" s="57"/>
      <c r="B593" s="57"/>
      <c r="C593" s="57"/>
      <c r="D593" s="58">
        <f t="shared" si="1"/>
        <v>0</v>
      </c>
      <c r="E593" s="57"/>
      <c r="F593" s="57"/>
      <c r="G593" s="55"/>
      <c r="H593" s="55"/>
      <c r="I593" s="56"/>
    </row>
    <row r="594">
      <c r="A594" s="57"/>
      <c r="B594" s="57"/>
      <c r="C594" s="57"/>
      <c r="D594" s="58">
        <f t="shared" si="1"/>
        <v>0</v>
      </c>
      <c r="E594" s="57"/>
      <c r="F594" s="57"/>
      <c r="G594" s="55"/>
      <c r="H594" s="55"/>
      <c r="I594" s="56"/>
    </row>
    <row r="595">
      <c r="A595" s="57"/>
      <c r="B595" s="57"/>
      <c r="C595" s="57"/>
      <c r="D595" s="58">
        <f t="shared" si="1"/>
        <v>0</v>
      </c>
      <c r="E595" s="57"/>
      <c r="F595" s="57"/>
      <c r="G595" s="55"/>
      <c r="H595" s="55"/>
      <c r="I595" s="56"/>
    </row>
    <row r="596">
      <c r="A596" s="57"/>
      <c r="B596" s="57"/>
      <c r="C596" s="57"/>
      <c r="D596" s="58">
        <f t="shared" si="1"/>
        <v>0</v>
      </c>
      <c r="E596" s="57"/>
      <c r="F596" s="57"/>
      <c r="G596" s="55"/>
      <c r="H596" s="55"/>
      <c r="I596" s="56"/>
    </row>
    <row r="597">
      <c r="A597" s="57"/>
      <c r="B597" s="57"/>
      <c r="C597" s="57"/>
      <c r="D597" s="58">
        <f t="shared" si="1"/>
        <v>0</v>
      </c>
      <c r="E597" s="57"/>
      <c r="F597" s="57"/>
      <c r="G597" s="55"/>
      <c r="H597" s="55"/>
      <c r="I597" s="56"/>
    </row>
    <row r="598">
      <c r="A598" s="57"/>
      <c r="B598" s="57"/>
      <c r="C598" s="57"/>
      <c r="D598" s="58">
        <f t="shared" si="1"/>
        <v>0</v>
      </c>
      <c r="E598" s="57"/>
      <c r="F598" s="57"/>
      <c r="G598" s="55"/>
      <c r="H598" s="55"/>
      <c r="I598" s="56"/>
    </row>
    <row r="599">
      <c r="A599" s="57"/>
      <c r="B599" s="57"/>
      <c r="C599" s="57"/>
      <c r="D599" s="58">
        <f t="shared" si="1"/>
        <v>0</v>
      </c>
      <c r="E599" s="57"/>
      <c r="F599" s="57"/>
      <c r="G599" s="55"/>
      <c r="H599" s="55"/>
      <c r="I599" s="56"/>
    </row>
    <row r="600">
      <c r="A600" s="57"/>
      <c r="B600" s="57"/>
      <c r="C600" s="57"/>
      <c r="D600" s="58">
        <f t="shared" si="1"/>
        <v>0</v>
      </c>
      <c r="E600" s="57"/>
      <c r="F600" s="57"/>
      <c r="G600" s="55"/>
      <c r="H600" s="55"/>
      <c r="I600" s="56"/>
    </row>
    <row r="601">
      <c r="A601" s="57"/>
      <c r="B601" s="57"/>
      <c r="C601" s="57"/>
      <c r="D601" s="58">
        <f t="shared" si="1"/>
        <v>0</v>
      </c>
      <c r="E601" s="57"/>
      <c r="F601" s="57"/>
      <c r="G601" s="55"/>
      <c r="H601" s="55"/>
      <c r="I601" s="56"/>
    </row>
    <row r="602">
      <c r="A602" s="57"/>
      <c r="B602" s="57"/>
      <c r="C602" s="57"/>
      <c r="D602" s="58">
        <f t="shared" si="1"/>
        <v>0</v>
      </c>
      <c r="E602" s="57"/>
      <c r="F602" s="57"/>
      <c r="G602" s="55"/>
      <c r="H602" s="55"/>
      <c r="I602" s="56"/>
    </row>
    <row r="603">
      <c r="A603" s="57"/>
      <c r="B603" s="57"/>
      <c r="C603" s="57"/>
      <c r="D603" s="58">
        <f t="shared" si="1"/>
        <v>0</v>
      </c>
      <c r="E603" s="57"/>
      <c r="F603" s="57"/>
      <c r="G603" s="55"/>
      <c r="H603" s="55"/>
      <c r="I603" s="56"/>
    </row>
    <row r="604">
      <c r="A604" s="57"/>
      <c r="B604" s="57"/>
      <c r="C604" s="57"/>
      <c r="D604" s="58">
        <f t="shared" si="1"/>
        <v>0</v>
      </c>
      <c r="E604" s="57"/>
      <c r="F604" s="57"/>
      <c r="G604" s="55"/>
      <c r="H604" s="55"/>
      <c r="I604" s="56"/>
    </row>
    <row r="605">
      <c r="A605" s="57"/>
      <c r="B605" s="57"/>
      <c r="C605" s="57"/>
      <c r="D605" s="58">
        <f t="shared" si="1"/>
        <v>0</v>
      </c>
      <c r="E605" s="57"/>
      <c r="F605" s="57"/>
      <c r="G605" s="55"/>
      <c r="H605" s="55"/>
      <c r="I605" s="56"/>
    </row>
    <row r="606">
      <c r="A606" s="57"/>
      <c r="B606" s="57"/>
      <c r="C606" s="57"/>
      <c r="D606" s="58">
        <f t="shared" si="1"/>
        <v>0</v>
      </c>
      <c r="E606" s="57"/>
      <c r="F606" s="57"/>
      <c r="G606" s="55"/>
      <c r="H606" s="55"/>
      <c r="I606" s="56"/>
    </row>
    <row r="607">
      <c r="A607" s="57"/>
      <c r="B607" s="57"/>
      <c r="C607" s="57"/>
      <c r="D607" s="58">
        <f t="shared" si="1"/>
        <v>0</v>
      </c>
      <c r="E607" s="57"/>
      <c r="F607" s="57"/>
      <c r="G607" s="55"/>
      <c r="H607" s="55"/>
      <c r="I607" s="56"/>
    </row>
    <row r="608">
      <c r="A608" s="57"/>
      <c r="B608" s="57"/>
      <c r="C608" s="57"/>
      <c r="D608" s="58">
        <f t="shared" si="1"/>
        <v>0</v>
      </c>
      <c r="E608" s="57"/>
      <c r="F608" s="57"/>
      <c r="G608" s="55"/>
      <c r="H608" s="55"/>
      <c r="I608" s="56"/>
    </row>
    <row r="609">
      <c r="A609" s="57"/>
      <c r="B609" s="57"/>
      <c r="C609" s="57"/>
      <c r="D609" s="58">
        <f t="shared" si="1"/>
        <v>0</v>
      </c>
      <c r="E609" s="57"/>
      <c r="F609" s="57"/>
      <c r="G609" s="55"/>
      <c r="H609" s="55"/>
      <c r="I609" s="56"/>
    </row>
    <row r="610">
      <c r="A610" s="57"/>
      <c r="B610" s="57"/>
      <c r="C610" s="57"/>
      <c r="D610" s="58">
        <f t="shared" si="1"/>
        <v>0</v>
      </c>
      <c r="E610" s="57"/>
      <c r="F610" s="57"/>
      <c r="G610" s="55"/>
      <c r="H610" s="55"/>
      <c r="I610" s="56"/>
    </row>
    <row r="611">
      <c r="A611" s="57"/>
      <c r="B611" s="57"/>
      <c r="C611" s="57"/>
      <c r="D611" s="58">
        <f t="shared" si="1"/>
        <v>0</v>
      </c>
      <c r="E611" s="57"/>
      <c r="F611" s="57"/>
      <c r="G611" s="55"/>
      <c r="H611" s="55"/>
      <c r="I611" s="56"/>
    </row>
    <row r="612">
      <c r="A612" s="57"/>
      <c r="B612" s="57"/>
      <c r="C612" s="57"/>
      <c r="D612" s="58">
        <f t="shared" si="1"/>
        <v>0</v>
      </c>
      <c r="E612" s="57"/>
      <c r="F612" s="57"/>
      <c r="G612" s="55"/>
      <c r="H612" s="55"/>
      <c r="I612" s="56"/>
    </row>
    <row r="613">
      <c r="A613" s="57"/>
      <c r="B613" s="57"/>
      <c r="C613" s="57"/>
      <c r="D613" s="58">
        <f t="shared" si="1"/>
        <v>0</v>
      </c>
      <c r="E613" s="57"/>
      <c r="F613" s="57"/>
      <c r="G613" s="55"/>
      <c r="H613" s="55"/>
      <c r="I613" s="56"/>
    </row>
    <row r="614">
      <c r="A614" s="57"/>
      <c r="B614" s="57"/>
      <c r="C614" s="57"/>
      <c r="D614" s="58">
        <f t="shared" si="1"/>
        <v>0</v>
      </c>
      <c r="E614" s="57"/>
      <c r="F614" s="57"/>
      <c r="G614" s="55"/>
      <c r="H614" s="55"/>
      <c r="I614" s="56"/>
    </row>
    <row r="615">
      <c r="A615" s="57"/>
      <c r="B615" s="57"/>
      <c r="C615" s="57"/>
      <c r="D615" s="58">
        <f t="shared" si="1"/>
        <v>0</v>
      </c>
      <c r="E615" s="57"/>
      <c r="F615" s="57"/>
      <c r="G615" s="55"/>
      <c r="H615" s="55"/>
      <c r="I615" s="56"/>
    </row>
    <row r="616">
      <c r="A616" s="57"/>
      <c r="B616" s="57"/>
      <c r="C616" s="57"/>
      <c r="D616" s="58">
        <f t="shared" si="1"/>
        <v>0</v>
      </c>
      <c r="E616" s="57"/>
      <c r="F616" s="57"/>
      <c r="G616" s="55"/>
      <c r="H616" s="55"/>
      <c r="I616" s="56"/>
    </row>
    <row r="617">
      <c r="A617" s="57"/>
      <c r="B617" s="57"/>
      <c r="C617" s="57"/>
      <c r="D617" s="58">
        <f t="shared" si="1"/>
        <v>0</v>
      </c>
      <c r="E617" s="57"/>
      <c r="F617" s="57"/>
      <c r="G617" s="55"/>
      <c r="H617" s="55"/>
      <c r="I617" s="56"/>
    </row>
    <row r="618">
      <c r="A618" s="57"/>
      <c r="B618" s="57"/>
      <c r="C618" s="57"/>
      <c r="D618" s="58">
        <f t="shared" si="1"/>
        <v>0</v>
      </c>
      <c r="E618" s="57"/>
      <c r="F618" s="57"/>
      <c r="G618" s="55"/>
      <c r="H618" s="55"/>
      <c r="I618" s="56"/>
    </row>
    <row r="619">
      <c r="A619" s="57"/>
      <c r="B619" s="57"/>
      <c r="C619" s="57"/>
      <c r="D619" s="58">
        <f t="shared" si="1"/>
        <v>0</v>
      </c>
      <c r="E619" s="57"/>
      <c r="F619" s="57"/>
      <c r="G619" s="55"/>
      <c r="H619" s="55"/>
      <c r="I619" s="56"/>
    </row>
    <row r="620">
      <c r="A620" s="57"/>
      <c r="B620" s="57"/>
      <c r="C620" s="57"/>
      <c r="D620" s="58">
        <f t="shared" si="1"/>
        <v>0</v>
      </c>
      <c r="E620" s="57"/>
      <c r="F620" s="57"/>
      <c r="G620" s="55"/>
      <c r="H620" s="55"/>
      <c r="I620" s="56"/>
    </row>
    <row r="621">
      <c r="A621" s="57"/>
      <c r="B621" s="57"/>
      <c r="C621" s="57"/>
      <c r="D621" s="58">
        <f t="shared" si="1"/>
        <v>0</v>
      </c>
      <c r="E621" s="57"/>
      <c r="F621" s="57"/>
      <c r="G621" s="55"/>
      <c r="H621" s="55"/>
      <c r="I621" s="56"/>
    </row>
    <row r="622">
      <c r="A622" s="57"/>
      <c r="B622" s="57"/>
      <c r="C622" s="57"/>
      <c r="D622" s="58">
        <f t="shared" si="1"/>
        <v>0</v>
      </c>
      <c r="E622" s="57"/>
      <c r="F622" s="57"/>
      <c r="G622" s="55"/>
      <c r="H622" s="55"/>
      <c r="I622" s="56"/>
    </row>
    <row r="623">
      <c r="A623" s="57"/>
      <c r="B623" s="57"/>
      <c r="C623" s="57"/>
      <c r="D623" s="58">
        <f t="shared" si="1"/>
        <v>0</v>
      </c>
      <c r="E623" s="57"/>
      <c r="F623" s="57"/>
      <c r="G623" s="55"/>
      <c r="H623" s="55"/>
      <c r="I623" s="56"/>
    </row>
    <row r="624">
      <c r="A624" s="57"/>
      <c r="B624" s="57"/>
      <c r="C624" s="57"/>
      <c r="D624" s="58">
        <f t="shared" si="1"/>
        <v>0</v>
      </c>
      <c r="E624" s="57"/>
      <c r="F624" s="57"/>
      <c r="G624" s="55"/>
      <c r="H624" s="55"/>
      <c r="I624" s="56"/>
    </row>
    <row r="625">
      <c r="A625" s="57"/>
      <c r="B625" s="57"/>
      <c r="C625" s="57"/>
      <c r="D625" s="58">
        <f t="shared" si="1"/>
        <v>0</v>
      </c>
      <c r="E625" s="57"/>
      <c r="F625" s="57"/>
      <c r="G625" s="55"/>
      <c r="H625" s="55"/>
      <c r="I625" s="56"/>
    </row>
    <row r="626">
      <c r="A626" s="57"/>
      <c r="B626" s="57"/>
      <c r="C626" s="57"/>
      <c r="D626" s="58">
        <f t="shared" si="1"/>
        <v>0</v>
      </c>
      <c r="E626" s="57"/>
      <c r="F626" s="57"/>
      <c r="G626" s="55"/>
      <c r="H626" s="55"/>
      <c r="I626" s="56"/>
    </row>
    <row r="627">
      <c r="A627" s="57"/>
      <c r="B627" s="57"/>
      <c r="C627" s="57"/>
      <c r="D627" s="58">
        <f t="shared" si="1"/>
        <v>0</v>
      </c>
      <c r="E627" s="57"/>
      <c r="F627" s="57"/>
      <c r="G627" s="55"/>
      <c r="H627" s="55"/>
      <c r="I627" s="56"/>
    </row>
    <row r="628">
      <c r="A628" s="57"/>
      <c r="B628" s="57"/>
      <c r="C628" s="57"/>
      <c r="D628" s="58">
        <f t="shared" si="1"/>
        <v>0</v>
      </c>
      <c r="E628" s="57"/>
      <c r="F628" s="57"/>
      <c r="G628" s="55"/>
      <c r="H628" s="55"/>
      <c r="I628" s="56"/>
    </row>
    <row r="629">
      <c r="A629" s="57"/>
      <c r="B629" s="57"/>
      <c r="C629" s="57"/>
      <c r="D629" s="58">
        <f t="shared" si="1"/>
        <v>0</v>
      </c>
      <c r="E629" s="57"/>
      <c r="F629" s="57"/>
      <c r="G629" s="55"/>
      <c r="H629" s="55"/>
      <c r="I629" s="56"/>
    </row>
    <row r="630">
      <c r="A630" s="57"/>
      <c r="B630" s="57"/>
      <c r="C630" s="57"/>
      <c r="D630" s="58">
        <f t="shared" si="1"/>
        <v>0</v>
      </c>
      <c r="E630" s="57"/>
      <c r="F630" s="57"/>
      <c r="G630" s="55"/>
      <c r="H630" s="55"/>
      <c r="I630" s="56"/>
    </row>
    <row r="631">
      <c r="A631" s="57"/>
      <c r="B631" s="57"/>
      <c r="C631" s="57"/>
      <c r="D631" s="58">
        <f t="shared" si="1"/>
        <v>0</v>
      </c>
      <c r="E631" s="57"/>
      <c r="F631" s="57"/>
      <c r="G631" s="55"/>
      <c r="H631" s="55"/>
      <c r="I631" s="56"/>
    </row>
    <row r="632">
      <c r="A632" s="57"/>
      <c r="B632" s="57"/>
      <c r="C632" s="57"/>
      <c r="D632" s="58">
        <f t="shared" si="1"/>
        <v>0</v>
      </c>
      <c r="E632" s="57"/>
      <c r="F632" s="57"/>
      <c r="G632" s="55"/>
      <c r="H632" s="55"/>
      <c r="I632" s="56"/>
    </row>
    <row r="633">
      <c r="A633" s="57"/>
      <c r="B633" s="57"/>
      <c r="C633" s="57"/>
      <c r="D633" s="58">
        <f t="shared" si="1"/>
        <v>0</v>
      </c>
      <c r="E633" s="57"/>
      <c r="F633" s="57"/>
      <c r="G633" s="55"/>
      <c r="H633" s="55"/>
      <c r="I633" s="56"/>
    </row>
    <row r="634">
      <c r="A634" s="57"/>
      <c r="B634" s="57"/>
      <c r="C634" s="57"/>
      <c r="D634" s="58">
        <f t="shared" si="1"/>
        <v>0</v>
      </c>
      <c r="E634" s="57"/>
      <c r="F634" s="57"/>
      <c r="G634" s="55"/>
      <c r="H634" s="55"/>
      <c r="I634" s="56"/>
    </row>
    <row r="635">
      <c r="A635" s="57"/>
      <c r="B635" s="57"/>
      <c r="C635" s="57"/>
      <c r="D635" s="58">
        <f t="shared" si="1"/>
        <v>0</v>
      </c>
      <c r="E635" s="57"/>
      <c r="F635" s="57"/>
      <c r="G635" s="55"/>
      <c r="H635" s="55"/>
      <c r="I635" s="56"/>
    </row>
    <row r="636">
      <c r="A636" s="57"/>
      <c r="B636" s="57"/>
      <c r="C636" s="57"/>
      <c r="D636" s="58">
        <f t="shared" si="1"/>
        <v>0</v>
      </c>
      <c r="E636" s="57"/>
      <c r="F636" s="57"/>
      <c r="G636" s="55"/>
      <c r="H636" s="55"/>
      <c r="I636" s="56"/>
    </row>
    <row r="637">
      <c r="A637" s="57"/>
      <c r="B637" s="57"/>
      <c r="C637" s="57"/>
      <c r="D637" s="58">
        <f t="shared" si="1"/>
        <v>0</v>
      </c>
      <c r="E637" s="57"/>
      <c r="F637" s="57"/>
      <c r="G637" s="55"/>
      <c r="H637" s="55"/>
      <c r="I637" s="56"/>
    </row>
    <row r="638">
      <c r="A638" s="57"/>
      <c r="B638" s="57"/>
      <c r="C638" s="57"/>
      <c r="D638" s="58">
        <f t="shared" si="1"/>
        <v>0</v>
      </c>
      <c r="E638" s="57"/>
      <c r="F638" s="57"/>
      <c r="G638" s="55"/>
      <c r="H638" s="55"/>
      <c r="I638" s="56"/>
    </row>
    <row r="639">
      <c r="A639" s="57"/>
      <c r="B639" s="57"/>
      <c r="C639" s="57"/>
      <c r="D639" s="58">
        <f t="shared" si="1"/>
        <v>0</v>
      </c>
      <c r="E639" s="57"/>
      <c r="F639" s="57"/>
      <c r="G639" s="55"/>
      <c r="H639" s="55"/>
      <c r="I639" s="56"/>
    </row>
    <row r="640">
      <c r="A640" s="57"/>
      <c r="B640" s="57"/>
      <c r="C640" s="57"/>
      <c r="D640" s="58">
        <f t="shared" si="1"/>
        <v>0</v>
      </c>
      <c r="E640" s="57"/>
      <c r="F640" s="57"/>
      <c r="G640" s="55"/>
      <c r="H640" s="55"/>
      <c r="I640" s="56"/>
    </row>
    <row r="641">
      <c r="A641" s="57"/>
      <c r="B641" s="57"/>
      <c r="C641" s="57"/>
      <c r="D641" s="58">
        <f t="shared" si="1"/>
        <v>0</v>
      </c>
      <c r="E641" s="57"/>
      <c r="F641" s="57"/>
      <c r="G641" s="55"/>
      <c r="H641" s="55"/>
      <c r="I641" s="56"/>
    </row>
    <row r="642">
      <c r="A642" s="57"/>
      <c r="B642" s="57"/>
      <c r="C642" s="57"/>
      <c r="D642" s="58">
        <f t="shared" si="1"/>
        <v>0</v>
      </c>
      <c r="E642" s="57"/>
      <c r="F642" s="57"/>
      <c r="G642" s="55"/>
      <c r="H642" s="55"/>
      <c r="I642" s="56"/>
    </row>
    <row r="643">
      <c r="A643" s="57"/>
      <c r="B643" s="57"/>
      <c r="C643" s="57"/>
      <c r="D643" s="58">
        <f t="shared" si="1"/>
        <v>0</v>
      </c>
      <c r="E643" s="57"/>
      <c r="F643" s="57"/>
      <c r="G643" s="55"/>
      <c r="H643" s="55"/>
      <c r="I643" s="56"/>
    </row>
    <row r="644">
      <c r="A644" s="57"/>
      <c r="B644" s="57"/>
      <c r="C644" s="57"/>
      <c r="D644" s="58">
        <f t="shared" si="1"/>
        <v>0</v>
      </c>
      <c r="E644" s="57"/>
      <c r="F644" s="57"/>
      <c r="G644" s="55"/>
      <c r="H644" s="55"/>
      <c r="I644" s="56"/>
    </row>
    <row r="645">
      <c r="A645" s="57"/>
      <c r="B645" s="57"/>
      <c r="C645" s="57"/>
      <c r="D645" s="58">
        <f t="shared" si="1"/>
        <v>0</v>
      </c>
      <c r="E645" s="57"/>
      <c r="F645" s="57"/>
      <c r="G645" s="55"/>
      <c r="H645" s="55"/>
      <c r="I645" s="56"/>
    </row>
    <row r="646">
      <c r="A646" s="57"/>
      <c r="B646" s="57"/>
      <c r="C646" s="57"/>
      <c r="D646" s="58">
        <f t="shared" si="1"/>
        <v>0</v>
      </c>
      <c r="E646" s="57"/>
      <c r="F646" s="57"/>
      <c r="G646" s="55"/>
      <c r="H646" s="55"/>
      <c r="I646" s="56"/>
    </row>
    <row r="647">
      <c r="A647" s="57"/>
      <c r="B647" s="57"/>
      <c r="C647" s="57"/>
      <c r="D647" s="58">
        <f t="shared" si="1"/>
        <v>0</v>
      </c>
      <c r="E647" s="57"/>
      <c r="F647" s="57"/>
      <c r="G647" s="55"/>
      <c r="H647" s="55"/>
      <c r="I647" s="56"/>
    </row>
    <row r="648">
      <c r="A648" s="57"/>
      <c r="B648" s="57"/>
      <c r="C648" s="57"/>
      <c r="D648" s="58">
        <f t="shared" si="1"/>
        <v>0</v>
      </c>
      <c r="E648" s="57"/>
      <c r="F648" s="57"/>
      <c r="G648" s="55"/>
      <c r="H648" s="55"/>
      <c r="I648" s="56"/>
    </row>
    <row r="649">
      <c r="A649" s="57"/>
      <c r="B649" s="57"/>
      <c r="C649" s="57"/>
      <c r="D649" s="58">
        <f t="shared" si="1"/>
        <v>0</v>
      </c>
      <c r="E649" s="57"/>
      <c r="F649" s="57"/>
      <c r="G649" s="55"/>
      <c r="H649" s="55"/>
      <c r="I649" s="56"/>
    </row>
    <row r="650">
      <c r="A650" s="57"/>
      <c r="B650" s="57"/>
      <c r="C650" s="57"/>
      <c r="D650" s="58">
        <f t="shared" si="1"/>
        <v>0</v>
      </c>
      <c r="E650" s="57"/>
      <c r="F650" s="57"/>
      <c r="G650" s="55"/>
      <c r="H650" s="55"/>
      <c r="I650" s="56"/>
    </row>
    <row r="651">
      <c r="A651" s="57"/>
      <c r="B651" s="57"/>
      <c r="C651" s="57"/>
      <c r="D651" s="58">
        <f t="shared" si="1"/>
        <v>0</v>
      </c>
      <c r="E651" s="57"/>
      <c r="F651" s="57"/>
      <c r="G651" s="55"/>
      <c r="H651" s="55"/>
      <c r="I651" s="56"/>
    </row>
    <row r="652">
      <c r="A652" s="57"/>
      <c r="B652" s="57"/>
      <c r="C652" s="57"/>
      <c r="D652" s="58">
        <f t="shared" si="1"/>
        <v>0</v>
      </c>
      <c r="E652" s="57"/>
      <c r="F652" s="57"/>
      <c r="G652" s="55"/>
      <c r="H652" s="55"/>
      <c r="I652" s="56"/>
    </row>
    <row r="653">
      <c r="A653" s="57"/>
      <c r="B653" s="57"/>
      <c r="C653" s="57"/>
      <c r="D653" s="58">
        <f t="shared" si="1"/>
        <v>0</v>
      </c>
      <c r="E653" s="57"/>
      <c r="F653" s="57"/>
      <c r="G653" s="55"/>
      <c r="H653" s="55"/>
      <c r="I653" s="56"/>
    </row>
    <row r="654">
      <c r="A654" s="57"/>
      <c r="B654" s="57"/>
      <c r="C654" s="57"/>
      <c r="D654" s="58">
        <f t="shared" si="1"/>
        <v>0</v>
      </c>
      <c r="E654" s="57"/>
      <c r="F654" s="57"/>
      <c r="G654" s="55"/>
      <c r="H654" s="55"/>
      <c r="I654" s="56"/>
    </row>
    <row r="655">
      <c r="A655" s="57"/>
      <c r="B655" s="57"/>
      <c r="C655" s="57"/>
      <c r="D655" s="58">
        <f t="shared" si="1"/>
        <v>0</v>
      </c>
      <c r="E655" s="57"/>
      <c r="F655" s="57"/>
      <c r="G655" s="55"/>
      <c r="H655" s="55"/>
      <c r="I655" s="56"/>
    </row>
    <row r="656">
      <c r="A656" s="57"/>
      <c r="B656" s="57"/>
      <c r="C656" s="57"/>
      <c r="D656" s="58">
        <f t="shared" si="1"/>
        <v>0</v>
      </c>
      <c r="E656" s="57"/>
      <c r="F656" s="57"/>
      <c r="G656" s="55"/>
      <c r="H656" s="55"/>
      <c r="I656" s="56"/>
    </row>
    <row r="657">
      <c r="A657" s="57"/>
      <c r="B657" s="57"/>
      <c r="C657" s="57"/>
      <c r="D657" s="58">
        <f t="shared" si="1"/>
        <v>0</v>
      </c>
      <c r="E657" s="57"/>
      <c r="F657" s="57"/>
      <c r="G657" s="55"/>
      <c r="H657" s="55"/>
      <c r="I657" s="56"/>
    </row>
    <row r="658">
      <c r="A658" s="57"/>
      <c r="B658" s="57"/>
      <c r="C658" s="57"/>
      <c r="D658" s="58">
        <f t="shared" si="1"/>
        <v>0</v>
      </c>
      <c r="E658" s="57"/>
      <c r="F658" s="57"/>
      <c r="G658" s="55"/>
      <c r="H658" s="55"/>
      <c r="I658" s="56"/>
    </row>
    <row r="659">
      <c r="A659" s="57"/>
      <c r="B659" s="57"/>
      <c r="C659" s="57"/>
      <c r="D659" s="58">
        <f t="shared" si="1"/>
        <v>0</v>
      </c>
      <c r="E659" s="57"/>
      <c r="F659" s="57"/>
      <c r="G659" s="55"/>
      <c r="H659" s="55"/>
      <c r="I659" s="56"/>
    </row>
    <row r="660">
      <c r="A660" s="57"/>
      <c r="B660" s="57"/>
      <c r="C660" s="57"/>
      <c r="D660" s="58">
        <f t="shared" si="1"/>
        <v>0</v>
      </c>
      <c r="E660" s="57"/>
      <c r="F660" s="57"/>
      <c r="G660" s="55"/>
      <c r="H660" s="55"/>
      <c r="I660" s="56"/>
    </row>
    <row r="661">
      <c r="A661" s="57"/>
      <c r="B661" s="57"/>
      <c r="C661" s="57"/>
      <c r="D661" s="58">
        <f t="shared" si="1"/>
        <v>0</v>
      </c>
      <c r="E661" s="57"/>
      <c r="F661" s="57"/>
      <c r="G661" s="55"/>
      <c r="H661" s="55"/>
      <c r="I661" s="56"/>
    </row>
    <row r="662">
      <c r="A662" s="57"/>
      <c r="B662" s="57"/>
      <c r="C662" s="57"/>
      <c r="D662" s="58">
        <f t="shared" si="1"/>
        <v>0</v>
      </c>
      <c r="E662" s="57"/>
      <c r="F662" s="57"/>
      <c r="G662" s="55"/>
      <c r="H662" s="55"/>
      <c r="I662" s="56"/>
    </row>
    <row r="663">
      <c r="A663" s="57"/>
      <c r="B663" s="57"/>
      <c r="C663" s="57"/>
      <c r="D663" s="58">
        <f t="shared" si="1"/>
        <v>0</v>
      </c>
      <c r="E663" s="57"/>
      <c r="F663" s="57"/>
      <c r="G663" s="55"/>
      <c r="H663" s="55"/>
      <c r="I663" s="56"/>
    </row>
    <row r="664">
      <c r="A664" s="57"/>
      <c r="B664" s="57"/>
      <c r="C664" s="57"/>
      <c r="D664" s="58">
        <f t="shared" si="1"/>
        <v>0</v>
      </c>
      <c r="E664" s="57"/>
      <c r="F664" s="57"/>
      <c r="G664" s="55"/>
      <c r="H664" s="55"/>
      <c r="I664" s="56"/>
    </row>
    <row r="665">
      <c r="A665" s="57"/>
      <c r="B665" s="57"/>
      <c r="C665" s="57"/>
      <c r="D665" s="58">
        <f t="shared" si="1"/>
        <v>0</v>
      </c>
      <c r="E665" s="57"/>
      <c r="F665" s="57"/>
      <c r="G665" s="55"/>
      <c r="H665" s="55"/>
      <c r="I665" s="56"/>
    </row>
    <row r="666">
      <c r="A666" s="57"/>
      <c r="B666" s="57"/>
      <c r="C666" s="57"/>
      <c r="D666" s="58">
        <f t="shared" si="1"/>
        <v>0</v>
      </c>
      <c r="E666" s="57"/>
      <c r="F666" s="57"/>
      <c r="G666" s="55"/>
      <c r="H666" s="55"/>
      <c r="I666" s="56"/>
    </row>
    <row r="667">
      <c r="A667" s="57"/>
      <c r="B667" s="57"/>
      <c r="C667" s="57"/>
      <c r="D667" s="58">
        <f t="shared" si="1"/>
        <v>0</v>
      </c>
      <c r="E667" s="57"/>
      <c r="F667" s="57"/>
      <c r="G667" s="55"/>
      <c r="H667" s="55"/>
      <c r="I667" s="56"/>
    </row>
    <row r="668">
      <c r="A668" s="57"/>
      <c r="B668" s="57"/>
      <c r="C668" s="57"/>
      <c r="D668" s="58">
        <f t="shared" si="1"/>
        <v>0</v>
      </c>
      <c r="E668" s="57"/>
      <c r="F668" s="57"/>
      <c r="G668" s="55"/>
      <c r="H668" s="55"/>
      <c r="I668" s="56"/>
    </row>
    <row r="669">
      <c r="A669" s="57"/>
      <c r="B669" s="57"/>
      <c r="C669" s="57"/>
      <c r="D669" s="58">
        <f t="shared" si="1"/>
        <v>0</v>
      </c>
      <c r="E669" s="57"/>
      <c r="F669" s="57"/>
      <c r="G669" s="55"/>
      <c r="H669" s="55"/>
      <c r="I669" s="56"/>
    </row>
    <row r="670">
      <c r="A670" s="57"/>
      <c r="B670" s="57"/>
      <c r="C670" s="57"/>
      <c r="D670" s="58">
        <f t="shared" si="1"/>
        <v>0</v>
      </c>
      <c r="E670" s="57"/>
      <c r="F670" s="57"/>
      <c r="G670" s="55"/>
      <c r="H670" s="55"/>
      <c r="I670" s="56"/>
    </row>
    <row r="671">
      <c r="A671" s="57"/>
      <c r="B671" s="57"/>
      <c r="C671" s="57"/>
      <c r="D671" s="58">
        <f t="shared" si="1"/>
        <v>0</v>
      </c>
      <c r="E671" s="57"/>
      <c r="F671" s="57"/>
      <c r="G671" s="55"/>
      <c r="H671" s="55"/>
      <c r="I671" s="56"/>
    </row>
    <row r="672">
      <c r="A672" s="57"/>
      <c r="B672" s="57"/>
      <c r="C672" s="57"/>
      <c r="D672" s="58">
        <f t="shared" si="1"/>
        <v>0</v>
      </c>
      <c r="E672" s="57"/>
      <c r="F672" s="57"/>
      <c r="G672" s="55"/>
      <c r="H672" s="55"/>
      <c r="I672" s="56"/>
    </row>
    <row r="673">
      <c r="A673" s="57"/>
      <c r="B673" s="57"/>
      <c r="C673" s="57"/>
      <c r="D673" s="58">
        <f t="shared" si="1"/>
        <v>0</v>
      </c>
      <c r="E673" s="57"/>
      <c r="F673" s="57"/>
      <c r="G673" s="55"/>
      <c r="H673" s="55"/>
      <c r="I673" s="56"/>
    </row>
    <row r="674">
      <c r="A674" s="57"/>
      <c r="B674" s="57"/>
      <c r="C674" s="57"/>
      <c r="D674" s="58">
        <f t="shared" si="1"/>
        <v>0</v>
      </c>
      <c r="E674" s="57"/>
      <c r="F674" s="57"/>
      <c r="G674" s="55"/>
      <c r="H674" s="55"/>
      <c r="I674" s="56"/>
    </row>
    <row r="675">
      <c r="A675" s="57"/>
      <c r="B675" s="57"/>
      <c r="C675" s="57"/>
      <c r="D675" s="58">
        <f t="shared" si="1"/>
        <v>0</v>
      </c>
      <c r="E675" s="57"/>
      <c r="F675" s="57"/>
      <c r="G675" s="55"/>
      <c r="H675" s="55"/>
      <c r="I675" s="56"/>
    </row>
    <row r="676">
      <c r="A676" s="57"/>
      <c r="B676" s="57"/>
      <c r="C676" s="57"/>
      <c r="D676" s="58">
        <f t="shared" si="1"/>
        <v>0</v>
      </c>
      <c r="E676" s="57"/>
      <c r="F676" s="57"/>
      <c r="G676" s="55"/>
      <c r="H676" s="55"/>
      <c r="I676" s="56"/>
    </row>
    <row r="677">
      <c r="A677" s="57"/>
      <c r="B677" s="57"/>
      <c r="C677" s="57"/>
      <c r="D677" s="58">
        <f t="shared" si="1"/>
        <v>0</v>
      </c>
      <c r="E677" s="57"/>
      <c r="F677" s="57"/>
      <c r="G677" s="55"/>
      <c r="H677" s="55"/>
      <c r="I677" s="56"/>
    </row>
    <row r="678">
      <c r="A678" s="57"/>
      <c r="B678" s="57"/>
      <c r="C678" s="57"/>
      <c r="D678" s="58">
        <f t="shared" si="1"/>
        <v>0</v>
      </c>
      <c r="E678" s="57"/>
      <c r="F678" s="57"/>
      <c r="G678" s="55"/>
      <c r="H678" s="55"/>
      <c r="I678" s="56"/>
    </row>
    <row r="679">
      <c r="A679" s="57"/>
      <c r="B679" s="57"/>
      <c r="C679" s="57"/>
      <c r="D679" s="58">
        <f t="shared" si="1"/>
        <v>0</v>
      </c>
      <c r="E679" s="57"/>
      <c r="F679" s="57"/>
      <c r="G679" s="55"/>
      <c r="H679" s="55"/>
      <c r="I679" s="56"/>
    </row>
    <row r="680">
      <c r="A680" s="57"/>
      <c r="B680" s="57"/>
      <c r="C680" s="57"/>
      <c r="D680" s="58">
        <f t="shared" si="1"/>
        <v>0</v>
      </c>
      <c r="E680" s="57"/>
      <c r="F680" s="57"/>
      <c r="G680" s="55"/>
      <c r="H680" s="55"/>
      <c r="I680" s="56"/>
    </row>
    <row r="681">
      <c r="A681" s="57"/>
      <c r="B681" s="57"/>
      <c r="C681" s="57"/>
      <c r="D681" s="58">
        <f t="shared" si="1"/>
        <v>0</v>
      </c>
      <c r="E681" s="57"/>
      <c r="F681" s="57"/>
      <c r="G681" s="55"/>
      <c r="H681" s="55"/>
      <c r="I681" s="56"/>
    </row>
    <row r="682">
      <c r="A682" s="57"/>
      <c r="B682" s="57"/>
      <c r="C682" s="57"/>
      <c r="D682" s="58">
        <f t="shared" si="1"/>
        <v>0</v>
      </c>
      <c r="E682" s="57"/>
      <c r="F682" s="57"/>
      <c r="G682" s="55"/>
      <c r="H682" s="55"/>
      <c r="I682" s="56"/>
    </row>
    <row r="683">
      <c r="A683" s="57"/>
      <c r="B683" s="57"/>
      <c r="C683" s="57"/>
      <c r="D683" s="58">
        <f t="shared" si="1"/>
        <v>0</v>
      </c>
      <c r="E683" s="57"/>
      <c r="F683" s="57"/>
      <c r="G683" s="55"/>
      <c r="H683" s="55"/>
      <c r="I683" s="56"/>
    </row>
    <row r="684">
      <c r="A684" s="57"/>
      <c r="B684" s="57"/>
      <c r="C684" s="57"/>
      <c r="D684" s="58">
        <f t="shared" si="1"/>
        <v>0</v>
      </c>
      <c r="E684" s="57"/>
      <c r="F684" s="57"/>
      <c r="G684" s="55"/>
      <c r="H684" s="55"/>
      <c r="I684" s="56"/>
    </row>
    <row r="685">
      <c r="A685" s="57"/>
      <c r="B685" s="57"/>
      <c r="C685" s="57"/>
      <c r="D685" s="58">
        <f t="shared" si="1"/>
        <v>0</v>
      </c>
      <c r="E685" s="57"/>
      <c r="F685" s="57"/>
      <c r="G685" s="55"/>
      <c r="H685" s="55"/>
      <c r="I685" s="56"/>
    </row>
    <row r="686">
      <c r="A686" s="57"/>
      <c r="B686" s="57"/>
      <c r="C686" s="57"/>
      <c r="D686" s="58">
        <f t="shared" si="1"/>
        <v>0</v>
      </c>
      <c r="E686" s="57"/>
      <c r="F686" s="57"/>
      <c r="G686" s="55"/>
      <c r="H686" s="55"/>
      <c r="I686" s="56"/>
    </row>
    <row r="687">
      <c r="A687" s="57"/>
      <c r="B687" s="57"/>
      <c r="C687" s="57"/>
      <c r="D687" s="58">
        <f t="shared" si="1"/>
        <v>0</v>
      </c>
      <c r="E687" s="57"/>
      <c r="F687" s="57"/>
      <c r="G687" s="55"/>
      <c r="H687" s="55"/>
      <c r="I687" s="56"/>
    </row>
    <row r="688">
      <c r="A688" s="57"/>
      <c r="B688" s="57"/>
      <c r="C688" s="57"/>
      <c r="D688" s="58">
        <f t="shared" si="1"/>
        <v>0</v>
      </c>
      <c r="E688" s="57"/>
      <c r="F688" s="57"/>
      <c r="G688" s="55"/>
      <c r="H688" s="55"/>
      <c r="I688" s="56"/>
    </row>
    <row r="689">
      <c r="A689" s="57"/>
      <c r="B689" s="57"/>
      <c r="C689" s="57"/>
      <c r="D689" s="58">
        <f t="shared" si="1"/>
        <v>0</v>
      </c>
      <c r="E689" s="57"/>
      <c r="F689" s="57"/>
      <c r="G689" s="55"/>
      <c r="H689" s="55"/>
      <c r="I689" s="56"/>
    </row>
    <row r="690">
      <c r="A690" s="57"/>
      <c r="B690" s="57"/>
      <c r="C690" s="57"/>
      <c r="D690" s="58">
        <f t="shared" si="1"/>
        <v>0</v>
      </c>
      <c r="E690" s="57"/>
      <c r="F690" s="57"/>
      <c r="G690" s="55"/>
      <c r="H690" s="55"/>
      <c r="I690" s="56"/>
    </row>
    <row r="691">
      <c r="A691" s="57"/>
      <c r="B691" s="57"/>
      <c r="C691" s="57"/>
      <c r="D691" s="58">
        <f t="shared" si="1"/>
        <v>0</v>
      </c>
      <c r="E691" s="57"/>
      <c r="F691" s="57"/>
      <c r="G691" s="55"/>
      <c r="H691" s="55"/>
      <c r="I691" s="56"/>
    </row>
    <row r="692">
      <c r="A692" s="57"/>
      <c r="B692" s="57"/>
      <c r="C692" s="57"/>
      <c r="D692" s="58">
        <f t="shared" si="1"/>
        <v>0</v>
      </c>
      <c r="E692" s="57"/>
      <c r="F692" s="57"/>
      <c r="G692" s="55"/>
      <c r="H692" s="55"/>
      <c r="I692" s="56"/>
    </row>
    <row r="693">
      <c r="A693" s="57"/>
      <c r="B693" s="57"/>
      <c r="C693" s="57"/>
      <c r="D693" s="58">
        <f t="shared" si="1"/>
        <v>0</v>
      </c>
      <c r="E693" s="57"/>
      <c r="F693" s="57"/>
      <c r="G693" s="55"/>
      <c r="H693" s="55"/>
      <c r="I693" s="56"/>
    </row>
    <row r="694">
      <c r="A694" s="57"/>
      <c r="B694" s="57"/>
      <c r="C694" s="57"/>
      <c r="D694" s="58">
        <f t="shared" si="1"/>
        <v>0</v>
      </c>
      <c r="E694" s="57"/>
      <c r="F694" s="57"/>
      <c r="G694" s="55"/>
      <c r="H694" s="55"/>
      <c r="I694" s="56"/>
    </row>
    <row r="695">
      <c r="A695" s="57"/>
      <c r="B695" s="57"/>
      <c r="C695" s="57"/>
      <c r="D695" s="58">
        <f t="shared" si="1"/>
        <v>0</v>
      </c>
      <c r="E695" s="57"/>
      <c r="F695" s="57"/>
      <c r="G695" s="55"/>
      <c r="H695" s="55"/>
      <c r="I695" s="56"/>
    </row>
    <row r="696">
      <c r="A696" s="57"/>
      <c r="B696" s="57"/>
      <c r="C696" s="57"/>
      <c r="D696" s="58">
        <f t="shared" si="1"/>
        <v>0</v>
      </c>
      <c r="E696" s="57"/>
      <c r="F696" s="57"/>
      <c r="G696" s="55"/>
      <c r="H696" s="55"/>
      <c r="I696" s="56"/>
    </row>
    <row r="697">
      <c r="A697" s="57"/>
      <c r="B697" s="57"/>
      <c r="C697" s="57"/>
      <c r="D697" s="58">
        <f t="shared" si="1"/>
        <v>0</v>
      </c>
      <c r="E697" s="57"/>
      <c r="F697" s="57"/>
      <c r="G697" s="55"/>
      <c r="H697" s="55"/>
      <c r="I697" s="56"/>
    </row>
    <row r="698">
      <c r="A698" s="57"/>
      <c r="B698" s="57"/>
      <c r="C698" s="57"/>
      <c r="D698" s="58">
        <f t="shared" si="1"/>
        <v>0</v>
      </c>
      <c r="E698" s="57"/>
      <c r="F698" s="57"/>
      <c r="G698" s="55"/>
      <c r="H698" s="55"/>
      <c r="I698" s="56"/>
    </row>
    <row r="699">
      <c r="A699" s="57"/>
      <c r="B699" s="57"/>
      <c r="C699" s="57"/>
      <c r="D699" s="58">
        <f t="shared" si="1"/>
        <v>0</v>
      </c>
      <c r="E699" s="57"/>
      <c r="F699" s="57"/>
      <c r="G699" s="55"/>
      <c r="H699" s="55"/>
      <c r="I699" s="56"/>
    </row>
    <row r="700">
      <c r="A700" s="57"/>
      <c r="B700" s="57"/>
      <c r="C700" s="57"/>
      <c r="D700" s="58">
        <f t="shared" si="1"/>
        <v>0</v>
      </c>
      <c r="E700" s="57"/>
      <c r="F700" s="57"/>
      <c r="G700" s="55"/>
      <c r="H700" s="55"/>
      <c r="I700" s="56"/>
    </row>
    <row r="701">
      <c r="A701" s="57"/>
      <c r="B701" s="57"/>
      <c r="C701" s="57"/>
      <c r="D701" s="58">
        <f t="shared" si="1"/>
        <v>0</v>
      </c>
      <c r="E701" s="57"/>
      <c r="F701" s="57"/>
      <c r="G701" s="55"/>
      <c r="H701" s="55"/>
      <c r="I701" s="56"/>
    </row>
    <row r="702">
      <c r="A702" s="57"/>
      <c r="B702" s="57"/>
      <c r="C702" s="57"/>
      <c r="D702" s="58">
        <f t="shared" si="1"/>
        <v>0</v>
      </c>
      <c r="E702" s="57"/>
      <c r="F702" s="57"/>
      <c r="G702" s="55"/>
      <c r="H702" s="55"/>
      <c r="I702" s="56"/>
    </row>
    <row r="703">
      <c r="A703" s="57"/>
      <c r="B703" s="57"/>
      <c r="C703" s="57"/>
      <c r="D703" s="58">
        <f t="shared" si="1"/>
        <v>0</v>
      </c>
      <c r="E703" s="57"/>
      <c r="F703" s="57"/>
      <c r="G703" s="55"/>
      <c r="H703" s="55"/>
      <c r="I703" s="56"/>
    </row>
    <row r="704">
      <c r="A704" s="57"/>
      <c r="B704" s="57"/>
      <c r="C704" s="57"/>
      <c r="D704" s="58">
        <f t="shared" si="1"/>
        <v>0</v>
      </c>
      <c r="E704" s="57"/>
      <c r="F704" s="57"/>
      <c r="G704" s="55"/>
      <c r="H704" s="55"/>
      <c r="I704" s="56"/>
    </row>
    <row r="705">
      <c r="A705" s="57"/>
      <c r="B705" s="57"/>
      <c r="C705" s="57"/>
      <c r="D705" s="58">
        <f t="shared" si="1"/>
        <v>0</v>
      </c>
      <c r="E705" s="57"/>
      <c r="F705" s="57"/>
      <c r="G705" s="55"/>
      <c r="H705" s="55"/>
      <c r="I705" s="56"/>
    </row>
    <row r="706">
      <c r="A706" s="57"/>
      <c r="B706" s="57"/>
      <c r="C706" s="57"/>
      <c r="D706" s="58">
        <f t="shared" si="1"/>
        <v>0</v>
      </c>
      <c r="E706" s="57"/>
      <c r="F706" s="57"/>
      <c r="G706" s="55"/>
      <c r="H706" s="55"/>
      <c r="I706" s="56"/>
    </row>
    <row r="707">
      <c r="A707" s="57"/>
      <c r="B707" s="57"/>
      <c r="C707" s="57"/>
      <c r="D707" s="58">
        <f t="shared" si="1"/>
        <v>0</v>
      </c>
      <c r="E707" s="57"/>
      <c r="F707" s="57"/>
      <c r="G707" s="55"/>
      <c r="H707" s="55"/>
      <c r="I707" s="56"/>
    </row>
    <row r="708">
      <c r="A708" s="57"/>
      <c r="B708" s="57"/>
      <c r="C708" s="57"/>
      <c r="D708" s="58">
        <f t="shared" si="1"/>
        <v>0</v>
      </c>
      <c r="E708" s="57"/>
      <c r="F708" s="57"/>
      <c r="G708" s="55"/>
      <c r="H708" s="55"/>
      <c r="I708" s="56"/>
    </row>
    <row r="709">
      <c r="A709" s="57"/>
      <c r="B709" s="57"/>
      <c r="C709" s="57"/>
      <c r="D709" s="58">
        <f t="shared" si="1"/>
        <v>0</v>
      </c>
      <c r="E709" s="57"/>
      <c r="F709" s="57"/>
      <c r="G709" s="55"/>
      <c r="H709" s="55"/>
      <c r="I709" s="56"/>
    </row>
    <row r="710">
      <c r="A710" s="57"/>
      <c r="B710" s="57"/>
      <c r="C710" s="57"/>
      <c r="D710" s="58">
        <f t="shared" si="1"/>
        <v>0</v>
      </c>
      <c r="E710" s="57"/>
      <c r="F710" s="57"/>
      <c r="G710" s="55"/>
      <c r="H710" s="55"/>
      <c r="I710" s="56"/>
    </row>
    <row r="711">
      <c r="A711" s="57"/>
      <c r="B711" s="57"/>
      <c r="C711" s="57"/>
      <c r="D711" s="58">
        <f t="shared" si="1"/>
        <v>0</v>
      </c>
      <c r="E711" s="57"/>
      <c r="F711" s="57"/>
      <c r="G711" s="55"/>
      <c r="H711" s="55"/>
      <c r="I711" s="56"/>
    </row>
    <row r="712">
      <c r="A712" s="57"/>
      <c r="B712" s="57"/>
      <c r="C712" s="57"/>
      <c r="D712" s="58">
        <f t="shared" si="1"/>
        <v>0</v>
      </c>
      <c r="E712" s="57"/>
      <c r="F712" s="57"/>
      <c r="G712" s="55"/>
      <c r="H712" s="55"/>
      <c r="I712" s="56"/>
    </row>
    <row r="713">
      <c r="A713" s="57"/>
      <c r="B713" s="57"/>
      <c r="C713" s="57"/>
      <c r="D713" s="58">
        <f t="shared" si="1"/>
        <v>0</v>
      </c>
      <c r="E713" s="57"/>
      <c r="F713" s="57"/>
      <c r="G713" s="55"/>
      <c r="H713" s="55"/>
      <c r="I713" s="56"/>
    </row>
    <row r="714">
      <c r="A714" s="57"/>
      <c r="B714" s="57"/>
      <c r="C714" s="57"/>
      <c r="D714" s="58">
        <f t="shared" si="1"/>
        <v>0</v>
      </c>
      <c r="E714" s="57"/>
      <c r="F714" s="57"/>
      <c r="G714" s="55"/>
      <c r="H714" s="55"/>
      <c r="I714" s="56"/>
    </row>
    <row r="715">
      <c r="A715" s="57"/>
      <c r="B715" s="57"/>
      <c r="C715" s="57"/>
      <c r="D715" s="58">
        <f t="shared" si="1"/>
        <v>0</v>
      </c>
      <c r="E715" s="57"/>
      <c r="F715" s="57"/>
      <c r="G715" s="55"/>
      <c r="H715" s="55"/>
      <c r="I715" s="56"/>
    </row>
    <row r="716">
      <c r="A716" s="57"/>
      <c r="B716" s="57"/>
      <c r="C716" s="57"/>
      <c r="D716" s="58">
        <f t="shared" si="1"/>
        <v>0</v>
      </c>
      <c r="E716" s="57"/>
      <c r="F716" s="57"/>
      <c r="G716" s="55"/>
      <c r="H716" s="55"/>
      <c r="I716" s="56"/>
    </row>
    <row r="717">
      <c r="A717" s="57"/>
      <c r="B717" s="57"/>
      <c r="C717" s="57"/>
      <c r="D717" s="58">
        <f t="shared" si="1"/>
        <v>0</v>
      </c>
      <c r="E717" s="57"/>
      <c r="F717" s="57"/>
      <c r="G717" s="55"/>
      <c r="H717" s="55"/>
      <c r="I717" s="56"/>
    </row>
    <row r="718">
      <c r="A718" s="57"/>
      <c r="B718" s="57"/>
      <c r="C718" s="57"/>
      <c r="D718" s="58">
        <f t="shared" si="1"/>
        <v>0</v>
      </c>
      <c r="E718" s="57"/>
      <c r="F718" s="57"/>
      <c r="G718" s="55"/>
      <c r="H718" s="55"/>
      <c r="I718" s="56"/>
    </row>
    <row r="719">
      <c r="A719" s="57"/>
      <c r="B719" s="57"/>
      <c r="C719" s="57"/>
      <c r="D719" s="58">
        <f t="shared" si="1"/>
        <v>0</v>
      </c>
      <c r="E719" s="57"/>
      <c r="F719" s="57"/>
      <c r="G719" s="55"/>
      <c r="H719" s="55"/>
      <c r="I719" s="56"/>
    </row>
    <row r="720">
      <c r="A720" s="57"/>
      <c r="B720" s="57"/>
      <c r="C720" s="57"/>
      <c r="D720" s="58">
        <f t="shared" si="1"/>
        <v>0</v>
      </c>
      <c r="E720" s="57"/>
      <c r="F720" s="57"/>
      <c r="G720" s="55"/>
      <c r="H720" s="55"/>
      <c r="I720" s="56"/>
    </row>
    <row r="721">
      <c r="A721" s="57"/>
      <c r="B721" s="57"/>
      <c r="C721" s="57"/>
      <c r="D721" s="58">
        <f t="shared" si="1"/>
        <v>0</v>
      </c>
      <c r="E721" s="57"/>
      <c r="F721" s="57"/>
      <c r="G721" s="55"/>
      <c r="H721" s="55"/>
      <c r="I721" s="56"/>
    </row>
    <row r="722">
      <c r="A722" s="57"/>
      <c r="B722" s="57"/>
      <c r="C722" s="57"/>
      <c r="D722" s="58">
        <f t="shared" si="1"/>
        <v>0</v>
      </c>
      <c r="E722" s="57"/>
      <c r="F722" s="57"/>
      <c r="G722" s="55"/>
      <c r="H722" s="55"/>
      <c r="I722" s="56"/>
    </row>
    <row r="723">
      <c r="A723" s="57"/>
      <c r="B723" s="57"/>
      <c r="C723" s="57"/>
      <c r="D723" s="58">
        <f t="shared" si="1"/>
        <v>0</v>
      </c>
      <c r="E723" s="57"/>
      <c r="F723" s="57"/>
      <c r="G723" s="55"/>
      <c r="H723" s="55"/>
      <c r="I723" s="56"/>
    </row>
    <row r="724">
      <c r="A724" s="57"/>
      <c r="B724" s="57"/>
      <c r="C724" s="57"/>
      <c r="D724" s="58">
        <f t="shared" si="1"/>
        <v>0</v>
      </c>
      <c r="E724" s="57"/>
      <c r="F724" s="57"/>
      <c r="G724" s="55"/>
      <c r="H724" s="55"/>
      <c r="I724" s="56"/>
    </row>
    <row r="725">
      <c r="A725" s="57"/>
      <c r="B725" s="57"/>
      <c r="C725" s="57"/>
      <c r="D725" s="58">
        <f t="shared" si="1"/>
        <v>0</v>
      </c>
      <c r="E725" s="57"/>
      <c r="F725" s="57"/>
      <c r="G725" s="55"/>
      <c r="H725" s="55"/>
      <c r="I725" s="56"/>
    </row>
    <row r="726">
      <c r="A726" s="57"/>
      <c r="B726" s="57"/>
      <c r="C726" s="57"/>
      <c r="D726" s="58">
        <f t="shared" si="1"/>
        <v>0</v>
      </c>
      <c r="E726" s="57"/>
      <c r="F726" s="57"/>
      <c r="G726" s="55"/>
      <c r="H726" s="55"/>
      <c r="I726" s="56"/>
    </row>
    <row r="727">
      <c r="A727" s="57"/>
      <c r="B727" s="57"/>
      <c r="C727" s="57"/>
      <c r="D727" s="58">
        <f t="shared" si="1"/>
        <v>0</v>
      </c>
      <c r="E727" s="57"/>
      <c r="F727" s="57"/>
      <c r="G727" s="55"/>
      <c r="H727" s="55"/>
      <c r="I727" s="56"/>
    </row>
    <row r="728">
      <c r="A728" s="57"/>
      <c r="B728" s="57"/>
      <c r="C728" s="57"/>
      <c r="D728" s="58">
        <f t="shared" si="1"/>
        <v>0</v>
      </c>
      <c r="E728" s="57"/>
      <c r="F728" s="57"/>
      <c r="G728" s="55"/>
      <c r="H728" s="55"/>
      <c r="I728" s="56"/>
    </row>
    <row r="729">
      <c r="A729" s="57"/>
      <c r="B729" s="57"/>
      <c r="C729" s="57"/>
      <c r="D729" s="58">
        <f t="shared" si="1"/>
        <v>0</v>
      </c>
      <c r="E729" s="57"/>
      <c r="F729" s="57"/>
      <c r="G729" s="55"/>
      <c r="H729" s="55"/>
      <c r="I729" s="56"/>
    </row>
    <row r="730">
      <c r="A730" s="57"/>
      <c r="B730" s="57"/>
      <c r="C730" s="57"/>
      <c r="D730" s="58">
        <f t="shared" si="1"/>
        <v>0</v>
      </c>
      <c r="E730" s="57"/>
      <c r="F730" s="57"/>
      <c r="G730" s="55"/>
      <c r="H730" s="55"/>
      <c r="I730" s="56"/>
    </row>
    <row r="731">
      <c r="A731" s="57"/>
      <c r="B731" s="57"/>
      <c r="C731" s="57"/>
      <c r="D731" s="58">
        <f t="shared" si="1"/>
        <v>0</v>
      </c>
      <c r="E731" s="57"/>
      <c r="F731" s="57"/>
      <c r="G731" s="55"/>
      <c r="H731" s="55"/>
      <c r="I731" s="56"/>
    </row>
    <row r="732">
      <c r="A732" s="57"/>
      <c r="B732" s="57"/>
      <c r="C732" s="57"/>
      <c r="D732" s="58">
        <f t="shared" si="1"/>
        <v>0</v>
      </c>
      <c r="E732" s="57"/>
      <c r="F732" s="57"/>
      <c r="G732" s="55"/>
      <c r="H732" s="55"/>
      <c r="I732" s="56"/>
    </row>
    <row r="733">
      <c r="A733" s="57"/>
      <c r="B733" s="57"/>
      <c r="C733" s="57"/>
      <c r="D733" s="58">
        <f t="shared" si="1"/>
        <v>0</v>
      </c>
      <c r="E733" s="57"/>
      <c r="F733" s="57"/>
      <c r="G733" s="55"/>
      <c r="H733" s="55"/>
      <c r="I733" s="56"/>
    </row>
    <row r="734">
      <c r="A734" s="57"/>
      <c r="B734" s="57"/>
      <c r="C734" s="57"/>
      <c r="D734" s="58">
        <f t="shared" si="1"/>
        <v>0</v>
      </c>
      <c r="E734" s="57"/>
      <c r="F734" s="57"/>
      <c r="G734" s="55"/>
      <c r="H734" s="55"/>
      <c r="I734" s="56"/>
    </row>
    <row r="735">
      <c r="A735" s="57"/>
      <c r="B735" s="57"/>
      <c r="C735" s="57"/>
      <c r="D735" s="58">
        <f t="shared" si="1"/>
        <v>0</v>
      </c>
      <c r="E735" s="57"/>
      <c r="F735" s="57"/>
      <c r="G735" s="55"/>
      <c r="H735" s="55"/>
      <c r="I735" s="56"/>
    </row>
    <row r="736">
      <c r="A736" s="57"/>
      <c r="B736" s="57"/>
      <c r="C736" s="57"/>
      <c r="D736" s="58">
        <f t="shared" si="1"/>
        <v>0</v>
      </c>
      <c r="E736" s="57"/>
      <c r="F736" s="57"/>
      <c r="G736" s="55"/>
      <c r="H736" s="55"/>
      <c r="I736" s="56"/>
    </row>
    <row r="737">
      <c r="A737" s="57"/>
      <c r="B737" s="57"/>
      <c r="C737" s="57"/>
      <c r="D737" s="58">
        <f t="shared" si="1"/>
        <v>0</v>
      </c>
      <c r="E737" s="57"/>
      <c r="F737" s="57"/>
      <c r="G737" s="55"/>
      <c r="H737" s="55"/>
      <c r="I737" s="56"/>
    </row>
    <row r="738">
      <c r="A738" s="57"/>
      <c r="B738" s="57"/>
      <c r="C738" s="57"/>
      <c r="D738" s="58">
        <f t="shared" si="1"/>
        <v>0</v>
      </c>
      <c r="E738" s="57"/>
      <c r="F738" s="57"/>
      <c r="G738" s="55"/>
      <c r="H738" s="55"/>
      <c r="I738" s="56"/>
    </row>
    <row r="739">
      <c r="A739" s="57"/>
      <c r="B739" s="57"/>
      <c r="C739" s="57"/>
      <c r="D739" s="58">
        <f t="shared" si="1"/>
        <v>0</v>
      </c>
      <c r="E739" s="57"/>
      <c r="F739" s="57"/>
      <c r="G739" s="55"/>
      <c r="H739" s="55"/>
      <c r="I739" s="56"/>
    </row>
    <row r="740">
      <c r="A740" s="57"/>
      <c r="B740" s="57"/>
      <c r="C740" s="57"/>
      <c r="D740" s="58">
        <f t="shared" si="1"/>
        <v>0</v>
      </c>
      <c r="E740" s="57"/>
      <c r="F740" s="57"/>
      <c r="G740" s="55"/>
      <c r="H740" s="55"/>
      <c r="I740" s="56"/>
    </row>
    <row r="741">
      <c r="A741" s="57"/>
      <c r="B741" s="57"/>
      <c r="C741" s="57"/>
      <c r="D741" s="58">
        <f t="shared" si="1"/>
        <v>0</v>
      </c>
      <c r="E741" s="57"/>
      <c r="F741" s="57"/>
      <c r="G741" s="55"/>
      <c r="H741" s="55"/>
      <c r="I741" s="56"/>
    </row>
    <row r="742">
      <c r="A742" s="57"/>
      <c r="B742" s="57"/>
      <c r="C742" s="57"/>
      <c r="D742" s="58">
        <f t="shared" si="1"/>
        <v>0</v>
      </c>
      <c r="E742" s="57"/>
      <c r="F742" s="57"/>
      <c r="G742" s="55"/>
      <c r="H742" s="55"/>
      <c r="I742" s="56"/>
    </row>
    <row r="743">
      <c r="A743" s="57"/>
      <c r="B743" s="57"/>
      <c r="C743" s="57"/>
      <c r="D743" s="58">
        <f t="shared" si="1"/>
        <v>0</v>
      </c>
      <c r="E743" s="57"/>
      <c r="F743" s="57"/>
      <c r="G743" s="55"/>
      <c r="H743" s="55"/>
      <c r="I743" s="56"/>
    </row>
    <row r="744">
      <c r="A744" s="57"/>
      <c r="B744" s="57"/>
      <c r="C744" s="57"/>
      <c r="D744" s="58">
        <f t="shared" si="1"/>
        <v>0</v>
      </c>
      <c r="E744" s="57"/>
      <c r="F744" s="57"/>
      <c r="G744" s="55"/>
      <c r="H744" s="55"/>
      <c r="I744" s="56"/>
    </row>
    <row r="745">
      <c r="A745" s="57"/>
      <c r="B745" s="57"/>
      <c r="C745" s="57"/>
      <c r="D745" s="58">
        <f t="shared" si="1"/>
        <v>0</v>
      </c>
      <c r="E745" s="57"/>
      <c r="F745" s="57"/>
      <c r="G745" s="55"/>
      <c r="H745" s="55"/>
      <c r="I745" s="56"/>
    </row>
    <row r="746">
      <c r="A746" s="57"/>
      <c r="B746" s="57"/>
      <c r="C746" s="57"/>
      <c r="D746" s="58">
        <f t="shared" si="1"/>
        <v>0</v>
      </c>
      <c r="E746" s="57"/>
      <c r="F746" s="57"/>
      <c r="G746" s="55"/>
      <c r="H746" s="55"/>
      <c r="I746" s="56"/>
    </row>
    <row r="747">
      <c r="A747" s="57"/>
      <c r="B747" s="57"/>
      <c r="C747" s="57"/>
      <c r="D747" s="58">
        <f t="shared" si="1"/>
        <v>0</v>
      </c>
      <c r="E747" s="57"/>
      <c r="F747" s="57"/>
      <c r="G747" s="55"/>
      <c r="H747" s="55"/>
      <c r="I747" s="56"/>
    </row>
    <row r="748">
      <c r="A748" s="57"/>
      <c r="B748" s="57"/>
      <c r="C748" s="57"/>
      <c r="D748" s="58">
        <f t="shared" si="1"/>
        <v>0</v>
      </c>
      <c r="E748" s="57"/>
      <c r="F748" s="57"/>
      <c r="G748" s="55"/>
      <c r="H748" s="55"/>
      <c r="I748" s="56"/>
    </row>
    <row r="749">
      <c r="A749" s="57"/>
      <c r="B749" s="57"/>
      <c r="C749" s="57"/>
      <c r="D749" s="58">
        <f t="shared" si="1"/>
        <v>0</v>
      </c>
      <c r="E749" s="57"/>
      <c r="F749" s="57"/>
      <c r="G749" s="55"/>
      <c r="H749" s="55"/>
      <c r="I749" s="56"/>
    </row>
    <row r="750">
      <c r="A750" s="57"/>
      <c r="B750" s="57"/>
      <c r="C750" s="57"/>
      <c r="D750" s="58">
        <f t="shared" si="1"/>
        <v>0</v>
      </c>
      <c r="E750" s="57"/>
      <c r="F750" s="57"/>
      <c r="G750" s="55"/>
      <c r="H750" s="55"/>
      <c r="I750" s="56"/>
    </row>
    <row r="751">
      <c r="A751" s="57"/>
      <c r="B751" s="57"/>
      <c r="C751" s="57"/>
      <c r="D751" s="58">
        <f t="shared" si="1"/>
        <v>0</v>
      </c>
      <c r="E751" s="57"/>
      <c r="F751" s="57"/>
      <c r="G751" s="55"/>
      <c r="H751" s="55"/>
      <c r="I751" s="56"/>
    </row>
    <row r="752">
      <c r="A752" s="57"/>
      <c r="B752" s="57"/>
      <c r="C752" s="57"/>
      <c r="D752" s="58">
        <f t="shared" si="1"/>
        <v>0</v>
      </c>
      <c r="E752" s="57"/>
      <c r="F752" s="57"/>
      <c r="G752" s="55"/>
      <c r="H752" s="55"/>
      <c r="I752" s="56"/>
    </row>
    <row r="753">
      <c r="A753" s="57"/>
      <c r="B753" s="57"/>
      <c r="C753" s="57"/>
      <c r="D753" s="58">
        <f t="shared" si="1"/>
        <v>0</v>
      </c>
      <c r="E753" s="57"/>
      <c r="F753" s="57"/>
      <c r="G753" s="55"/>
      <c r="H753" s="55"/>
      <c r="I753" s="56"/>
    </row>
    <row r="754">
      <c r="A754" s="57"/>
      <c r="B754" s="57"/>
      <c r="C754" s="57"/>
      <c r="D754" s="58">
        <f t="shared" si="1"/>
        <v>0</v>
      </c>
      <c r="E754" s="57"/>
      <c r="F754" s="57"/>
      <c r="G754" s="55"/>
      <c r="H754" s="55"/>
      <c r="I754" s="56"/>
    </row>
    <row r="755">
      <c r="A755" s="57"/>
      <c r="B755" s="57"/>
      <c r="C755" s="57"/>
      <c r="D755" s="58">
        <f t="shared" si="1"/>
        <v>0</v>
      </c>
      <c r="E755" s="57"/>
      <c r="F755" s="57"/>
      <c r="G755" s="55"/>
      <c r="H755" s="55"/>
      <c r="I755" s="56"/>
    </row>
    <row r="756">
      <c r="A756" s="57"/>
      <c r="B756" s="57"/>
      <c r="C756" s="57"/>
      <c r="D756" s="58">
        <f t="shared" si="1"/>
        <v>0</v>
      </c>
      <c r="E756" s="57"/>
      <c r="F756" s="57"/>
      <c r="G756" s="55"/>
      <c r="H756" s="55"/>
      <c r="I756" s="56"/>
    </row>
    <row r="757">
      <c r="A757" s="57"/>
      <c r="B757" s="57"/>
      <c r="C757" s="57"/>
      <c r="D757" s="58">
        <f t="shared" si="1"/>
        <v>0</v>
      </c>
      <c r="E757" s="57"/>
      <c r="F757" s="57"/>
      <c r="G757" s="55"/>
      <c r="H757" s="55"/>
      <c r="I757" s="56"/>
    </row>
    <row r="758">
      <c r="A758" s="57"/>
      <c r="B758" s="57"/>
      <c r="C758" s="57"/>
      <c r="D758" s="58">
        <f t="shared" si="1"/>
        <v>0</v>
      </c>
      <c r="E758" s="57"/>
      <c r="F758" s="57"/>
      <c r="G758" s="55"/>
      <c r="H758" s="55"/>
      <c r="I758" s="56"/>
    </row>
    <row r="759">
      <c r="A759" s="57"/>
      <c r="B759" s="57"/>
      <c r="C759" s="57"/>
      <c r="D759" s="58">
        <f t="shared" si="1"/>
        <v>0</v>
      </c>
      <c r="E759" s="57"/>
      <c r="F759" s="57"/>
      <c r="G759" s="55"/>
      <c r="H759" s="55"/>
      <c r="I759" s="56"/>
    </row>
    <row r="760">
      <c r="A760" s="57"/>
      <c r="B760" s="57"/>
      <c r="C760" s="57"/>
      <c r="D760" s="58">
        <f t="shared" si="1"/>
        <v>0</v>
      </c>
      <c r="E760" s="57"/>
      <c r="F760" s="57"/>
      <c r="G760" s="55"/>
      <c r="H760" s="55"/>
      <c r="I760" s="56"/>
    </row>
    <row r="761">
      <c r="A761" s="57"/>
      <c r="B761" s="57"/>
      <c r="C761" s="57"/>
      <c r="D761" s="58">
        <f t="shared" si="1"/>
        <v>0</v>
      </c>
      <c r="E761" s="57"/>
      <c r="F761" s="57"/>
      <c r="G761" s="55"/>
      <c r="H761" s="55"/>
      <c r="I761" s="56"/>
    </row>
    <row r="762">
      <c r="A762" s="57"/>
      <c r="B762" s="57"/>
      <c r="C762" s="57"/>
      <c r="D762" s="58">
        <f t="shared" si="1"/>
        <v>0</v>
      </c>
      <c r="E762" s="57"/>
      <c r="F762" s="57"/>
      <c r="G762" s="55"/>
      <c r="H762" s="55"/>
      <c r="I762" s="56"/>
    </row>
    <row r="763">
      <c r="A763" s="57"/>
      <c r="B763" s="57"/>
      <c r="C763" s="57"/>
      <c r="D763" s="58">
        <f t="shared" si="1"/>
        <v>0</v>
      </c>
      <c r="E763" s="57"/>
      <c r="F763" s="57"/>
      <c r="G763" s="55"/>
      <c r="H763" s="55"/>
      <c r="I763" s="56"/>
    </row>
    <row r="764">
      <c r="A764" s="57"/>
      <c r="B764" s="57"/>
      <c r="C764" s="57"/>
      <c r="D764" s="58">
        <f t="shared" si="1"/>
        <v>0</v>
      </c>
      <c r="E764" s="57"/>
      <c r="F764" s="57"/>
      <c r="G764" s="55"/>
      <c r="H764" s="55"/>
      <c r="I764" s="56"/>
    </row>
    <row r="765">
      <c r="A765" s="57"/>
      <c r="B765" s="57"/>
      <c r="C765" s="57"/>
      <c r="D765" s="58">
        <f t="shared" si="1"/>
        <v>0</v>
      </c>
      <c r="E765" s="57"/>
      <c r="F765" s="57"/>
      <c r="G765" s="55"/>
      <c r="H765" s="55"/>
      <c r="I765" s="56"/>
    </row>
    <row r="766">
      <c r="A766" s="57"/>
      <c r="B766" s="57"/>
      <c r="C766" s="57"/>
      <c r="D766" s="58">
        <f t="shared" si="1"/>
        <v>0</v>
      </c>
      <c r="E766" s="57"/>
      <c r="F766" s="57"/>
      <c r="G766" s="55"/>
      <c r="H766" s="55"/>
      <c r="I766" s="56"/>
    </row>
    <row r="767">
      <c r="A767" s="57"/>
      <c r="B767" s="57"/>
      <c r="C767" s="57"/>
      <c r="D767" s="58">
        <f t="shared" si="1"/>
        <v>0</v>
      </c>
      <c r="E767" s="57"/>
      <c r="F767" s="57"/>
      <c r="G767" s="55"/>
      <c r="H767" s="55"/>
      <c r="I767" s="56"/>
    </row>
    <row r="768">
      <c r="A768" s="57"/>
      <c r="B768" s="57"/>
      <c r="C768" s="57"/>
      <c r="D768" s="58">
        <f t="shared" si="1"/>
        <v>0</v>
      </c>
      <c r="E768" s="57"/>
      <c r="F768" s="57"/>
      <c r="G768" s="55"/>
      <c r="H768" s="55"/>
      <c r="I768" s="56"/>
    </row>
    <row r="769">
      <c r="A769" s="57"/>
      <c r="B769" s="57"/>
      <c r="C769" s="57"/>
      <c r="D769" s="58">
        <f t="shared" si="1"/>
        <v>0</v>
      </c>
      <c r="E769" s="57"/>
      <c r="F769" s="57"/>
      <c r="G769" s="55"/>
      <c r="H769" s="55"/>
      <c r="I769" s="56"/>
    </row>
    <row r="770">
      <c r="A770" s="57"/>
      <c r="B770" s="57"/>
      <c r="C770" s="57"/>
      <c r="D770" s="58">
        <f t="shared" si="1"/>
        <v>0</v>
      </c>
      <c r="E770" s="57"/>
      <c r="F770" s="57"/>
      <c r="G770" s="55"/>
      <c r="H770" s="55"/>
      <c r="I770" s="56"/>
    </row>
    <row r="771">
      <c r="A771" s="57"/>
      <c r="B771" s="57"/>
      <c r="C771" s="57"/>
      <c r="D771" s="58">
        <f t="shared" si="1"/>
        <v>0</v>
      </c>
      <c r="E771" s="57"/>
      <c r="F771" s="57"/>
      <c r="G771" s="55"/>
      <c r="H771" s="55"/>
      <c r="I771" s="56"/>
    </row>
    <row r="772">
      <c r="A772" s="57"/>
      <c r="B772" s="57"/>
      <c r="C772" s="57"/>
      <c r="D772" s="58">
        <f t="shared" si="1"/>
        <v>0</v>
      </c>
      <c r="E772" s="57"/>
      <c r="F772" s="57"/>
      <c r="G772" s="55"/>
      <c r="H772" s="55"/>
      <c r="I772" s="56"/>
    </row>
    <row r="773">
      <c r="A773" s="57"/>
      <c r="B773" s="57"/>
      <c r="C773" s="57"/>
      <c r="D773" s="58">
        <f t="shared" si="1"/>
        <v>0</v>
      </c>
      <c r="E773" s="57"/>
      <c r="F773" s="57"/>
      <c r="G773" s="55"/>
      <c r="H773" s="55"/>
      <c r="I773" s="56"/>
    </row>
    <row r="774">
      <c r="A774" s="57"/>
      <c r="B774" s="57"/>
      <c r="C774" s="57"/>
      <c r="D774" s="58">
        <f t="shared" si="1"/>
        <v>0</v>
      </c>
      <c r="E774" s="57"/>
      <c r="F774" s="57"/>
      <c r="G774" s="55"/>
      <c r="H774" s="55"/>
      <c r="I774" s="56"/>
    </row>
    <row r="775">
      <c r="A775" s="57"/>
      <c r="B775" s="57"/>
      <c r="C775" s="57"/>
      <c r="D775" s="58">
        <f t="shared" si="1"/>
        <v>0</v>
      </c>
      <c r="E775" s="57"/>
      <c r="F775" s="57"/>
      <c r="G775" s="55"/>
      <c r="H775" s="55"/>
      <c r="I775" s="56"/>
    </row>
    <row r="776">
      <c r="A776" s="57"/>
      <c r="B776" s="57"/>
      <c r="C776" s="57"/>
      <c r="D776" s="58">
        <f t="shared" si="1"/>
        <v>0</v>
      </c>
      <c r="E776" s="57"/>
      <c r="F776" s="57"/>
      <c r="G776" s="55"/>
      <c r="H776" s="55"/>
      <c r="I776" s="56"/>
    </row>
    <row r="777">
      <c r="A777" s="57"/>
      <c r="B777" s="57"/>
      <c r="C777" s="57"/>
      <c r="D777" s="58">
        <f t="shared" si="1"/>
        <v>0</v>
      </c>
      <c r="E777" s="57"/>
      <c r="F777" s="57"/>
      <c r="G777" s="55"/>
      <c r="H777" s="55"/>
      <c r="I777" s="56"/>
    </row>
    <row r="778">
      <c r="A778" s="57"/>
      <c r="B778" s="57"/>
      <c r="C778" s="57"/>
      <c r="D778" s="58">
        <f t="shared" si="1"/>
        <v>0</v>
      </c>
      <c r="E778" s="57"/>
      <c r="F778" s="57"/>
      <c r="G778" s="55"/>
      <c r="H778" s="55"/>
      <c r="I778" s="56"/>
    </row>
    <row r="779">
      <c r="A779" s="57"/>
      <c r="B779" s="57"/>
      <c r="C779" s="57"/>
      <c r="D779" s="58">
        <f t="shared" si="1"/>
        <v>0</v>
      </c>
      <c r="E779" s="57"/>
      <c r="F779" s="57"/>
      <c r="G779" s="55"/>
      <c r="H779" s="55"/>
      <c r="I779" s="56"/>
    </row>
    <row r="780">
      <c r="A780" s="57"/>
      <c r="B780" s="57"/>
      <c r="C780" s="57"/>
      <c r="D780" s="58">
        <f t="shared" si="1"/>
        <v>0</v>
      </c>
      <c r="E780" s="57"/>
      <c r="F780" s="57"/>
      <c r="G780" s="55"/>
      <c r="H780" s="55"/>
      <c r="I780" s="56"/>
    </row>
    <row r="781">
      <c r="A781" s="57"/>
      <c r="B781" s="57"/>
      <c r="C781" s="57"/>
      <c r="D781" s="58">
        <f t="shared" si="1"/>
        <v>0</v>
      </c>
      <c r="E781" s="57"/>
      <c r="F781" s="57"/>
      <c r="G781" s="55"/>
      <c r="H781" s="55"/>
      <c r="I781" s="56"/>
    </row>
    <row r="782">
      <c r="A782" s="57"/>
      <c r="B782" s="57"/>
      <c r="C782" s="57"/>
      <c r="D782" s="58">
        <f t="shared" si="1"/>
        <v>0</v>
      </c>
      <c r="E782" s="57"/>
      <c r="F782" s="57"/>
      <c r="G782" s="55"/>
      <c r="H782" s="55"/>
      <c r="I782" s="56"/>
    </row>
    <row r="783">
      <c r="A783" s="57"/>
      <c r="B783" s="57"/>
      <c r="C783" s="57"/>
      <c r="D783" s="58">
        <f t="shared" si="1"/>
        <v>0</v>
      </c>
      <c r="E783" s="57"/>
      <c r="F783" s="57"/>
      <c r="G783" s="55"/>
      <c r="H783" s="55"/>
      <c r="I783" s="56"/>
    </row>
    <row r="784">
      <c r="A784" s="57"/>
      <c r="B784" s="57"/>
      <c r="C784" s="57"/>
      <c r="D784" s="58">
        <f t="shared" si="1"/>
        <v>0</v>
      </c>
      <c r="E784" s="57"/>
      <c r="F784" s="57"/>
      <c r="G784" s="55"/>
      <c r="H784" s="55"/>
      <c r="I784" s="56"/>
    </row>
    <row r="785">
      <c r="A785" s="57"/>
      <c r="B785" s="57"/>
      <c r="C785" s="57"/>
      <c r="D785" s="58">
        <f t="shared" si="1"/>
        <v>0</v>
      </c>
      <c r="E785" s="57"/>
      <c r="F785" s="57"/>
      <c r="G785" s="55"/>
      <c r="H785" s="55"/>
      <c r="I785" s="56"/>
    </row>
    <row r="786">
      <c r="A786" s="57"/>
      <c r="B786" s="57"/>
      <c r="C786" s="57"/>
      <c r="D786" s="58">
        <f t="shared" si="1"/>
        <v>0</v>
      </c>
      <c r="E786" s="57"/>
      <c r="F786" s="57"/>
      <c r="G786" s="55"/>
      <c r="H786" s="55"/>
      <c r="I786" s="56"/>
    </row>
    <row r="787">
      <c r="A787" s="57"/>
      <c r="B787" s="57"/>
      <c r="C787" s="57"/>
      <c r="D787" s="58">
        <f t="shared" si="1"/>
        <v>0</v>
      </c>
      <c r="E787" s="57"/>
      <c r="F787" s="57"/>
      <c r="G787" s="55"/>
      <c r="H787" s="55"/>
      <c r="I787" s="56"/>
    </row>
    <row r="788">
      <c r="A788" s="57"/>
      <c r="B788" s="57"/>
      <c r="C788" s="57"/>
      <c r="D788" s="58">
        <f t="shared" si="1"/>
        <v>0</v>
      </c>
      <c r="E788" s="57"/>
      <c r="F788" s="57"/>
      <c r="G788" s="55"/>
      <c r="H788" s="55"/>
      <c r="I788" s="56"/>
    </row>
    <row r="789">
      <c r="A789" s="57"/>
      <c r="B789" s="57"/>
      <c r="C789" s="57"/>
      <c r="D789" s="58">
        <f t="shared" si="1"/>
        <v>0</v>
      </c>
      <c r="E789" s="57"/>
      <c r="F789" s="57"/>
      <c r="G789" s="55"/>
      <c r="H789" s="55"/>
      <c r="I789" s="56"/>
    </row>
    <row r="790">
      <c r="A790" s="57"/>
      <c r="B790" s="57"/>
      <c r="C790" s="57"/>
      <c r="D790" s="58">
        <f t="shared" si="1"/>
        <v>0</v>
      </c>
      <c r="E790" s="57"/>
      <c r="F790" s="57"/>
      <c r="G790" s="55"/>
      <c r="H790" s="55"/>
      <c r="I790" s="56"/>
    </row>
    <row r="791">
      <c r="A791" s="57"/>
      <c r="B791" s="57"/>
      <c r="C791" s="57"/>
      <c r="D791" s="58">
        <f t="shared" si="1"/>
        <v>0</v>
      </c>
      <c r="E791" s="57"/>
      <c r="F791" s="57"/>
      <c r="G791" s="55"/>
      <c r="H791" s="55"/>
      <c r="I791" s="56"/>
    </row>
    <row r="792">
      <c r="A792" s="57"/>
      <c r="B792" s="57"/>
      <c r="C792" s="57"/>
      <c r="D792" s="58">
        <f t="shared" si="1"/>
        <v>0</v>
      </c>
      <c r="E792" s="57"/>
      <c r="F792" s="57"/>
      <c r="G792" s="55"/>
      <c r="H792" s="55"/>
      <c r="I792" s="56"/>
    </row>
    <row r="793">
      <c r="A793" s="57"/>
      <c r="B793" s="57"/>
      <c r="C793" s="57"/>
      <c r="D793" s="58">
        <f t="shared" si="1"/>
        <v>0</v>
      </c>
      <c r="E793" s="57"/>
      <c r="F793" s="57"/>
      <c r="G793" s="55"/>
      <c r="H793" s="55"/>
      <c r="I793" s="56"/>
    </row>
    <row r="794">
      <c r="A794" s="57"/>
      <c r="B794" s="57"/>
      <c r="C794" s="57"/>
      <c r="D794" s="58">
        <f t="shared" si="1"/>
        <v>0</v>
      </c>
      <c r="E794" s="57"/>
      <c r="F794" s="57"/>
      <c r="G794" s="55"/>
      <c r="H794" s="55"/>
      <c r="I794" s="56"/>
    </row>
    <row r="795">
      <c r="A795" s="57"/>
      <c r="B795" s="57"/>
      <c r="C795" s="57"/>
      <c r="D795" s="58">
        <f t="shared" si="1"/>
        <v>0</v>
      </c>
      <c r="E795" s="57"/>
      <c r="F795" s="57"/>
      <c r="G795" s="55"/>
      <c r="H795" s="55"/>
      <c r="I795" s="56"/>
    </row>
    <row r="796">
      <c r="A796" s="57"/>
      <c r="B796" s="57"/>
      <c r="C796" s="57"/>
      <c r="D796" s="58">
        <f t="shared" si="1"/>
        <v>0</v>
      </c>
      <c r="E796" s="57"/>
      <c r="F796" s="57"/>
      <c r="G796" s="55"/>
      <c r="H796" s="55"/>
      <c r="I796" s="56"/>
    </row>
    <row r="797">
      <c r="A797" s="57"/>
      <c r="B797" s="57"/>
      <c r="C797" s="57"/>
      <c r="D797" s="58">
        <f t="shared" si="1"/>
        <v>0</v>
      </c>
      <c r="E797" s="57"/>
      <c r="F797" s="57"/>
      <c r="G797" s="55"/>
      <c r="H797" s="55"/>
      <c r="I797" s="56"/>
    </row>
    <row r="798">
      <c r="A798" s="57"/>
      <c r="B798" s="57"/>
      <c r="C798" s="57"/>
      <c r="D798" s="58">
        <f t="shared" si="1"/>
        <v>0</v>
      </c>
      <c r="E798" s="57"/>
      <c r="F798" s="57"/>
      <c r="G798" s="55"/>
      <c r="H798" s="55"/>
      <c r="I798" s="56"/>
    </row>
    <row r="799">
      <c r="A799" s="57"/>
      <c r="B799" s="57"/>
      <c r="C799" s="57"/>
      <c r="D799" s="58">
        <f t="shared" si="1"/>
        <v>0</v>
      </c>
      <c r="E799" s="57"/>
      <c r="F799" s="57"/>
      <c r="G799" s="55"/>
      <c r="H799" s="55"/>
      <c r="I799" s="56"/>
    </row>
    <row r="800">
      <c r="A800" s="57"/>
      <c r="B800" s="57"/>
      <c r="C800" s="57"/>
      <c r="D800" s="58">
        <f t="shared" si="1"/>
        <v>0</v>
      </c>
      <c r="E800" s="57"/>
      <c r="F800" s="57"/>
      <c r="G800" s="55"/>
      <c r="H800" s="55"/>
      <c r="I800" s="56"/>
    </row>
    <row r="801">
      <c r="A801" s="57"/>
      <c r="B801" s="57"/>
      <c r="C801" s="57"/>
      <c r="D801" s="58">
        <f t="shared" si="1"/>
        <v>0</v>
      </c>
      <c r="E801" s="57"/>
      <c r="F801" s="57"/>
      <c r="G801" s="55"/>
      <c r="H801" s="55"/>
      <c r="I801" s="56"/>
    </row>
    <row r="802">
      <c r="A802" s="57"/>
      <c r="B802" s="57"/>
      <c r="C802" s="57"/>
      <c r="D802" s="58">
        <f t="shared" si="1"/>
        <v>0</v>
      </c>
      <c r="E802" s="57"/>
      <c r="F802" s="57"/>
      <c r="G802" s="55"/>
      <c r="H802" s="55"/>
      <c r="I802" s="56"/>
    </row>
    <row r="803">
      <c r="A803" s="57"/>
      <c r="B803" s="57"/>
      <c r="C803" s="57"/>
      <c r="D803" s="58">
        <f t="shared" si="1"/>
        <v>0</v>
      </c>
      <c r="E803" s="57"/>
      <c r="F803" s="57"/>
      <c r="G803" s="55"/>
      <c r="H803" s="55"/>
      <c r="I803" s="56"/>
    </row>
    <row r="804">
      <c r="A804" s="57"/>
      <c r="B804" s="57"/>
      <c r="C804" s="57"/>
      <c r="D804" s="58">
        <f t="shared" si="1"/>
        <v>0</v>
      </c>
      <c r="E804" s="57"/>
      <c r="F804" s="57"/>
      <c r="G804" s="55"/>
      <c r="H804" s="55"/>
      <c r="I804" s="56"/>
    </row>
    <row r="805">
      <c r="A805" s="57"/>
      <c r="B805" s="57"/>
      <c r="C805" s="57"/>
      <c r="D805" s="58">
        <f t="shared" si="1"/>
        <v>0</v>
      </c>
      <c r="E805" s="57"/>
      <c r="F805" s="57"/>
      <c r="G805" s="55"/>
      <c r="H805" s="55"/>
      <c r="I805" s="56"/>
    </row>
    <row r="806">
      <c r="A806" s="57"/>
      <c r="B806" s="57"/>
      <c r="C806" s="57"/>
      <c r="D806" s="58">
        <f t="shared" si="1"/>
        <v>0</v>
      </c>
      <c r="E806" s="57"/>
      <c r="F806" s="57"/>
      <c r="G806" s="55"/>
      <c r="H806" s="55"/>
      <c r="I806" s="56"/>
    </row>
    <row r="807">
      <c r="A807" s="57"/>
      <c r="B807" s="57"/>
      <c r="C807" s="57"/>
      <c r="D807" s="58">
        <f t="shared" si="1"/>
        <v>0</v>
      </c>
      <c r="E807" s="57"/>
      <c r="F807" s="57"/>
      <c r="G807" s="55"/>
      <c r="H807" s="55"/>
      <c r="I807" s="56"/>
    </row>
    <row r="808">
      <c r="A808" s="57"/>
      <c r="B808" s="57"/>
      <c r="C808" s="57"/>
      <c r="D808" s="58">
        <f t="shared" si="1"/>
        <v>0</v>
      </c>
      <c r="E808" s="57"/>
      <c r="F808" s="57"/>
      <c r="G808" s="55"/>
      <c r="H808" s="55"/>
      <c r="I808" s="56"/>
    </row>
    <row r="809">
      <c r="A809" s="57"/>
      <c r="B809" s="57"/>
      <c r="C809" s="57"/>
      <c r="D809" s="58">
        <f t="shared" si="1"/>
        <v>0</v>
      </c>
      <c r="E809" s="57"/>
      <c r="F809" s="57"/>
      <c r="G809" s="55"/>
      <c r="H809" s="55"/>
      <c r="I809" s="56"/>
    </row>
    <row r="810">
      <c r="A810" s="57"/>
      <c r="B810" s="57"/>
      <c r="C810" s="57"/>
      <c r="D810" s="58">
        <f t="shared" si="1"/>
        <v>0</v>
      </c>
      <c r="E810" s="57"/>
      <c r="F810" s="57"/>
      <c r="G810" s="55"/>
      <c r="H810" s="55"/>
      <c r="I810" s="56"/>
    </row>
    <row r="811">
      <c r="A811" s="57"/>
      <c r="B811" s="57"/>
      <c r="C811" s="57"/>
      <c r="D811" s="58">
        <f t="shared" si="1"/>
        <v>0</v>
      </c>
      <c r="E811" s="57"/>
      <c r="F811" s="57"/>
      <c r="G811" s="55"/>
      <c r="H811" s="55"/>
      <c r="I811" s="56"/>
    </row>
    <row r="812">
      <c r="A812" s="57"/>
      <c r="B812" s="57"/>
      <c r="C812" s="57"/>
      <c r="D812" s="58">
        <f t="shared" si="1"/>
        <v>0</v>
      </c>
      <c r="E812" s="57"/>
      <c r="F812" s="57"/>
      <c r="G812" s="55"/>
      <c r="H812" s="55"/>
      <c r="I812" s="56"/>
    </row>
    <row r="813">
      <c r="A813" s="57"/>
      <c r="B813" s="57"/>
      <c r="C813" s="57"/>
      <c r="D813" s="58">
        <f t="shared" si="1"/>
        <v>0</v>
      </c>
      <c r="E813" s="57"/>
      <c r="F813" s="57"/>
      <c r="G813" s="55"/>
      <c r="H813" s="55"/>
      <c r="I813" s="56"/>
    </row>
    <row r="814">
      <c r="A814" s="57"/>
      <c r="B814" s="57"/>
      <c r="C814" s="57"/>
      <c r="D814" s="58">
        <f t="shared" si="1"/>
        <v>0</v>
      </c>
      <c r="E814" s="57"/>
      <c r="F814" s="57"/>
      <c r="G814" s="55"/>
      <c r="H814" s="55"/>
      <c r="I814" s="56"/>
    </row>
    <row r="815">
      <c r="A815" s="57"/>
      <c r="B815" s="57"/>
      <c r="C815" s="57"/>
      <c r="D815" s="58">
        <f t="shared" si="1"/>
        <v>0</v>
      </c>
      <c r="E815" s="57"/>
      <c r="F815" s="57"/>
      <c r="G815" s="55"/>
      <c r="H815" s="55"/>
      <c r="I815" s="56"/>
    </row>
    <row r="816">
      <c r="A816" s="57"/>
      <c r="B816" s="57"/>
      <c r="C816" s="57"/>
      <c r="D816" s="58">
        <f t="shared" si="1"/>
        <v>0</v>
      </c>
      <c r="E816" s="57"/>
      <c r="F816" s="57"/>
      <c r="G816" s="55"/>
      <c r="H816" s="55"/>
      <c r="I816" s="56"/>
    </row>
    <row r="817">
      <c r="A817" s="57"/>
      <c r="B817" s="57"/>
      <c r="C817" s="57"/>
      <c r="D817" s="58">
        <f t="shared" si="1"/>
        <v>0</v>
      </c>
      <c r="E817" s="57"/>
      <c r="F817" s="57"/>
      <c r="G817" s="55"/>
      <c r="H817" s="55"/>
      <c r="I817" s="56"/>
    </row>
    <row r="818">
      <c r="A818" s="57"/>
      <c r="B818" s="57"/>
      <c r="C818" s="57"/>
      <c r="D818" s="58">
        <f t="shared" si="1"/>
        <v>0</v>
      </c>
      <c r="E818" s="57"/>
      <c r="F818" s="57"/>
      <c r="G818" s="55"/>
      <c r="H818" s="55"/>
      <c r="I818" s="56"/>
    </row>
    <row r="819">
      <c r="A819" s="57"/>
      <c r="B819" s="57"/>
      <c r="C819" s="57"/>
      <c r="D819" s="58">
        <f t="shared" si="1"/>
        <v>0</v>
      </c>
      <c r="E819" s="57"/>
      <c r="F819" s="57"/>
      <c r="G819" s="55"/>
      <c r="H819" s="55"/>
      <c r="I819" s="56"/>
    </row>
    <row r="820">
      <c r="A820" s="57"/>
      <c r="B820" s="57"/>
      <c r="C820" s="57"/>
      <c r="D820" s="58">
        <f t="shared" si="1"/>
        <v>0</v>
      </c>
      <c r="E820" s="57"/>
      <c r="F820" s="57"/>
      <c r="G820" s="55"/>
      <c r="H820" s="55"/>
      <c r="I820" s="56"/>
    </row>
  </sheetData>
  <conditionalFormatting sqref="C1:C820">
    <cfRule type="expression" dxfId="9" priority="1">
      <formula>countif(C:C,C1)&gt;1</formula>
    </cfRule>
  </conditionalFormatting>
  <conditionalFormatting sqref="A1:A820">
    <cfRule type="expression" dxfId="9" priority="2">
      <formula>countif(A:A,A1)&gt;1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3.88"/>
    <col customWidth="1" min="2" max="3" width="15.75"/>
    <col customWidth="1" hidden="1" min="4" max="4" width="22.38"/>
    <col customWidth="1" min="5" max="5" width="15.88"/>
    <col customWidth="1" min="6" max="6" width="16.63"/>
    <col customWidth="1" min="7" max="7" width="28.5"/>
  </cols>
  <sheetData>
    <row r="1">
      <c r="A1" s="60" t="s">
        <v>2</v>
      </c>
      <c r="B1" s="60" t="s">
        <v>139</v>
      </c>
      <c r="C1" s="60" t="s">
        <v>140</v>
      </c>
      <c r="D1" s="60" t="s">
        <v>141</v>
      </c>
      <c r="E1" s="60" t="s">
        <v>97</v>
      </c>
      <c r="F1" s="60" t="s">
        <v>142</v>
      </c>
      <c r="G1" s="60" t="s">
        <v>76</v>
      </c>
    </row>
    <row r="2">
      <c r="A2" s="61" t="s">
        <v>81</v>
      </c>
      <c r="B2" s="61" t="s">
        <v>84</v>
      </c>
      <c r="C2" s="61" t="s">
        <v>143</v>
      </c>
      <c r="D2" s="61"/>
      <c r="E2" s="61" t="s">
        <v>30</v>
      </c>
      <c r="F2" s="61" t="s">
        <v>144</v>
      </c>
      <c r="G2" s="62" t="s">
        <v>145</v>
      </c>
    </row>
    <row r="3">
      <c r="A3" s="61" t="s">
        <v>113</v>
      </c>
      <c r="B3" s="61" t="s">
        <v>146</v>
      </c>
      <c r="C3" s="61" t="s">
        <v>147</v>
      </c>
      <c r="D3" s="61"/>
      <c r="E3" s="61" t="s">
        <v>30</v>
      </c>
      <c r="F3" s="61" t="s">
        <v>144</v>
      </c>
      <c r="G3" s="62" t="s">
        <v>145</v>
      </c>
    </row>
    <row r="4">
      <c r="A4" s="61" t="s">
        <v>104</v>
      </c>
      <c r="B4" s="61" t="s">
        <v>148</v>
      </c>
      <c r="C4" s="61" t="s">
        <v>149</v>
      </c>
      <c r="D4" s="61"/>
      <c r="E4" s="61" t="s">
        <v>30</v>
      </c>
      <c r="F4" s="61" t="s">
        <v>150</v>
      </c>
      <c r="G4" s="61" t="s">
        <v>151</v>
      </c>
    </row>
    <row r="5">
      <c r="A5" s="61" t="s">
        <v>152</v>
      </c>
      <c r="B5" s="61" t="s">
        <v>153</v>
      </c>
      <c r="C5" s="61" t="s">
        <v>154</v>
      </c>
      <c r="D5" s="61"/>
      <c r="E5" s="61" t="s">
        <v>30</v>
      </c>
      <c r="F5" s="61" t="s">
        <v>144</v>
      </c>
      <c r="G5" s="61" t="s">
        <v>145</v>
      </c>
    </row>
    <row r="6">
      <c r="A6" s="61" t="s">
        <v>155</v>
      </c>
      <c r="B6" s="61" t="s">
        <v>156</v>
      </c>
      <c r="C6" s="61" t="s">
        <v>157</v>
      </c>
      <c r="D6" s="61"/>
      <c r="E6" s="61" t="s">
        <v>30</v>
      </c>
      <c r="F6" s="61" t="s">
        <v>150</v>
      </c>
      <c r="G6" s="61" t="s">
        <v>151</v>
      </c>
    </row>
    <row r="7">
      <c r="A7" s="61" t="s">
        <v>155</v>
      </c>
      <c r="B7" s="61" t="s">
        <v>158</v>
      </c>
      <c r="C7" s="61" t="s">
        <v>159</v>
      </c>
      <c r="D7" s="61"/>
      <c r="E7" s="61" t="s">
        <v>30</v>
      </c>
      <c r="F7" s="61" t="s">
        <v>150</v>
      </c>
      <c r="G7" s="61" t="s">
        <v>151</v>
      </c>
    </row>
    <row r="8">
      <c r="A8" s="61" t="s">
        <v>62</v>
      </c>
      <c r="B8" s="61" t="s">
        <v>63</v>
      </c>
      <c r="C8" s="61" t="s">
        <v>160</v>
      </c>
      <c r="D8" s="61"/>
      <c r="E8" s="61" t="s">
        <v>30</v>
      </c>
      <c r="F8" s="61" t="s">
        <v>150</v>
      </c>
      <c r="G8" s="61" t="s">
        <v>151</v>
      </c>
    </row>
    <row r="9">
      <c r="A9" s="61" t="s">
        <v>161</v>
      </c>
      <c r="B9" s="61" t="s">
        <v>162</v>
      </c>
      <c r="C9" s="61" t="s">
        <v>163</v>
      </c>
      <c r="D9" s="61"/>
      <c r="E9" s="61" t="s">
        <v>30</v>
      </c>
      <c r="F9" s="61" t="s">
        <v>150</v>
      </c>
      <c r="G9" s="61" t="s">
        <v>151</v>
      </c>
    </row>
    <row r="10">
      <c r="A10" s="61" t="s">
        <v>104</v>
      </c>
      <c r="B10" s="61" t="s">
        <v>130</v>
      </c>
      <c r="C10" s="61" t="s">
        <v>165</v>
      </c>
      <c r="D10" s="61"/>
      <c r="E10" s="61" t="s">
        <v>30</v>
      </c>
      <c r="F10" s="61" t="s">
        <v>144</v>
      </c>
      <c r="G10" s="61" t="s">
        <v>166</v>
      </c>
    </row>
  </sheetData>
  <conditionalFormatting sqref="E1:E10">
    <cfRule type="containsText" dxfId="10" priority="1" operator="containsText" text="DOWN">
      <formula>NOT(ISERROR(SEARCH(("DOWN"),(E1))))</formula>
    </cfRule>
  </conditionalFormatting>
  <conditionalFormatting sqref="E1:E10">
    <cfRule type="containsText" dxfId="11" priority="2" operator="containsText" text="UP">
      <formula>NOT(ISERROR(SEARCH(("UP"),(E1))))</formula>
    </cfRule>
  </conditionalFormatting>
  <conditionalFormatting sqref="F1:F10 G2:G8 G10">
    <cfRule type="cellIs" dxfId="12" priority="3" operator="equal">
      <formula>"POWER RELATED"</formula>
    </cfRule>
  </conditionalFormatting>
  <conditionalFormatting sqref="F1:F10 G2:G8 G10">
    <cfRule type="cellIs" dxfId="10" priority="4" operator="equal">
      <formula>"FIBER RELATED"</formula>
    </cfRule>
  </conditionalFormatting>
  <conditionalFormatting sqref="F1:F10 G2:G8 G10">
    <cfRule type="cellIs" dxfId="13" priority="5" operator="equal">
      <formula>"FIBER AND POWER RELATED"</formula>
    </cfRule>
  </conditionalFormatting>
  <conditionalFormatting sqref="G1:G10">
    <cfRule type="cellIs" dxfId="14" priority="6" operator="equal">
      <formula>"UNPASSABLE"</formula>
    </cfRule>
  </conditionalFormatting>
  <conditionalFormatting sqref="G1:G10">
    <cfRule type="cellIs" dxfId="15" priority="7" operator="equal">
      <formula>"PENDING"</formula>
    </cfRule>
  </conditionalFormatting>
  <conditionalFormatting sqref="G1:G10">
    <cfRule type="cellIs" dxfId="16" priority="8" operator="equal">
      <formula>"VIA GEN SET"</formula>
    </cfRule>
  </conditionalFormatting>
  <conditionalFormatting sqref="G1:G10">
    <cfRule type="containsText" dxfId="12" priority="9" operator="containsText" text="ONGOING">
      <formula>NOT(ISERROR(SEARCH(("ONGOING"),(G1))))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5" max="25" width="15.88"/>
  </cols>
  <sheetData>
    <row r="1">
      <c r="A1" s="63"/>
      <c r="B1" s="63"/>
      <c r="C1" s="63"/>
      <c r="D1" s="64"/>
      <c r="E1" s="63"/>
      <c r="F1" s="63"/>
      <c r="G1" s="65"/>
      <c r="H1" s="66"/>
      <c r="I1" s="66"/>
      <c r="J1" s="65"/>
      <c r="K1" s="65"/>
      <c r="L1" s="63"/>
      <c r="M1" s="65"/>
      <c r="N1" s="65"/>
      <c r="O1" s="63"/>
      <c r="P1" s="63"/>
      <c r="Q1" s="65"/>
      <c r="R1" s="65"/>
      <c r="S1" s="65"/>
      <c r="T1" s="65"/>
      <c r="U1" s="65"/>
      <c r="V1" s="65"/>
      <c r="W1" s="63"/>
      <c r="X1" s="63"/>
      <c r="Y1" s="63"/>
    </row>
    <row r="2">
      <c r="A2" s="67" t="str">
        <f>IFERROR(__xludf.DUMMYFUNCTION("{QUERY(IMPORTRANGE(""https://docs.google.com/spreadsheets/d/159m0SlQEB-oUSGHGADISir5i6z0XvjIus0AdRtE24Lg"",""2025 NAP!A2:X""),""Select * where Col1 ='NAP' ORDER BY Col4, Col1"")}"),"NAP")</f>
        <v>NAP</v>
      </c>
      <c r="B2" s="67" t="str">
        <f>IFERROR(__xludf.DUMMYFUNCTION("""COMPUTED_VALUE"""),"August, 2026")</f>
        <v>August, 2026</v>
      </c>
      <c r="C2" s="68">
        <f>IFERROR(__xludf.DUMMYFUNCTION("""COMPUTED_VALUE"""),46248.0)</f>
        <v>46248</v>
      </c>
      <c r="D2" s="67" t="str">
        <f>IFERROR(__xludf.DUMMYFUNCTION("""COMPUTED_VALUE"""),"APAYAO")</f>
        <v>APAYAO</v>
      </c>
      <c r="E2" s="67" t="str">
        <f>IFERROR(__xludf.DUMMYFUNCTION("""COMPUTED_VALUE"""),"LUNA")</f>
        <v>LUNA</v>
      </c>
      <c r="F2" s="67" t="str">
        <f>IFERROR(__xludf.DUMMYFUNCTION("""COMPUTED_VALUE"""),"TT-20260814-00000131")</f>
        <v>TT-20260814-00000131</v>
      </c>
      <c r="G2" s="67"/>
      <c r="H2" s="67" t="str">
        <f>IFERROR(__xludf.DUMMYFUNCTION("""COMPUTED_VALUE"""),"TT-20260814-00000131 | APAYAO | LUNA | SA | NAP NO POWER | Please see additional NAP ticket. Thank you!
TT-20260814-00000131 | LASTMILE | MINOR | SA | NAP DOWN | APAYAO | LAY001 LP32
Affected Nodes/Links
LAY001 LP32 NP04
Start Time	2026-08-14 09"&amp;":20:05")</f>
        <v>TT-20260814-00000131 | APAYAO | LUNA | SA | NAP NO POWER | Please see additional NAP ticket. Thank you!
TT-20260814-00000131 | LASTMILE | MINOR | SA | NAP DOWN | APAYAO | LAY001 LP32
Affected Nodes/Links
LAY001 LP32 NP04
Start Time	2026-08-14 09:20:05</v>
      </c>
      <c r="I2" s="67" t="str">
        <f>IFERROR(__xludf.DUMMYFUNCTION("""COMPUTED_VALUE"""),"Please see additional NAP ticket. Thank you!
TT-20260814-00000131 | LASTMILE | MINOR | SA | NAP DOWN | APAYAO | LAY001 LP32
Affected Nodes/Links
LAY001 LP32 NP04
Start Time	2026-08-14 09:20:05")</f>
        <v>Please see additional NAP ticket. Thank you!
TT-20260814-00000131 | LASTMILE | MINOR | SA | NAP DOWN | APAYAO | LAY001 LP32
Affected Nodes/Links
LAY001 LP32 NP04
Start Time	2026-08-14 09:20:05</v>
      </c>
      <c r="J2" s="67"/>
      <c r="K2" s="67" t="str">
        <f>IFERROR(__xludf.DUMMYFUNCTION("""COMPUTED_VALUE"""),"SA")</f>
        <v>SA</v>
      </c>
      <c r="L2" s="67" t="str">
        <f>IFERROR(__xludf.DUMMYFUNCTION("""COMPUTED_VALUE"""),"NAP NO POWER")</f>
        <v>NAP NO POWER</v>
      </c>
      <c r="M2" s="67" t="str">
        <f>IFERROR(__xludf.DUMMYFUNCTION("""COMPUTED_VALUE"""),"GNOC")</f>
        <v>GNOC</v>
      </c>
      <c r="N2" s="69">
        <f>IFERROR(__xludf.DUMMYFUNCTION("""COMPUTED_VALUE"""),46248.38241898148)</f>
        <v>46248.38242</v>
      </c>
      <c r="O2" s="69">
        <f>IFERROR(__xludf.DUMMYFUNCTION("""COMPUTED_VALUE"""),46248.38241898148)</f>
        <v>46248.38242</v>
      </c>
      <c r="P2" s="67"/>
      <c r="Q2" s="67"/>
      <c r="R2" s="67"/>
      <c r="S2" s="67"/>
      <c r="T2" s="67"/>
      <c r="U2" s="67"/>
      <c r="V2" s="67"/>
      <c r="W2" s="70">
        <f>IFERROR(__xludf.DUMMYFUNCTION("""COMPUTED_VALUE"""),46249.064227870374)</f>
        <v>46249.06423</v>
      </c>
      <c r="X2" s="71">
        <f>IFERROR(__xludf.DUMMYFUNCTION("""COMPUTED_VALUE"""),0.6818088888892446)</f>
        <v>0.6818088889</v>
      </c>
      <c r="Y2" s="72"/>
    </row>
    <row r="3">
      <c r="A3" s="67" t="str">
        <f>IFERROR(__xludf.DUMMYFUNCTION("""COMPUTED_VALUE"""),"NAP")</f>
        <v>NAP</v>
      </c>
      <c r="B3" s="67" t="str">
        <f>IFERROR(__xludf.DUMMYFUNCTION("""COMPUTED_VALUE"""),"August, 2026")</f>
        <v>August, 2026</v>
      </c>
      <c r="C3" s="68">
        <f>IFERROR(__xludf.DUMMYFUNCTION("""COMPUTED_VALUE"""),46245.0)</f>
        <v>46245</v>
      </c>
      <c r="D3" s="67" t="str">
        <f>IFERROR(__xludf.DUMMYFUNCTION("""COMPUTED_VALUE"""),"BENGUET")</f>
        <v>BENGUET</v>
      </c>
      <c r="E3" s="67" t="str">
        <f>IFERROR(__xludf.DUMMYFUNCTION("""COMPUTED_VALUE"""),"BAGUIO")</f>
        <v>BAGUIO</v>
      </c>
      <c r="F3" s="67" t="str">
        <f>IFERROR(__xludf.DUMMYFUNCTION("""COMPUTED_VALUE"""),"FOC-2026-08-11-000010105540.6")</f>
        <v>FOC-2026-08-11-000010105540.6</v>
      </c>
      <c r="G3" s="67"/>
      <c r="H3" s="67" t="str">
        <f>IFERROR(__xludf.DUMMYFUNCTION("""COMPUTED_VALUE"""),"FOC-2026-08-11-000010105540.6 | BENGUET | BAGUIO | SA | POLE RELOCATION/RETIREMENT/ERECTION/LEANING | 16.86005, 120.78510")</f>
        <v>FOC-2026-08-11-000010105540.6 | BENGUET | BAGUIO | SA | POLE RELOCATION/RETIREMENT/ERECTION/LEANING | 16.86005, 120.78510</v>
      </c>
      <c r="I3" s="67" t="str">
        <f>IFERROR(__xludf.DUMMYFUNCTION("""COMPUTED_VALUE"""),"16.86005, 120.78510")</f>
        <v>16.86005, 120.78510</v>
      </c>
      <c r="J3" s="67"/>
      <c r="K3" s="67" t="str">
        <f>IFERROR(__xludf.DUMMYFUNCTION("""COMPUTED_VALUE"""),"SA")</f>
        <v>SA</v>
      </c>
      <c r="L3" s="67" t="str">
        <f>IFERROR(__xludf.DUMMYFUNCTION("""COMPUTED_VALUE"""),"POLE RELOCATION/RETIREMENT/ERECTION/LEANING")</f>
        <v>POLE RELOCATION/RETIREMENT/ERECTION/LEANING</v>
      </c>
      <c r="M3" s="67" t="str">
        <f>IFERROR(__xludf.DUMMYFUNCTION("""COMPUTED_VALUE"""),"GNOC")</f>
        <v>GNOC</v>
      </c>
      <c r="N3" s="69">
        <f>IFERROR(__xludf.DUMMYFUNCTION("""COMPUTED_VALUE"""),46245.656909722224)</f>
        <v>46245.65691</v>
      </c>
      <c r="O3" s="69">
        <f>IFERROR(__xludf.DUMMYFUNCTION("""COMPUTED_VALUE"""),46245.65961805556)</f>
        <v>46245.65962</v>
      </c>
      <c r="P3" s="67"/>
      <c r="Q3" s="67"/>
      <c r="R3" s="67"/>
      <c r="S3" s="67"/>
      <c r="T3" s="67"/>
      <c r="U3" s="67"/>
      <c r="V3" s="67"/>
      <c r="W3" s="70">
        <f>IFERROR(__xludf.DUMMYFUNCTION("""COMPUTED_VALUE"""),46249.064227870374)</f>
        <v>46249.06423</v>
      </c>
      <c r="X3" s="71">
        <f>IFERROR(__xludf.DUMMYFUNCTION("""COMPUTED_VALUE"""),3.4046098148162485)</f>
        <v>3.404609815</v>
      </c>
      <c r="Y3" s="72"/>
    </row>
    <row r="4">
      <c r="A4" s="67" t="str">
        <f>IFERROR(__xludf.DUMMYFUNCTION("""COMPUTED_VALUE"""),"NAP")</f>
        <v>NAP</v>
      </c>
      <c r="B4" s="67" t="str">
        <f>IFERROR(__xludf.DUMMYFUNCTION("""COMPUTED_VALUE"""),"August, 2026")</f>
        <v>August, 2026</v>
      </c>
      <c r="C4" s="68">
        <f>IFERROR(__xludf.DUMMYFUNCTION("""COMPUTED_VALUE"""),46238.0)</f>
        <v>46238</v>
      </c>
      <c r="D4" s="67" t="str">
        <f>IFERROR(__xludf.DUMMYFUNCTION("""COMPUTED_VALUE"""),"BENGUET")</f>
        <v>BENGUET</v>
      </c>
      <c r="E4" s="67" t="str">
        <f>IFERROR(__xludf.DUMMYFUNCTION("""COMPUTED_VALUE"""),"KAPANGAN")</f>
        <v>KAPANGAN</v>
      </c>
      <c r="F4" s="67" t="str">
        <f>IFERROR(__xludf.DUMMYFUNCTION("""COMPUTED_VALUE"""),"FOC-2026-08-04-000010105353")</f>
        <v>FOC-2026-08-04-000010105353</v>
      </c>
      <c r="G4" s="67"/>
      <c r="H4" s="67" t="str">
        <f>IFERROR(__xludf.DUMMYFUNCTION("""COMPUTED_VALUE"""),"FOC-2026-08-04-000010105353 | BENGUET | KAPANGAN | SA | NAP NO POWER | KIB002 LP8 NP1")</f>
        <v>FOC-2026-08-04-000010105353 | BENGUET | KAPANGAN | SA | NAP NO POWER | KIB002 LP8 NP1</v>
      </c>
      <c r="I4" s="67" t="str">
        <f>IFERROR(__xludf.DUMMYFUNCTION("""COMPUTED_VALUE"""),"KIB002 LP8 NP1")</f>
        <v>KIB002 LP8 NP1</v>
      </c>
      <c r="J4" s="67"/>
      <c r="K4" s="67" t="str">
        <f>IFERROR(__xludf.DUMMYFUNCTION("""COMPUTED_VALUE"""),"SA")</f>
        <v>SA</v>
      </c>
      <c r="L4" s="67" t="str">
        <f>IFERROR(__xludf.DUMMYFUNCTION("""COMPUTED_VALUE"""),"NAP NO POWER")</f>
        <v>NAP NO POWER</v>
      </c>
      <c r="M4" s="67" t="str">
        <f>IFERROR(__xludf.DUMMYFUNCTION("""COMPUTED_VALUE"""),"NLZ FIBER TEAM")</f>
        <v>NLZ FIBER TEAM</v>
      </c>
      <c r="N4" s="69">
        <f>IFERROR(__xludf.DUMMYFUNCTION("""COMPUTED_VALUE"""),46238.66756944444)</f>
        <v>46238.66757</v>
      </c>
      <c r="O4" s="69">
        <f>IFERROR(__xludf.DUMMYFUNCTION("""COMPUTED_VALUE"""),46238.66756944444)</f>
        <v>46238.66757</v>
      </c>
      <c r="P4" s="67"/>
      <c r="Q4" s="67"/>
      <c r="R4" s="67"/>
      <c r="S4" s="67"/>
      <c r="T4" s="67"/>
      <c r="U4" s="67"/>
      <c r="V4" s="67"/>
      <c r="W4" s="70">
        <f>IFERROR(__xludf.DUMMYFUNCTION("""COMPUTED_VALUE"""),46249.064227870374)</f>
        <v>46249.06423</v>
      </c>
      <c r="X4" s="71">
        <f>IFERROR(__xludf.DUMMYFUNCTION("""COMPUTED_VALUE"""),10.396658425927635)</f>
        <v>10.39665843</v>
      </c>
      <c r="Y4" s="72"/>
    </row>
    <row r="5">
      <c r="A5" s="67" t="str">
        <f>IFERROR(__xludf.DUMMYFUNCTION("""COMPUTED_VALUE"""),"NAP")</f>
        <v>NAP</v>
      </c>
      <c r="B5" s="67" t="str">
        <f>IFERROR(__xludf.DUMMYFUNCTION("""COMPUTED_VALUE"""),"August, 2026")</f>
        <v>August, 2026</v>
      </c>
      <c r="C5" s="68">
        <f>IFERROR(__xludf.DUMMYFUNCTION("""COMPUTED_VALUE"""),46239.0)</f>
        <v>46239</v>
      </c>
      <c r="D5" s="67" t="str">
        <f>IFERROR(__xludf.DUMMYFUNCTION("""COMPUTED_VALUE"""),"BENGUET")</f>
        <v>BENGUET</v>
      </c>
      <c r="E5" s="67" t="str">
        <f>IFERROR(__xludf.DUMMYFUNCTION("""COMPUTED_VALUE"""),"KAPANGAN")</f>
        <v>KAPANGAN</v>
      </c>
      <c r="F5" s="67" t="str">
        <f>IFERROR(__xludf.DUMMYFUNCTION("""COMPUTED_VALUE"""),"FOC-2026-08-05-000010105373")</f>
        <v>FOC-2026-08-05-000010105373</v>
      </c>
      <c r="G5" s="67"/>
      <c r="H5" s="67" t="str">
        <f>IFERROR(__xludf.DUMMYFUNCTION("""COMPUTED_VALUE"""),"FOC-2026-08-05-000010105373 | BENGUET | KAPANGAN | SA | NAP NO POWER | KPB001 LP18 NP7-8")</f>
        <v>FOC-2026-08-05-000010105373 | BENGUET | KAPANGAN | SA | NAP NO POWER | KPB001 LP18 NP7-8</v>
      </c>
      <c r="I5" s="67" t="str">
        <f>IFERROR(__xludf.DUMMYFUNCTION("""COMPUTED_VALUE"""),"KPB001 LP18 NP7-8")</f>
        <v>KPB001 LP18 NP7-8</v>
      </c>
      <c r="J5" s="67"/>
      <c r="K5" s="67" t="str">
        <f>IFERROR(__xludf.DUMMYFUNCTION("""COMPUTED_VALUE"""),"SA")</f>
        <v>SA</v>
      </c>
      <c r="L5" s="67" t="str">
        <f>IFERROR(__xludf.DUMMYFUNCTION("""COMPUTED_VALUE"""),"NAP NO POWER")</f>
        <v>NAP NO POWER</v>
      </c>
      <c r="M5" s="67" t="str">
        <f>IFERROR(__xludf.DUMMYFUNCTION("""COMPUTED_VALUE"""),"NLZ FIBER TEAM")</f>
        <v>NLZ FIBER TEAM</v>
      </c>
      <c r="N5" s="69">
        <f>IFERROR(__xludf.DUMMYFUNCTION("""COMPUTED_VALUE"""),46239.58493055556)</f>
        <v>46239.58493</v>
      </c>
      <c r="O5" s="69">
        <f>IFERROR(__xludf.DUMMYFUNCTION("""COMPUTED_VALUE"""),46239.58493055556)</f>
        <v>46239.58493</v>
      </c>
      <c r="P5" s="67"/>
      <c r="Q5" s="67"/>
      <c r="R5" s="67"/>
      <c r="S5" s="67"/>
      <c r="T5" s="67"/>
      <c r="U5" s="67"/>
      <c r="V5" s="67"/>
      <c r="W5" s="70">
        <f>IFERROR(__xludf.DUMMYFUNCTION("""COMPUTED_VALUE"""),46249.064227870374)</f>
        <v>46249.06423</v>
      </c>
      <c r="X5" s="71">
        <f>IFERROR(__xludf.DUMMYFUNCTION("""COMPUTED_VALUE"""),9.479297314813047)</f>
        <v>9.479297315</v>
      </c>
      <c r="Y5" s="72"/>
    </row>
    <row r="6">
      <c r="A6" s="67" t="str">
        <f>IFERROR(__xludf.DUMMYFUNCTION("""COMPUTED_VALUE"""),"NAP")</f>
        <v>NAP</v>
      </c>
      <c r="B6" s="67" t="str">
        <f>IFERROR(__xludf.DUMMYFUNCTION("""COMPUTED_VALUE"""),"August, 2026")</f>
        <v>August, 2026</v>
      </c>
      <c r="C6" s="68">
        <f>IFERROR(__xludf.DUMMYFUNCTION("""COMPUTED_VALUE"""),46248.0)</f>
        <v>46248</v>
      </c>
      <c r="D6" s="67" t="str">
        <f>IFERROR(__xludf.DUMMYFUNCTION("""COMPUTED_VALUE"""),"CAGAYAN")</f>
        <v>CAGAYAN</v>
      </c>
      <c r="E6" s="67" t="str">
        <f>IFERROR(__xludf.DUMMYFUNCTION("""COMPUTED_VALUE"""),"ALLACAPAN")</f>
        <v>ALLACAPAN</v>
      </c>
      <c r="F6" s="67" t="str">
        <f>IFERROR(__xludf.DUMMYFUNCTION("""COMPUTED_VALUE"""),"FOC-2026-08-14-000010105627")</f>
        <v>FOC-2026-08-14-000010105627</v>
      </c>
      <c r="G6" s="67"/>
      <c r="H6" s="67" t="str">
        <f>IFERROR(__xludf.DUMMYFUNCTION("""COMPUTED_VALUE"""),"FOC-2026-08-14-000010105627 | CAGAYAN | ALLACAPAN | SA | NAP NO POWER | APC001 LP28 NP3-4")</f>
        <v>FOC-2026-08-14-000010105627 | CAGAYAN | ALLACAPAN | SA | NAP NO POWER | APC001 LP28 NP3-4</v>
      </c>
      <c r="I6" s="67" t="str">
        <f>IFERROR(__xludf.DUMMYFUNCTION("""COMPUTED_VALUE"""),"APC001 LP28 NP3-4")</f>
        <v>APC001 LP28 NP3-4</v>
      </c>
      <c r="J6" s="67"/>
      <c r="K6" s="67" t="str">
        <f>IFERROR(__xludf.DUMMYFUNCTION("""COMPUTED_VALUE"""),"SA")</f>
        <v>SA</v>
      </c>
      <c r="L6" s="67" t="str">
        <f>IFERROR(__xludf.DUMMYFUNCTION("""COMPUTED_VALUE"""),"NAP NO POWER")</f>
        <v>NAP NO POWER</v>
      </c>
      <c r="M6" s="67" t="str">
        <f>IFERROR(__xludf.DUMMYFUNCTION("""COMPUTED_VALUE"""),"CONNECTIFY BIDA FIBER")</f>
        <v>CONNECTIFY BIDA FIBER</v>
      </c>
      <c r="N6" s="69">
        <f>IFERROR(__xludf.DUMMYFUNCTION("""COMPUTED_VALUE"""),46248.2984375)</f>
        <v>46248.29844</v>
      </c>
      <c r="O6" s="69">
        <f>IFERROR(__xludf.DUMMYFUNCTION("""COMPUTED_VALUE"""),46248.2984375)</f>
        <v>46248.29844</v>
      </c>
      <c r="P6" s="67"/>
      <c r="Q6" s="67"/>
      <c r="R6" s="67"/>
      <c r="S6" s="67"/>
      <c r="T6" s="67"/>
      <c r="U6" s="67"/>
      <c r="V6" s="67"/>
      <c r="W6" s="70">
        <f>IFERROR(__xludf.DUMMYFUNCTION("""COMPUTED_VALUE"""),46249.064227870374)</f>
        <v>46249.06423</v>
      </c>
      <c r="X6" s="71">
        <f>IFERROR(__xludf.DUMMYFUNCTION("""COMPUTED_VALUE"""),0.7657903703718687)</f>
        <v>0.7657903704</v>
      </c>
      <c r="Y6" s="72"/>
    </row>
    <row r="7">
      <c r="A7" s="67" t="str">
        <f>IFERROR(__xludf.DUMMYFUNCTION("""COMPUTED_VALUE"""),"NAP")</f>
        <v>NAP</v>
      </c>
      <c r="B7" s="67" t="str">
        <f>IFERROR(__xludf.DUMMYFUNCTION("""COMPUTED_VALUE"""),"August, 2026")</f>
        <v>August, 2026</v>
      </c>
      <c r="C7" s="68">
        <f>IFERROR(__xludf.DUMMYFUNCTION("""COMPUTED_VALUE"""),46248.0)</f>
        <v>46248</v>
      </c>
      <c r="D7" s="67" t="str">
        <f>IFERROR(__xludf.DUMMYFUNCTION("""COMPUTED_VALUE"""),"CAGAYAN")</f>
        <v>CAGAYAN</v>
      </c>
      <c r="E7" s="67" t="str">
        <f>IFERROR(__xludf.DUMMYFUNCTION("""COMPUTED_VALUE"""),"BAGGAO")</f>
        <v>BAGGAO</v>
      </c>
      <c r="F7" s="67" t="str">
        <f>IFERROR(__xludf.DUMMYFUNCTION("""COMPUTED_VALUE"""),"FOC-2026-08-14-000010105654")</f>
        <v>FOC-2026-08-14-000010105654</v>
      </c>
      <c r="G7" s="67"/>
      <c r="H7" s="67" t="str">
        <f>IFERROR(__xludf.DUMMYFUNCTION("""COMPUTED_VALUE"""),"FOC-2026-08-14-000010105654 | CAGAYAN | BAGGAO | SA | NAP NO POWER | BOC003 LP4 NP3")</f>
        <v>FOC-2026-08-14-000010105654 | CAGAYAN | BAGGAO | SA | NAP NO POWER | BOC003 LP4 NP3</v>
      </c>
      <c r="I7" s="67" t="str">
        <f>IFERROR(__xludf.DUMMYFUNCTION("""COMPUTED_VALUE"""),"BOC003 LP4 NP3")</f>
        <v>BOC003 LP4 NP3</v>
      </c>
      <c r="J7" s="67"/>
      <c r="K7" s="67" t="str">
        <f>IFERROR(__xludf.DUMMYFUNCTION("""COMPUTED_VALUE"""),"SA")</f>
        <v>SA</v>
      </c>
      <c r="L7" s="67" t="str">
        <f>IFERROR(__xludf.DUMMYFUNCTION("""COMPUTED_VALUE"""),"NAP NO POWER")</f>
        <v>NAP NO POWER</v>
      </c>
      <c r="M7" s="67" t="str">
        <f>IFERROR(__xludf.DUMMYFUNCTION("""COMPUTED_VALUE"""),"NLZ FIBER TEAM")</f>
        <v>NLZ FIBER TEAM</v>
      </c>
      <c r="N7" s="69">
        <f>IFERROR(__xludf.DUMMYFUNCTION("""COMPUTED_VALUE"""),46248.58201534722)</f>
        <v>46248.58202</v>
      </c>
      <c r="O7" s="69">
        <f>IFERROR(__xludf.DUMMYFUNCTION("""COMPUTED_VALUE"""),46248.5820190625)</f>
        <v>46248.58202</v>
      </c>
      <c r="P7" s="67"/>
      <c r="Q7" s="67"/>
      <c r="R7" s="67"/>
      <c r="S7" s="67"/>
      <c r="T7" s="67"/>
      <c r="U7" s="67"/>
      <c r="V7" s="67"/>
      <c r="W7" s="70">
        <f>IFERROR(__xludf.DUMMYFUNCTION("""COMPUTED_VALUE"""),46249.064227870374)</f>
        <v>46249.06423</v>
      </c>
      <c r="X7" s="71">
        <f>IFERROR(__xludf.DUMMYFUNCTION("""COMPUTED_VALUE"""),0.4822088078710387)</f>
        <v>0.4822088079</v>
      </c>
      <c r="Y7" s="72"/>
    </row>
    <row r="8">
      <c r="A8" s="67" t="str">
        <f>IFERROR(__xludf.DUMMYFUNCTION("""COMPUTED_VALUE"""),"NAP")</f>
        <v>NAP</v>
      </c>
      <c r="B8" s="67" t="str">
        <f>IFERROR(__xludf.DUMMYFUNCTION("""COMPUTED_VALUE"""),"August, 2026")</f>
        <v>August, 2026</v>
      </c>
      <c r="C8" s="68">
        <f>IFERROR(__xludf.DUMMYFUNCTION("""COMPUTED_VALUE"""),46248.0)</f>
        <v>46248</v>
      </c>
      <c r="D8" s="67" t="str">
        <f>IFERROR(__xludf.DUMMYFUNCTION("""COMPUTED_VALUE"""),"CAGAYAN")</f>
        <v>CAGAYAN</v>
      </c>
      <c r="E8" s="67" t="str">
        <f>IFERROR(__xludf.DUMMYFUNCTION("""COMPUTED_VALUE"""),"LASAM")</f>
        <v>LASAM</v>
      </c>
      <c r="F8" s="67" t="str">
        <f>IFERROR(__xludf.DUMMYFUNCTION("""COMPUTED_VALUE"""),"FOC-2026-08-14-000010105626")</f>
        <v>FOC-2026-08-14-000010105626</v>
      </c>
      <c r="G8" s="67"/>
      <c r="H8" s="67" t="str">
        <f>IFERROR(__xludf.DUMMYFUNCTION("""COMPUTED_VALUE"""),"FOC-2026-08-14-000010105626 | CAGAYAN | LASAM | SA | NAP NO POWER | LSC001 LP4 NP4")</f>
        <v>FOC-2026-08-14-000010105626 | CAGAYAN | LASAM | SA | NAP NO POWER | LSC001 LP4 NP4</v>
      </c>
      <c r="I8" s="67" t="str">
        <f>IFERROR(__xludf.DUMMYFUNCTION("""COMPUTED_VALUE"""),"LSC001 LP4 NP4")</f>
        <v>LSC001 LP4 NP4</v>
      </c>
      <c r="J8" s="67"/>
      <c r="K8" s="67" t="str">
        <f>IFERROR(__xludf.DUMMYFUNCTION("""COMPUTED_VALUE"""),"SA")</f>
        <v>SA</v>
      </c>
      <c r="L8" s="67" t="str">
        <f>IFERROR(__xludf.DUMMYFUNCTION("""COMPUTED_VALUE"""),"NAP NO POWER")</f>
        <v>NAP NO POWER</v>
      </c>
      <c r="M8" s="67" t="str">
        <f>IFERROR(__xludf.DUMMYFUNCTION("""COMPUTED_VALUE"""),"NLZ FIBER TEAM")</f>
        <v>NLZ FIBER TEAM</v>
      </c>
      <c r="N8" s="69">
        <f>IFERROR(__xludf.DUMMYFUNCTION("""COMPUTED_VALUE"""),46248.260243055556)</f>
        <v>46248.26024</v>
      </c>
      <c r="O8" s="69">
        <f>IFERROR(__xludf.DUMMYFUNCTION("""COMPUTED_VALUE"""),46248.260243055556)</f>
        <v>46248.26024</v>
      </c>
      <c r="P8" s="67"/>
      <c r="Q8" s="67"/>
      <c r="R8" s="67"/>
      <c r="S8" s="67"/>
      <c r="T8" s="67"/>
      <c r="U8" s="67"/>
      <c r="V8" s="67"/>
      <c r="W8" s="70">
        <f>IFERROR(__xludf.DUMMYFUNCTION("""COMPUTED_VALUE"""),46249.064227870374)</f>
        <v>46249.06423</v>
      </c>
      <c r="X8" s="71">
        <f>IFERROR(__xludf.DUMMYFUNCTION("""COMPUTED_VALUE"""),0.8039848148134836)</f>
        <v>0.8039848148</v>
      </c>
      <c r="Y8" s="72"/>
    </row>
    <row r="9">
      <c r="A9" s="67" t="str">
        <f>IFERROR(__xludf.DUMMYFUNCTION("""COMPUTED_VALUE"""),"NAP")</f>
        <v>NAP</v>
      </c>
      <c r="B9" s="67" t="str">
        <f>IFERROR(__xludf.DUMMYFUNCTION("""COMPUTED_VALUE"""),"August, 2026")</f>
        <v>August, 2026</v>
      </c>
      <c r="C9" s="68">
        <f>IFERROR(__xludf.DUMMYFUNCTION("""COMPUTED_VALUE"""),46245.0)</f>
        <v>46245</v>
      </c>
      <c r="D9" s="67" t="str">
        <f>IFERROR(__xludf.DUMMYFUNCTION("""COMPUTED_VALUE"""),"CAGAYAN")</f>
        <v>CAGAYAN</v>
      </c>
      <c r="E9" s="67" t="str">
        <f>IFERROR(__xludf.DUMMYFUNCTION("""COMPUTED_VALUE"""),"SOLANA")</f>
        <v>SOLANA</v>
      </c>
      <c r="F9" s="67" t="str">
        <f>IFERROR(__xludf.DUMMYFUNCTION("""COMPUTED_VALUE"""),"FOC-2026-08-11-000010105523")</f>
        <v>FOC-2026-08-11-000010105523</v>
      </c>
      <c r="G9" s="67"/>
      <c r="H9" s="67" t="str">
        <f>IFERROR(__xludf.DUMMYFUNCTION("""COMPUTED_VALUE"""),"FOC-2026-08-11-000010105523 | CAGAYAN | SOLANA | SA | NAP NO POWER | SOC001 LP34 NP1-2")</f>
        <v>FOC-2026-08-11-000010105523 | CAGAYAN | SOLANA | SA | NAP NO POWER | SOC001 LP34 NP1-2</v>
      </c>
      <c r="I9" s="67" t="str">
        <f>IFERROR(__xludf.DUMMYFUNCTION("""COMPUTED_VALUE"""),"SOC001 LP34 NP1-2")</f>
        <v>SOC001 LP34 NP1-2</v>
      </c>
      <c r="J9" s="67"/>
      <c r="K9" s="67" t="str">
        <f>IFERROR(__xludf.DUMMYFUNCTION("""COMPUTED_VALUE"""),"SA")</f>
        <v>SA</v>
      </c>
      <c r="L9" s="67" t="str">
        <f>IFERROR(__xludf.DUMMYFUNCTION("""COMPUTED_VALUE"""),"NAP NO POWER")</f>
        <v>NAP NO POWER</v>
      </c>
      <c r="M9" s="67" t="str">
        <f>IFERROR(__xludf.DUMMYFUNCTION("""COMPUTED_VALUE"""),"JK2L2 BIDA FIBER")</f>
        <v>JK2L2 BIDA FIBER</v>
      </c>
      <c r="N9" s="69">
        <f>IFERROR(__xludf.DUMMYFUNCTION("""COMPUTED_VALUE"""),46245.47417824074)</f>
        <v>46245.47418</v>
      </c>
      <c r="O9" s="69">
        <f>IFERROR(__xludf.DUMMYFUNCTION("""COMPUTED_VALUE"""),46245.47417824074)</f>
        <v>46245.47418</v>
      </c>
      <c r="P9" s="67"/>
      <c r="Q9" s="67"/>
      <c r="R9" s="67"/>
      <c r="S9" s="67"/>
      <c r="T9" s="67"/>
      <c r="U9" s="67"/>
      <c r="V9" s="67"/>
      <c r="W9" s="70">
        <f>IFERROR(__xludf.DUMMYFUNCTION("""COMPUTED_VALUE"""),46249.064227870374)</f>
        <v>46249.06423</v>
      </c>
      <c r="X9" s="71">
        <f>IFERROR(__xludf.DUMMYFUNCTION("""COMPUTED_VALUE"""),3.5900496296296835)</f>
        <v>3.59004963</v>
      </c>
      <c r="Y9" s="72"/>
    </row>
    <row r="10">
      <c r="A10" s="67" t="str">
        <f>IFERROR(__xludf.DUMMYFUNCTION("""COMPUTED_VALUE"""),"NAP")</f>
        <v>NAP</v>
      </c>
      <c r="B10" s="67" t="str">
        <f>IFERROR(__xludf.DUMMYFUNCTION("""COMPUTED_VALUE"""),"August, 2026")</f>
        <v>August, 2026</v>
      </c>
      <c r="C10" s="68">
        <f>IFERROR(__xludf.DUMMYFUNCTION("""COMPUTED_VALUE"""),46248.0)</f>
        <v>46248</v>
      </c>
      <c r="D10" s="67" t="str">
        <f>IFERROR(__xludf.DUMMYFUNCTION("""COMPUTED_VALUE"""),"CAGAYAN")</f>
        <v>CAGAYAN</v>
      </c>
      <c r="E10" s="67" t="str">
        <f>IFERROR(__xludf.DUMMYFUNCTION("""COMPUTED_VALUE"""),"TUGUEGARAO")</f>
        <v>TUGUEGARAO</v>
      </c>
      <c r="F10" s="67" t="str">
        <f>IFERROR(__xludf.DUMMYFUNCTION("""COMPUTED_VALUE"""),"FOC-2026-08-14-000010105637")</f>
        <v>FOC-2026-08-14-000010105637</v>
      </c>
      <c r="G10" s="67"/>
      <c r="H10" s="67" t="str">
        <f>IFERROR(__xludf.DUMMYFUNCTION("""COMPUTED_VALUE"""),"FOC-2026-08-14-000010105637 | CAGAYAN | TUGUEGARAO | SA | NAP NO POWER | TGC001 LP223 NP3-4")</f>
        <v>FOC-2026-08-14-000010105637 | CAGAYAN | TUGUEGARAO | SA | NAP NO POWER | TGC001 LP223 NP3-4</v>
      </c>
      <c r="I10" s="67" t="str">
        <f>IFERROR(__xludf.DUMMYFUNCTION("""COMPUTED_VALUE"""),"TGC001 LP223 NP3-4")</f>
        <v>TGC001 LP223 NP3-4</v>
      </c>
      <c r="J10" s="67"/>
      <c r="K10" s="67" t="str">
        <f>IFERROR(__xludf.DUMMYFUNCTION("""COMPUTED_VALUE"""),"SA")</f>
        <v>SA</v>
      </c>
      <c r="L10" s="67" t="str">
        <f>IFERROR(__xludf.DUMMYFUNCTION("""COMPUTED_VALUE"""),"NAP NO POWER")</f>
        <v>NAP NO POWER</v>
      </c>
      <c r="M10" s="67" t="str">
        <f>IFERROR(__xludf.DUMMYFUNCTION("""COMPUTED_VALUE"""),"NLZ FIBER TEAM")</f>
        <v>NLZ FIBER TEAM</v>
      </c>
      <c r="N10" s="69">
        <f>IFERROR(__xludf.DUMMYFUNCTION("""COMPUTED_VALUE"""),46248.415191354165)</f>
        <v>46248.41519</v>
      </c>
      <c r="O10" s="69">
        <f>IFERROR(__xludf.DUMMYFUNCTION("""COMPUTED_VALUE"""),46248.415191354165)</f>
        <v>46248.41519</v>
      </c>
      <c r="P10" s="67"/>
      <c r="Q10" s="67"/>
      <c r="R10" s="67"/>
      <c r="S10" s="67"/>
      <c r="T10" s="67"/>
      <c r="U10" s="67"/>
      <c r="V10" s="67"/>
      <c r="W10" s="70">
        <f>IFERROR(__xludf.DUMMYFUNCTION("""COMPUTED_VALUE"""),46249.064227870374)</f>
        <v>46249.06423</v>
      </c>
      <c r="X10" s="71">
        <f>IFERROR(__xludf.DUMMYFUNCTION("""COMPUTED_VALUE"""),0.649036516203445)</f>
        <v>0.6490365162</v>
      </c>
      <c r="Y10" s="72"/>
    </row>
    <row r="11">
      <c r="A11" s="67" t="str">
        <f>IFERROR(__xludf.DUMMYFUNCTION("""COMPUTED_VALUE"""),"NAP")</f>
        <v>NAP</v>
      </c>
      <c r="B11" s="67" t="str">
        <f>IFERROR(__xludf.DUMMYFUNCTION("""COMPUTED_VALUE"""),"August, 2026")</f>
        <v>August, 2026</v>
      </c>
      <c r="C11" s="68">
        <f>IFERROR(__xludf.DUMMYFUNCTION("""COMPUTED_VALUE"""),46247.0)</f>
        <v>46247</v>
      </c>
      <c r="D11" s="67" t="str">
        <f>IFERROR(__xludf.DUMMYFUNCTION("""COMPUTED_VALUE"""),"IFUGAO")</f>
        <v>IFUGAO</v>
      </c>
      <c r="E11" s="67" t="str">
        <f>IFERROR(__xludf.DUMMYFUNCTION("""COMPUTED_VALUE"""),"LAMUT")</f>
        <v>LAMUT</v>
      </c>
      <c r="F11" s="67" t="str">
        <f>IFERROR(__xludf.DUMMYFUNCTION("""COMPUTED_VALUE"""),"FOC-2026-08-13-000010105583")</f>
        <v>FOC-2026-08-13-000010105583</v>
      </c>
      <c r="G11" s="67"/>
      <c r="H11" s="67" t="str">
        <f>IFERROR(__xludf.DUMMYFUNCTION("""COMPUTED_VALUE"""),"FOC-2026-08-13-000010105583 | IFUGAO | LAMUT | SA | NAP NO POWER | LTF001 LP26 NP3-4")</f>
        <v>FOC-2026-08-13-000010105583 | IFUGAO | LAMUT | SA | NAP NO POWER | LTF001 LP26 NP3-4</v>
      </c>
      <c r="I11" s="67" t="str">
        <f>IFERROR(__xludf.DUMMYFUNCTION("""COMPUTED_VALUE"""),"LTF001 LP26 NP3-4")</f>
        <v>LTF001 LP26 NP3-4</v>
      </c>
      <c r="J11" s="67"/>
      <c r="K11" s="67" t="str">
        <f>IFERROR(__xludf.DUMMYFUNCTION("""COMPUTED_VALUE"""),"SA")</f>
        <v>SA</v>
      </c>
      <c r="L11" s="67" t="str">
        <f>IFERROR(__xludf.DUMMYFUNCTION("""COMPUTED_VALUE"""),"NAP NO POWER")</f>
        <v>NAP NO POWER</v>
      </c>
      <c r="M11" s="67" t="str">
        <f>IFERROR(__xludf.DUMMYFUNCTION("""COMPUTED_VALUE"""),"GNOC")</f>
        <v>GNOC</v>
      </c>
      <c r="N11" s="69">
        <f>IFERROR(__xludf.DUMMYFUNCTION("""COMPUTED_VALUE"""),46247.41332175926)</f>
        <v>46247.41332</v>
      </c>
      <c r="O11" s="69">
        <f>IFERROR(__xludf.DUMMYFUNCTION("""COMPUTED_VALUE"""),46247.41332175926)</f>
        <v>46247.41332</v>
      </c>
      <c r="P11" s="67"/>
      <c r="Q11" s="67"/>
      <c r="R11" s="67"/>
      <c r="S11" s="67"/>
      <c r="T11" s="67"/>
      <c r="U11" s="67"/>
      <c r="V11" s="67"/>
      <c r="W11" s="70">
        <f>IFERROR(__xludf.DUMMYFUNCTION("""COMPUTED_VALUE"""),46249.064227870374)</f>
        <v>46249.06423</v>
      </c>
      <c r="X11" s="71">
        <f>IFERROR(__xludf.DUMMYFUNCTION("""COMPUTED_VALUE"""),1.6509061111125987)</f>
        <v>1.650906111</v>
      </c>
      <c r="Y11" s="72"/>
    </row>
    <row r="12">
      <c r="A12" s="67" t="str">
        <f>IFERROR(__xludf.DUMMYFUNCTION("""COMPUTED_VALUE"""),"NAP")</f>
        <v>NAP</v>
      </c>
      <c r="B12" s="67" t="str">
        <f>IFERROR(__xludf.DUMMYFUNCTION("""COMPUTED_VALUE"""),"August, 2026")</f>
        <v>August, 2026</v>
      </c>
      <c r="C12" s="68">
        <f>IFERROR(__xludf.DUMMYFUNCTION("""COMPUTED_VALUE"""),46248.0)</f>
        <v>46248</v>
      </c>
      <c r="D12" s="67" t="str">
        <f>IFERROR(__xludf.DUMMYFUNCTION("""COMPUTED_VALUE"""),"ILOCOS_NORTE")</f>
        <v>ILOCOS_NORTE</v>
      </c>
      <c r="E12" s="67" t="str">
        <f>IFERROR(__xludf.DUMMYFUNCTION("""COMPUTED_VALUE"""),"DINGRAS")</f>
        <v>DINGRAS</v>
      </c>
      <c r="F12" s="67" t="str">
        <f>IFERROR(__xludf.DUMMYFUNCTION("""COMPUTED_VALUE"""),"FOC-2026-08-14-000010105663")</f>
        <v>FOC-2026-08-14-000010105663</v>
      </c>
      <c r="G12" s="67"/>
      <c r="H12" s="67" t="str">
        <f>IFERROR(__xludf.DUMMYFUNCTION("""COMPUTED_VALUE"""),"FOC-2026-08-14-000010105663 | ILOCOS_NORTE | DINGRAS | SA | NAP NO POWER | DGI001 LP43 NP8")</f>
        <v>FOC-2026-08-14-000010105663 | ILOCOS_NORTE | DINGRAS | SA | NAP NO POWER | DGI001 LP43 NP8</v>
      </c>
      <c r="I12" s="67" t="str">
        <f>IFERROR(__xludf.DUMMYFUNCTION("""COMPUTED_VALUE"""),"DGI001 LP43 NP8")</f>
        <v>DGI001 LP43 NP8</v>
      </c>
      <c r="J12" s="67"/>
      <c r="K12" s="67" t="str">
        <f>IFERROR(__xludf.DUMMYFUNCTION("""COMPUTED_VALUE"""),"SA")</f>
        <v>SA</v>
      </c>
      <c r="L12" s="67" t="str">
        <f>IFERROR(__xludf.DUMMYFUNCTION("""COMPUTED_VALUE"""),"NAP NO POWER")</f>
        <v>NAP NO POWER</v>
      </c>
      <c r="M12" s="67" t="str">
        <f>IFERROR(__xludf.DUMMYFUNCTION("""COMPUTED_VALUE"""),"NLZ FIBER TEAM")</f>
        <v>NLZ FIBER TEAM</v>
      </c>
      <c r="N12" s="69">
        <f>IFERROR(__xludf.DUMMYFUNCTION("""COMPUTED_VALUE"""),46248.72326490741)</f>
        <v>46248.72326</v>
      </c>
      <c r="O12" s="69">
        <f>IFERROR(__xludf.DUMMYFUNCTION("""COMPUTED_VALUE"""),46248.723261203704)</f>
        <v>46248.72326</v>
      </c>
      <c r="P12" s="67"/>
      <c r="Q12" s="67"/>
      <c r="R12" s="67"/>
      <c r="S12" s="67"/>
      <c r="T12" s="67"/>
      <c r="U12" s="67"/>
      <c r="V12" s="67"/>
      <c r="W12" s="70">
        <f>IFERROR(__xludf.DUMMYFUNCTION("""COMPUTED_VALUE"""),46249.064227870374)</f>
        <v>46249.06423</v>
      </c>
      <c r="X12" s="71">
        <f>IFERROR(__xludf.DUMMYFUNCTION("""COMPUTED_VALUE"""),0.3409666666658205)</f>
        <v>0.3409666667</v>
      </c>
      <c r="Y12" s="72"/>
    </row>
    <row r="13">
      <c r="A13" s="67" t="str">
        <f>IFERROR(__xludf.DUMMYFUNCTION("""COMPUTED_VALUE"""),"NAP")</f>
        <v>NAP</v>
      </c>
      <c r="B13" s="67" t="str">
        <f>IFERROR(__xludf.DUMMYFUNCTION("""COMPUTED_VALUE"""),"August, 2026")</f>
        <v>August, 2026</v>
      </c>
      <c r="C13" s="68">
        <f>IFERROR(__xludf.DUMMYFUNCTION("""COMPUTED_VALUE"""),46248.0)</f>
        <v>46248</v>
      </c>
      <c r="D13" s="67" t="str">
        <f>IFERROR(__xludf.DUMMYFUNCTION("""COMPUTED_VALUE"""),"ILOCOS_NORTE")</f>
        <v>ILOCOS_NORTE</v>
      </c>
      <c r="E13" s="67" t="str">
        <f>IFERROR(__xludf.DUMMYFUNCTION("""COMPUTED_VALUE"""),"LAOAG")</f>
        <v>LAOAG</v>
      </c>
      <c r="F13" s="67" t="str">
        <f>IFERROR(__xludf.DUMMYFUNCTION("""COMPUTED_VALUE"""),"FOC-2026-08-14-000010105635")</f>
        <v>FOC-2026-08-14-000010105635</v>
      </c>
      <c r="G13" s="67"/>
      <c r="H13" s="67" t="str">
        <f>IFERROR(__xludf.DUMMYFUNCTION("""COMPUTED_VALUE"""),"FOC-2026-08-14-000010105635 | ILOCOS_NORTE | LAOAG | SA | NAP NO POWER | LGI001 LP220 NP5-6")</f>
        <v>FOC-2026-08-14-000010105635 | ILOCOS_NORTE | LAOAG | SA | NAP NO POWER | LGI001 LP220 NP5-6</v>
      </c>
      <c r="I13" s="67" t="str">
        <f>IFERROR(__xludf.DUMMYFUNCTION("""COMPUTED_VALUE"""),"LGI001 LP220 NP5-6")</f>
        <v>LGI001 LP220 NP5-6</v>
      </c>
      <c r="J13" s="67"/>
      <c r="K13" s="67" t="str">
        <f>IFERROR(__xludf.DUMMYFUNCTION("""COMPUTED_VALUE"""),"SA")</f>
        <v>SA</v>
      </c>
      <c r="L13" s="67" t="str">
        <f>IFERROR(__xludf.DUMMYFUNCTION("""COMPUTED_VALUE"""),"NAP NO POWER")</f>
        <v>NAP NO POWER</v>
      </c>
      <c r="M13" s="67" t="str">
        <f>IFERROR(__xludf.DUMMYFUNCTION("""COMPUTED_VALUE"""),"NLZ FIBER TEAM")</f>
        <v>NLZ FIBER TEAM</v>
      </c>
      <c r="N13" s="69">
        <f>IFERROR(__xludf.DUMMYFUNCTION("""COMPUTED_VALUE"""),46248.415191354165)</f>
        <v>46248.41519</v>
      </c>
      <c r="O13" s="69">
        <f>IFERROR(__xludf.DUMMYFUNCTION("""COMPUTED_VALUE"""),46248.415191354165)</f>
        <v>46248.41519</v>
      </c>
      <c r="P13" s="67"/>
      <c r="Q13" s="67"/>
      <c r="R13" s="67"/>
      <c r="S13" s="67"/>
      <c r="T13" s="67"/>
      <c r="U13" s="67"/>
      <c r="V13" s="67"/>
      <c r="W13" s="70">
        <f>IFERROR(__xludf.DUMMYFUNCTION("""COMPUTED_VALUE"""),46249.064227870374)</f>
        <v>46249.06423</v>
      </c>
      <c r="X13" s="71">
        <f>IFERROR(__xludf.DUMMYFUNCTION("""COMPUTED_VALUE"""),0.649036516203445)</f>
        <v>0.6490365162</v>
      </c>
      <c r="Y13" s="72"/>
    </row>
    <row r="14">
      <c r="A14" s="67" t="str">
        <f>IFERROR(__xludf.DUMMYFUNCTION("""COMPUTED_VALUE"""),"NAP")</f>
        <v>NAP</v>
      </c>
      <c r="B14" s="67" t="str">
        <f>IFERROR(__xludf.DUMMYFUNCTION("""COMPUTED_VALUE"""),"August, 2026")</f>
        <v>August, 2026</v>
      </c>
      <c r="C14" s="68">
        <f>IFERROR(__xludf.DUMMYFUNCTION("""COMPUTED_VALUE"""),46248.0)</f>
        <v>46248</v>
      </c>
      <c r="D14" s="67" t="str">
        <f>IFERROR(__xludf.DUMMYFUNCTION("""COMPUTED_VALUE"""),"ILOCOS_NORTE")</f>
        <v>ILOCOS_NORTE</v>
      </c>
      <c r="E14" s="67" t="str">
        <f>IFERROR(__xludf.DUMMYFUNCTION("""COMPUTED_VALUE"""),"LAOAG")</f>
        <v>LAOAG</v>
      </c>
      <c r="F14" s="67" t="str">
        <f>IFERROR(__xludf.DUMMYFUNCTION("""COMPUTED_VALUE"""),"FOC-2026-08-14-000010105649")</f>
        <v>FOC-2026-08-14-000010105649</v>
      </c>
      <c r="G14" s="67"/>
      <c r="H14" s="67" t="str">
        <f>IFERROR(__xludf.DUMMYFUNCTION("""COMPUTED_VALUE"""),"FOC-2026-08-14-000010105649 | ILOCOS_NORTE | LAOAG | SA | NAP NO POWER | LGI001 LP236 NP8")</f>
        <v>FOC-2026-08-14-000010105649 | ILOCOS_NORTE | LAOAG | SA | NAP NO POWER | LGI001 LP236 NP8</v>
      </c>
      <c r="I14" s="67" t="str">
        <f>IFERROR(__xludf.DUMMYFUNCTION("""COMPUTED_VALUE"""),"LGI001 LP236 NP8")</f>
        <v>LGI001 LP236 NP8</v>
      </c>
      <c r="J14" s="67"/>
      <c r="K14" s="67" t="str">
        <f>IFERROR(__xludf.DUMMYFUNCTION("""COMPUTED_VALUE"""),"SA")</f>
        <v>SA</v>
      </c>
      <c r="L14" s="67" t="str">
        <f>IFERROR(__xludf.DUMMYFUNCTION("""COMPUTED_VALUE"""),"NAP NO POWER")</f>
        <v>NAP NO POWER</v>
      </c>
      <c r="M14" s="67" t="str">
        <f>IFERROR(__xludf.DUMMYFUNCTION("""COMPUTED_VALUE"""),"GNOC")</f>
        <v>GNOC</v>
      </c>
      <c r="N14" s="69">
        <f>IFERROR(__xludf.DUMMYFUNCTION("""COMPUTED_VALUE"""),46248.461052824074)</f>
        <v>46248.46105</v>
      </c>
      <c r="O14" s="69">
        <f>IFERROR(__xludf.DUMMYFUNCTION("""COMPUTED_VALUE"""),46248.461052824074)</f>
        <v>46248.46105</v>
      </c>
      <c r="P14" s="67"/>
      <c r="Q14" s="67"/>
      <c r="R14" s="67"/>
      <c r="S14" s="67"/>
      <c r="T14" s="67"/>
      <c r="U14" s="67"/>
      <c r="V14" s="67"/>
      <c r="W14" s="70">
        <f>IFERROR(__xludf.DUMMYFUNCTION("""COMPUTED_VALUE"""),46249.064227870374)</f>
        <v>46249.06423</v>
      </c>
      <c r="X14" s="71">
        <f>IFERROR(__xludf.DUMMYFUNCTION("""COMPUTED_VALUE"""),0.6031750462976598)</f>
        <v>0.6031750463</v>
      </c>
      <c r="Y14" s="72"/>
    </row>
    <row r="15">
      <c r="A15" s="67" t="str">
        <f>IFERROR(__xludf.DUMMYFUNCTION("""COMPUTED_VALUE"""),"NAP")</f>
        <v>NAP</v>
      </c>
      <c r="B15" s="67" t="str">
        <f>IFERROR(__xludf.DUMMYFUNCTION("""COMPUTED_VALUE"""),"August, 2026")</f>
        <v>August, 2026</v>
      </c>
      <c r="C15" s="68">
        <f>IFERROR(__xludf.DUMMYFUNCTION("""COMPUTED_VALUE"""),46248.0)</f>
        <v>46248</v>
      </c>
      <c r="D15" s="67" t="str">
        <f>IFERROR(__xludf.DUMMYFUNCTION("""COMPUTED_VALUE"""),"ILOCOS_NORTE")</f>
        <v>ILOCOS_NORTE</v>
      </c>
      <c r="E15" s="67" t="str">
        <f>IFERROR(__xludf.DUMMYFUNCTION("""COMPUTED_VALUE"""),"LAOAG")</f>
        <v>LAOAG</v>
      </c>
      <c r="F15" s="67" t="str">
        <f>IFERROR(__xludf.DUMMYFUNCTION("""COMPUTED_VALUE"""),"TT-20260814-00000268")</f>
        <v>TT-20260814-00000268</v>
      </c>
      <c r="G15" s="67"/>
      <c r="H15" s="67" t="str">
        <f>IFERROR(__xludf.DUMMYFUNCTION("""COMPUTED_VALUE"""),"TT-20260814-00000268 | ILOCOS_NORTE | LAOAG | SA | NAP NO POWER | TT-20260814-00000268 | LASTMILE | MINOR | SA | NAP DOWN | ILOCOS NORTE | LGI001 LP220
Affected Nodes/Links
LGI001 LP220 NP05
Start Time        2026-08-14 13:22:12")</f>
        <v>TT-20260814-00000268 | ILOCOS_NORTE | LAOAG | SA | NAP NO POWER | TT-20260814-00000268 | LASTMILE | MINOR | SA | NAP DOWN | ILOCOS NORTE | LGI001 LP220
Affected Nodes/Links
LGI001 LP220 NP05
Start Time        2026-08-14 13:22:12</v>
      </c>
      <c r="I15" s="67" t="str">
        <f>IFERROR(__xludf.DUMMYFUNCTION("""COMPUTED_VALUE"""),"TT-20260814-00000268 | LASTMILE | MINOR | SA | NAP DOWN | ILOCOS NORTE | LGI001 LP220
Affected Nodes/Links
LGI001 LP220 NP05
Start Time        2026-08-14 13:22:12")</f>
        <v>TT-20260814-00000268 | LASTMILE | MINOR | SA | NAP DOWN | ILOCOS NORTE | LGI001 LP220
Affected Nodes/Links
LGI001 LP220 NP05
Start Time        2026-08-14 13:22:12</v>
      </c>
      <c r="J15" s="67"/>
      <c r="K15" s="67" t="str">
        <f>IFERROR(__xludf.DUMMYFUNCTION("""COMPUTED_VALUE"""),"SA")</f>
        <v>SA</v>
      </c>
      <c r="L15" s="67" t="str">
        <f>IFERROR(__xludf.DUMMYFUNCTION("""COMPUTED_VALUE"""),"NAP NO POWER")</f>
        <v>NAP NO POWER</v>
      </c>
      <c r="M15" s="67" t="str">
        <f>IFERROR(__xludf.DUMMYFUNCTION("""COMPUTED_VALUE"""),"GNOC")</f>
        <v>GNOC</v>
      </c>
      <c r="N15" s="69">
        <f>IFERROR(__xludf.DUMMYFUNCTION("""COMPUTED_VALUE"""),46248.50904881944)</f>
        <v>46248.50905</v>
      </c>
      <c r="O15" s="69">
        <f>IFERROR(__xludf.DUMMYFUNCTION("""COMPUTED_VALUE"""),46248.50904881944)</f>
        <v>46248.50905</v>
      </c>
      <c r="P15" s="67"/>
      <c r="Q15" s="67"/>
      <c r="R15" s="67"/>
      <c r="S15" s="67"/>
      <c r="T15" s="67"/>
      <c r="U15" s="67"/>
      <c r="V15" s="67"/>
      <c r="W15" s="70">
        <f>IFERROR(__xludf.DUMMYFUNCTION("""COMPUTED_VALUE"""),46249.064227870374)</f>
        <v>46249.06423</v>
      </c>
      <c r="X15" s="71">
        <f>IFERROR(__xludf.DUMMYFUNCTION("""COMPUTED_VALUE"""),0.5551790509267829)</f>
        <v>0.5551790509</v>
      </c>
      <c r="Y15" s="72"/>
    </row>
    <row r="16">
      <c r="A16" s="67" t="str">
        <f>IFERROR(__xludf.DUMMYFUNCTION("""COMPUTED_VALUE"""),"NAP")</f>
        <v>NAP</v>
      </c>
      <c r="B16" s="67" t="str">
        <f>IFERROR(__xludf.DUMMYFUNCTION("""COMPUTED_VALUE"""),"August, 2026")</f>
        <v>August, 2026</v>
      </c>
      <c r="C16" s="68">
        <f>IFERROR(__xludf.DUMMYFUNCTION("""COMPUTED_VALUE"""),46248.0)</f>
        <v>46248</v>
      </c>
      <c r="D16" s="67" t="str">
        <f>IFERROR(__xludf.DUMMYFUNCTION("""COMPUTED_VALUE"""),"ILOCOS_NORTE")</f>
        <v>ILOCOS_NORTE</v>
      </c>
      <c r="E16" s="67" t="str">
        <f>IFERROR(__xludf.DUMMYFUNCTION("""COMPUTED_VALUE"""),"PIDDIG")</f>
        <v>PIDDIG</v>
      </c>
      <c r="F16" s="67" t="str">
        <f>IFERROR(__xludf.DUMMYFUNCTION("""COMPUTED_VALUE"""),"FOC-2026-08-14-000010105636")</f>
        <v>FOC-2026-08-14-000010105636</v>
      </c>
      <c r="G16" s="67"/>
      <c r="H16" s="67" t="str">
        <f>IFERROR(__xludf.DUMMYFUNCTION("""COMPUTED_VALUE"""),"FOC-2026-08-14-000010105636 | ILOCOS_NORTE | PIDDIG | SA | NAP NO POWER | PDI001 LP57 NP4")</f>
        <v>FOC-2026-08-14-000010105636 | ILOCOS_NORTE | PIDDIG | SA | NAP NO POWER | PDI001 LP57 NP4</v>
      </c>
      <c r="I16" s="67" t="str">
        <f>IFERROR(__xludf.DUMMYFUNCTION("""COMPUTED_VALUE"""),"PDI001 LP57 NP4")</f>
        <v>PDI001 LP57 NP4</v>
      </c>
      <c r="J16" s="67"/>
      <c r="K16" s="67" t="str">
        <f>IFERROR(__xludf.DUMMYFUNCTION("""COMPUTED_VALUE"""),"SA")</f>
        <v>SA</v>
      </c>
      <c r="L16" s="67" t="str">
        <f>IFERROR(__xludf.DUMMYFUNCTION("""COMPUTED_VALUE"""),"NAP NO POWER")</f>
        <v>NAP NO POWER</v>
      </c>
      <c r="M16" s="67" t="str">
        <f>IFERROR(__xludf.DUMMYFUNCTION("""COMPUTED_VALUE"""),"NLZ FIBER TEAM")</f>
        <v>NLZ FIBER TEAM</v>
      </c>
      <c r="N16" s="69">
        <f>IFERROR(__xludf.DUMMYFUNCTION("""COMPUTED_VALUE"""),46248.415191354165)</f>
        <v>46248.41519</v>
      </c>
      <c r="O16" s="69">
        <f>IFERROR(__xludf.DUMMYFUNCTION("""COMPUTED_VALUE"""),46248.415191354165)</f>
        <v>46248.41519</v>
      </c>
      <c r="P16" s="67"/>
      <c r="Q16" s="67"/>
      <c r="R16" s="67"/>
      <c r="S16" s="67"/>
      <c r="T16" s="67"/>
      <c r="U16" s="67"/>
      <c r="V16" s="67"/>
      <c r="W16" s="70">
        <f>IFERROR(__xludf.DUMMYFUNCTION("""COMPUTED_VALUE"""),46249.064227870374)</f>
        <v>46249.06423</v>
      </c>
      <c r="X16" s="71">
        <f>IFERROR(__xludf.DUMMYFUNCTION("""COMPUTED_VALUE"""),0.649036516203445)</f>
        <v>0.6490365162</v>
      </c>
      <c r="Y16" s="72"/>
    </row>
    <row r="17">
      <c r="A17" s="67" t="str">
        <f>IFERROR(__xludf.DUMMYFUNCTION("""COMPUTED_VALUE"""),"NAP")</f>
        <v>NAP</v>
      </c>
      <c r="B17" s="67" t="str">
        <f>IFERROR(__xludf.DUMMYFUNCTION("""COMPUTED_VALUE"""),"August, 2026")</f>
        <v>August, 2026</v>
      </c>
      <c r="C17" s="68">
        <f>IFERROR(__xludf.DUMMYFUNCTION("""COMPUTED_VALUE"""),46248.0)</f>
        <v>46248</v>
      </c>
      <c r="D17" s="67" t="str">
        <f>IFERROR(__xludf.DUMMYFUNCTION("""COMPUTED_VALUE"""),"ILOCOS_SUR")</f>
        <v>ILOCOS_SUR</v>
      </c>
      <c r="E17" s="67" t="str">
        <f>IFERROR(__xludf.DUMMYFUNCTION("""COMPUTED_VALUE"""),"BANTAY")</f>
        <v>BANTAY</v>
      </c>
      <c r="F17" s="67" t="str">
        <f>IFERROR(__xludf.DUMMYFUNCTION("""COMPUTED_VALUE"""),"FOC-2026-08-14-000010105653")</f>
        <v>FOC-2026-08-14-000010105653</v>
      </c>
      <c r="G17" s="67"/>
      <c r="H17" s="67" t="str">
        <f>IFERROR(__xludf.DUMMYFUNCTION("""COMPUTED_VALUE"""),"FOC-2026-08-14-000010105653 | ILOCOS_SUR | BANTAY | SA | NAP NO POWER | BYI001 LP183 NP3-4")</f>
        <v>FOC-2026-08-14-000010105653 | ILOCOS_SUR | BANTAY | SA | NAP NO POWER | BYI001 LP183 NP3-4</v>
      </c>
      <c r="I17" s="67" t="str">
        <f>IFERROR(__xludf.DUMMYFUNCTION("""COMPUTED_VALUE"""),"BYI001 LP183 NP3-4")</f>
        <v>BYI001 LP183 NP3-4</v>
      </c>
      <c r="J17" s="67"/>
      <c r="K17" s="67" t="str">
        <f>IFERROR(__xludf.DUMMYFUNCTION("""COMPUTED_VALUE"""),"SA")</f>
        <v>SA</v>
      </c>
      <c r="L17" s="67" t="str">
        <f>IFERROR(__xludf.DUMMYFUNCTION("""COMPUTED_VALUE"""),"NAP NO POWER")</f>
        <v>NAP NO POWER</v>
      </c>
      <c r="M17" s="67" t="str">
        <f>IFERROR(__xludf.DUMMYFUNCTION("""COMPUTED_VALUE"""),"NLZ FIBER TEAM")</f>
        <v>NLZ FIBER TEAM</v>
      </c>
      <c r="N17" s="69">
        <f>IFERROR(__xludf.DUMMYFUNCTION("""COMPUTED_VALUE"""),46248.58153581018)</f>
        <v>46248.58154</v>
      </c>
      <c r="O17" s="69">
        <f>IFERROR(__xludf.DUMMYFUNCTION("""COMPUTED_VALUE"""),46248.5815406713)</f>
        <v>46248.58154</v>
      </c>
      <c r="P17" s="67"/>
      <c r="Q17" s="67"/>
      <c r="R17" s="67"/>
      <c r="S17" s="67"/>
      <c r="T17" s="67"/>
      <c r="U17" s="67"/>
      <c r="V17" s="67"/>
      <c r="W17" s="70">
        <f>IFERROR(__xludf.DUMMYFUNCTION("""COMPUTED_VALUE"""),46249.064227870374)</f>
        <v>46249.06423</v>
      </c>
      <c r="X17" s="71">
        <f>IFERROR(__xludf.DUMMYFUNCTION("""COMPUTED_VALUE"""),0.4826871990755993)</f>
        <v>0.4826871991</v>
      </c>
      <c r="Y17" s="72"/>
    </row>
    <row r="18">
      <c r="A18" s="67" t="str">
        <f>IFERROR(__xludf.DUMMYFUNCTION("""COMPUTED_VALUE"""),"NAP")</f>
        <v>NAP</v>
      </c>
      <c r="B18" s="67" t="str">
        <f>IFERROR(__xludf.DUMMYFUNCTION("""COMPUTED_VALUE"""),"August, 2026")</f>
        <v>August, 2026</v>
      </c>
      <c r="C18" s="68">
        <f>IFERROR(__xludf.DUMMYFUNCTION("""COMPUTED_VALUE"""),46248.0)</f>
        <v>46248</v>
      </c>
      <c r="D18" s="67" t="str">
        <f>IFERROR(__xludf.DUMMYFUNCTION("""COMPUTED_VALUE"""),"ILOCOS_SUR")</f>
        <v>ILOCOS_SUR</v>
      </c>
      <c r="E18" s="67" t="str">
        <f>IFERROR(__xludf.DUMMYFUNCTION("""COMPUTED_VALUE"""),"BANTAY")</f>
        <v>BANTAY</v>
      </c>
      <c r="F18" s="67" t="str">
        <f>IFERROR(__xludf.DUMMYFUNCTION("""COMPUTED_VALUE"""),"FOC-2026-08-14-000010105646")</f>
        <v>FOC-2026-08-14-000010105646</v>
      </c>
      <c r="G18" s="67"/>
      <c r="H18" s="67" t="str">
        <f>IFERROR(__xludf.DUMMYFUNCTION("""COMPUTED_VALUE"""),"FOC-2026-08-14-000010105646 | ILOCOS_SUR | BANTAY | SA | LOW POWER | BYI001 LP89 NP5-6")</f>
        <v>FOC-2026-08-14-000010105646 | ILOCOS_SUR | BANTAY | SA | LOW POWER | BYI001 LP89 NP5-6</v>
      </c>
      <c r="I18" s="67" t="str">
        <f>IFERROR(__xludf.DUMMYFUNCTION("""COMPUTED_VALUE"""),"BYI001 LP89 NP5-6")</f>
        <v>BYI001 LP89 NP5-6</v>
      </c>
      <c r="J18" s="67"/>
      <c r="K18" s="67" t="str">
        <f>IFERROR(__xludf.DUMMYFUNCTION("""COMPUTED_VALUE"""),"SA")</f>
        <v>SA</v>
      </c>
      <c r="L18" s="67" t="str">
        <f>IFERROR(__xludf.DUMMYFUNCTION("""COMPUTED_VALUE"""),"LOW POWER")</f>
        <v>LOW POWER</v>
      </c>
      <c r="M18" s="67" t="str">
        <f>IFERROR(__xludf.DUMMYFUNCTION("""COMPUTED_VALUE"""),"GNOC")</f>
        <v>GNOC</v>
      </c>
      <c r="N18" s="69">
        <f>IFERROR(__xludf.DUMMYFUNCTION("""COMPUTED_VALUE"""),46248.461052824074)</f>
        <v>46248.46105</v>
      </c>
      <c r="O18" s="69">
        <f>IFERROR(__xludf.DUMMYFUNCTION("""COMPUTED_VALUE"""),46248.461052824074)</f>
        <v>46248.46105</v>
      </c>
      <c r="P18" s="67"/>
      <c r="Q18" s="67"/>
      <c r="R18" s="67"/>
      <c r="S18" s="67"/>
      <c r="T18" s="67"/>
      <c r="U18" s="67"/>
      <c r="V18" s="67"/>
      <c r="W18" s="70">
        <f>IFERROR(__xludf.DUMMYFUNCTION("""COMPUTED_VALUE"""),46249.064227870374)</f>
        <v>46249.06423</v>
      </c>
      <c r="X18" s="71">
        <f>IFERROR(__xludf.DUMMYFUNCTION("""COMPUTED_VALUE"""),0.6031750462976598)</f>
        <v>0.6031750463</v>
      </c>
      <c r="Y18" s="72"/>
    </row>
    <row r="19">
      <c r="A19" s="67" t="str">
        <f>IFERROR(__xludf.DUMMYFUNCTION("""COMPUTED_VALUE"""),"NAP")</f>
        <v>NAP</v>
      </c>
      <c r="B19" s="67" t="str">
        <f>IFERROR(__xludf.DUMMYFUNCTION("""COMPUTED_VALUE"""),"August, 2026")</f>
        <v>August, 2026</v>
      </c>
      <c r="C19" s="68">
        <f>IFERROR(__xludf.DUMMYFUNCTION("""COMPUTED_VALUE"""),46247.0)</f>
        <v>46247</v>
      </c>
      <c r="D19" s="67" t="str">
        <f>IFERROR(__xludf.DUMMYFUNCTION("""COMPUTED_VALUE"""),"ILOCOS_SUR")</f>
        <v>ILOCOS_SUR</v>
      </c>
      <c r="E19" s="67" t="str">
        <f>IFERROR(__xludf.DUMMYFUNCTION("""COMPUTED_VALUE"""),"CABUGAO")</f>
        <v>CABUGAO</v>
      </c>
      <c r="F19" s="67" t="str">
        <f>IFERROR(__xludf.DUMMYFUNCTION("""COMPUTED_VALUE"""),"FOC-2026-08-13-000010105624")</f>
        <v>FOC-2026-08-13-000010105624</v>
      </c>
      <c r="G19" s="67"/>
      <c r="H19" s="67" t="str">
        <f>IFERROR(__xludf.DUMMYFUNCTION("""COMPUTED_VALUE"""),"FOC-2026-08-13-000010105624 | ILOCOS_SUR | CABUGAO | SA | NAP NO POWER | CGI001 LP29 NP6")</f>
        <v>FOC-2026-08-13-000010105624 | ILOCOS_SUR | CABUGAO | SA | NAP NO POWER | CGI001 LP29 NP6</v>
      </c>
      <c r="I19" s="67" t="str">
        <f>IFERROR(__xludf.DUMMYFUNCTION("""COMPUTED_VALUE"""),"CGI001 LP29 NP6")</f>
        <v>CGI001 LP29 NP6</v>
      </c>
      <c r="J19" s="67"/>
      <c r="K19" s="67" t="str">
        <f>IFERROR(__xludf.DUMMYFUNCTION("""COMPUTED_VALUE"""),"SA")</f>
        <v>SA</v>
      </c>
      <c r="L19" s="67" t="str">
        <f>IFERROR(__xludf.DUMMYFUNCTION("""COMPUTED_VALUE"""),"NAP NO POWER")</f>
        <v>NAP NO POWER</v>
      </c>
      <c r="M19" s="67" t="str">
        <f>IFERROR(__xludf.DUMMYFUNCTION("""COMPUTED_VALUE"""),"NLZ FIBER TEAM")</f>
        <v>NLZ FIBER TEAM</v>
      </c>
      <c r="N19" s="69">
        <f>IFERROR(__xludf.DUMMYFUNCTION("""COMPUTED_VALUE"""),46247.71579861111)</f>
        <v>46247.7158</v>
      </c>
      <c r="O19" s="69">
        <f>IFERROR(__xludf.DUMMYFUNCTION("""COMPUTED_VALUE"""),46247.71579861111)</f>
        <v>46247.7158</v>
      </c>
      <c r="P19" s="67"/>
      <c r="Q19" s="67"/>
      <c r="R19" s="67"/>
      <c r="S19" s="67"/>
      <c r="T19" s="67"/>
      <c r="U19" s="67"/>
      <c r="V19" s="67"/>
      <c r="W19" s="70">
        <f>IFERROR(__xludf.DUMMYFUNCTION("""COMPUTED_VALUE"""),46249.064227870374)</f>
        <v>46249.06423</v>
      </c>
      <c r="X19" s="71">
        <f>IFERROR(__xludf.DUMMYFUNCTION("""COMPUTED_VALUE"""),1.3484292592609193)</f>
        <v>1.348429259</v>
      </c>
      <c r="Y19" s="72"/>
    </row>
    <row r="20">
      <c r="A20" s="67" t="str">
        <f>IFERROR(__xludf.DUMMYFUNCTION("""COMPUTED_VALUE"""),"NAP")</f>
        <v>NAP</v>
      </c>
      <c r="B20" s="67" t="str">
        <f>IFERROR(__xludf.DUMMYFUNCTION("""COMPUTED_VALUE"""),"August, 2026")</f>
        <v>August, 2026</v>
      </c>
      <c r="C20" s="68">
        <f>IFERROR(__xludf.DUMMYFUNCTION("""COMPUTED_VALUE"""),46248.0)</f>
        <v>46248</v>
      </c>
      <c r="D20" s="67" t="str">
        <f>IFERROR(__xludf.DUMMYFUNCTION("""COMPUTED_VALUE"""),"ILOCOS_SUR")</f>
        <v>ILOCOS_SUR</v>
      </c>
      <c r="E20" s="67" t="str">
        <f>IFERROR(__xludf.DUMMYFUNCTION("""COMPUTED_VALUE"""),"CANDON")</f>
        <v>CANDON</v>
      </c>
      <c r="F20" s="67" t="str">
        <f>IFERROR(__xludf.DUMMYFUNCTION("""COMPUTED_VALUE"""),"FOC-2026-08-14-000010105645")</f>
        <v>FOC-2026-08-14-000010105645</v>
      </c>
      <c r="G20" s="67"/>
      <c r="H20" s="67" t="str">
        <f>IFERROR(__xludf.DUMMYFUNCTION("""COMPUTED_VALUE"""),"FOC-2026-08-14-000010105645 | ILOCOS_SUR | CANDON | SA | LOW POWER | CDI001 LP29 NP3-4")</f>
        <v>FOC-2026-08-14-000010105645 | ILOCOS_SUR | CANDON | SA | LOW POWER | CDI001 LP29 NP3-4</v>
      </c>
      <c r="I20" s="67" t="str">
        <f>IFERROR(__xludf.DUMMYFUNCTION("""COMPUTED_VALUE"""),"CDI001 LP29 NP3-4")</f>
        <v>CDI001 LP29 NP3-4</v>
      </c>
      <c r="J20" s="67"/>
      <c r="K20" s="67" t="str">
        <f>IFERROR(__xludf.DUMMYFUNCTION("""COMPUTED_VALUE"""),"SA")</f>
        <v>SA</v>
      </c>
      <c r="L20" s="67" t="str">
        <f>IFERROR(__xludf.DUMMYFUNCTION("""COMPUTED_VALUE"""),"LOW POWER")</f>
        <v>LOW POWER</v>
      </c>
      <c r="M20" s="67" t="str">
        <f>IFERROR(__xludf.DUMMYFUNCTION("""COMPUTED_VALUE"""),"GNOC")</f>
        <v>GNOC</v>
      </c>
      <c r="N20" s="69">
        <f>IFERROR(__xludf.DUMMYFUNCTION("""COMPUTED_VALUE"""),46248.461052824074)</f>
        <v>46248.46105</v>
      </c>
      <c r="O20" s="69">
        <f>IFERROR(__xludf.DUMMYFUNCTION("""COMPUTED_VALUE"""),46248.461052824074)</f>
        <v>46248.46105</v>
      </c>
      <c r="P20" s="67"/>
      <c r="Q20" s="67"/>
      <c r="R20" s="67"/>
      <c r="S20" s="67"/>
      <c r="T20" s="67"/>
      <c r="U20" s="67"/>
      <c r="V20" s="67"/>
      <c r="W20" s="70">
        <f>IFERROR(__xludf.DUMMYFUNCTION("""COMPUTED_VALUE"""),46249.064227870374)</f>
        <v>46249.06423</v>
      </c>
      <c r="X20" s="71">
        <f>IFERROR(__xludf.DUMMYFUNCTION("""COMPUTED_VALUE"""),0.6031750462976598)</f>
        <v>0.6031750463</v>
      </c>
      <c r="Y20" s="72"/>
    </row>
    <row r="21">
      <c r="A21" s="67" t="str">
        <f>IFERROR(__xludf.DUMMYFUNCTION("""COMPUTED_VALUE"""),"NAP")</f>
        <v>NAP</v>
      </c>
      <c r="B21" s="67" t="str">
        <f>IFERROR(__xludf.DUMMYFUNCTION("""COMPUTED_VALUE"""),"August, 2026")</f>
        <v>August, 2026</v>
      </c>
      <c r="C21" s="68">
        <f>IFERROR(__xludf.DUMMYFUNCTION("""COMPUTED_VALUE"""),46248.0)</f>
        <v>46248</v>
      </c>
      <c r="D21" s="67" t="str">
        <f>IFERROR(__xludf.DUMMYFUNCTION("""COMPUTED_VALUE"""),"ILOCOS_SUR")</f>
        <v>ILOCOS_SUR</v>
      </c>
      <c r="E21" s="67" t="str">
        <f>IFERROR(__xludf.DUMMYFUNCTION("""COMPUTED_VALUE"""),"NAGBUKEN")</f>
        <v>NAGBUKEN</v>
      </c>
      <c r="F21" s="67" t="str">
        <f>IFERROR(__xludf.DUMMYFUNCTION("""COMPUTED_VALUE"""),"FOC-2026-08-14-000010105656")</f>
        <v>FOC-2026-08-14-000010105656</v>
      </c>
      <c r="G21" s="67"/>
      <c r="H21" s="67" t="str">
        <f>IFERROR(__xludf.DUMMYFUNCTION("""COMPUTED_VALUE"""),"FOC-2026-08-14-000010105656 | ILOCOS_SUR | NAGBUKEN | SA | NAP NO POWER | NKI001 LP8 NP3-4")</f>
        <v>FOC-2026-08-14-000010105656 | ILOCOS_SUR | NAGBUKEN | SA | NAP NO POWER | NKI001 LP8 NP3-4</v>
      </c>
      <c r="I21" s="67" t="str">
        <f>IFERROR(__xludf.DUMMYFUNCTION("""COMPUTED_VALUE"""),"NKI001 LP8 NP3-4")</f>
        <v>NKI001 LP8 NP3-4</v>
      </c>
      <c r="J21" s="67"/>
      <c r="K21" s="67" t="str">
        <f>IFERROR(__xludf.DUMMYFUNCTION("""COMPUTED_VALUE"""),"SA")</f>
        <v>SA</v>
      </c>
      <c r="L21" s="67" t="str">
        <f>IFERROR(__xludf.DUMMYFUNCTION("""COMPUTED_VALUE"""),"NAP NO POWER")</f>
        <v>NAP NO POWER</v>
      </c>
      <c r="M21" s="67" t="str">
        <f>IFERROR(__xludf.DUMMYFUNCTION("""COMPUTED_VALUE"""),"N.E NDSI")</f>
        <v>N.E NDSI</v>
      </c>
      <c r="N21" s="69">
        <f>IFERROR(__xludf.DUMMYFUNCTION("""COMPUTED_VALUE"""),46248.6040209375)</f>
        <v>46248.60402</v>
      </c>
      <c r="O21" s="69">
        <f>IFERROR(__xludf.DUMMYFUNCTION("""COMPUTED_VALUE"""),46248.6040246412)</f>
        <v>46248.60402</v>
      </c>
      <c r="P21" s="67"/>
      <c r="Q21" s="67"/>
      <c r="R21" s="67"/>
      <c r="S21" s="67"/>
      <c r="T21" s="67"/>
      <c r="U21" s="67"/>
      <c r="V21" s="67"/>
      <c r="W21" s="70">
        <f>IFERROR(__xludf.DUMMYFUNCTION("""COMPUTED_VALUE"""),46249.064227870374)</f>
        <v>46249.06423</v>
      </c>
      <c r="X21" s="71">
        <f>IFERROR(__xludf.DUMMYFUNCTION("""COMPUTED_VALUE"""),0.4602032291681326)</f>
        <v>0.4602032292</v>
      </c>
      <c r="Y21" s="72"/>
    </row>
    <row r="22">
      <c r="A22" s="67" t="str">
        <f>IFERROR(__xludf.DUMMYFUNCTION("""COMPUTED_VALUE"""),"NAP")</f>
        <v>NAP</v>
      </c>
      <c r="B22" s="67" t="str">
        <f>IFERROR(__xludf.DUMMYFUNCTION("""COMPUTED_VALUE"""),"August, 2026")</f>
        <v>August, 2026</v>
      </c>
      <c r="C22" s="68">
        <f>IFERROR(__xludf.DUMMYFUNCTION("""COMPUTED_VALUE"""),46248.0)</f>
        <v>46248</v>
      </c>
      <c r="D22" s="67" t="str">
        <f>IFERROR(__xludf.DUMMYFUNCTION("""COMPUTED_VALUE"""),"ILOCOS_SUR")</f>
        <v>ILOCOS_SUR</v>
      </c>
      <c r="E22" s="67" t="str">
        <f>IFERROR(__xludf.DUMMYFUNCTION("""COMPUTED_VALUE"""),"SANTO DOMINGO")</f>
        <v>SANTO DOMINGO</v>
      </c>
      <c r="F22" s="67" t="str">
        <f>IFERROR(__xludf.DUMMYFUNCTION("""COMPUTED_VALUE"""),"FOC-2026-08-14-000010105648")</f>
        <v>FOC-2026-08-14-000010105648</v>
      </c>
      <c r="G22" s="67"/>
      <c r="H22" s="67" t="str">
        <f>IFERROR(__xludf.DUMMYFUNCTION("""COMPUTED_VALUE"""),"FOC-2026-08-14-000010105648 | ILOCOS_SUR | SANTO DOMINGO | SA | LOW POWER | DOI001 LP44 NP6")</f>
        <v>FOC-2026-08-14-000010105648 | ILOCOS_SUR | SANTO DOMINGO | SA | LOW POWER | DOI001 LP44 NP6</v>
      </c>
      <c r="I22" s="67" t="str">
        <f>IFERROR(__xludf.DUMMYFUNCTION("""COMPUTED_VALUE"""),"DOI001 LP44 NP6")</f>
        <v>DOI001 LP44 NP6</v>
      </c>
      <c r="J22" s="67"/>
      <c r="K22" s="67" t="str">
        <f>IFERROR(__xludf.DUMMYFUNCTION("""COMPUTED_VALUE"""),"SA")</f>
        <v>SA</v>
      </c>
      <c r="L22" s="67" t="str">
        <f>IFERROR(__xludf.DUMMYFUNCTION("""COMPUTED_VALUE"""),"LOW POWER")</f>
        <v>LOW POWER</v>
      </c>
      <c r="M22" s="67" t="str">
        <f>IFERROR(__xludf.DUMMYFUNCTION("""COMPUTED_VALUE"""),"GNOC")</f>
        <v>GNOC</v>
      </c>
      <c r="N22" s="69">
        <f>IFERROR(__xludf.DUMMYFUNCTION("""COMPUTED_VALUE"""),46248.461052824074)</f>
        <v>46248.46105</v>
      </c>
      <c r="O22" s="69">
        <f>IFERROR(__xludf.DUMMYFUNCTION("""COMPUTED_VALUE"""),46248.461052824074)</f>
        <v>46248.46105</v>
      </c>
      <c r="P22" s="67"/>
      <c r="Q22" s="67"/>
      <c r="R22" s="67"/>
      <c r="S22" s="67"/>
      <c r="T22" s="67"/>
      <c r="U22" s="67"/>
      <c r="V22" s="67"/>
      <c r="W22" s="70">
        <f>IFERROR(__xludf.DUMMYFUNCTION("""COMPUTED_VALUE"""),46249.064227870374)</f>
        <v>46249.06423</v>
      </c>
      <c r="X22" s="71">
        <f>IFERROR(__xludf.DUMMYFUNCTION("""COMPUTED_VALUE"""),0.6031750462976598)</f>
        <v>0.6031750463</v>
      </c>
      <c r="Y22" s="72"/>
    </row>
    <row r="23">
      <c r="A23" s="67" t="str">
        <f>IFERROR(__xludf.DUMMYFUNCTION("""COMPUTED_VALUE"""),"NAP")</f>
        <v>NAP</v>
      </c>
      <c r="B23" s="67" t="str">
        <f>IFERROR(__xludf.DUMMYFUNCTION("""COMPUTED_VALUE"""),"August, 2026")</f>
        <v>August, 2026</v>
      </c>
      <c r="C23" s="68">
        <f>IFERROR(__xludf.DUMMYFUNCTION("""COMPUTED_VALUE"""),46248.0)</f>
        <v>46248</v>
      </c>
      <c r="D23" s="67" t="str">
        <f>IFERROR(__xludf.DUMMYFUNCTION("""COMPUTED_VALUE"""),"ILOCOS_SUR")</f>
        <v>ILOCOS_SUR</v>
      </c>
      <c r="E23" s="67" t="str">
        <f>IFERROR(__xludf.DUMMYFUNCTION("""COMPUTED_VALUE"""),"SANTO DOMINGO")</f>
        <v>SANTO DOMINGO</v>
      </c>
      <c r="F23" s="67" t="str">
        <f>IFERROR(__xludf.DUMMYFUNCTION("""COMPUTED_VALUE"""),"FOC-2026-08-14-000010105644")</f>
        <v>FOC-2026-08-14-000010105644</v>
      </c>
      <c r="G23" s="67"/>
      <c r="H23" s="67" t="str">
        <f>IFERROR(__xludf.DUMMYFUNCTION("""COMPUTED_VALUE"""),"FOC-2026-08-14-000010105644 | ILOCOS_SUR | SANTO DOMINGO | SA | LOW POWER | DOI001 LP55 NP1")</f>
        <v>FOC-2026-08-14-000010105644 | ILOCOS_SUR | SANTO DOMINGO | SA | LOW POWER | DOI001 LP55 NP1</v>
      </c>
      <c r="I23" s="67" t="str">
        <f>IFERROR(__xludf.DUMMYFUNCTION("""COMPUTED_VALUE"""),"DOI001 LP55 NP1")</f>
        <v>DOI001 LP55 NP1</v>
      </c>
      <c r="J23" s="67"/>
      <c r="K23" s="67" t="str">
        <f>IFERROR(__xludf.DUMMYFUNCTION("""COMPUTED_VALUE"""),"SA")</f>
        <v>SA</v>
      </c>
      <c r="L23" s="67" t="str">
        <f>IFERROR(__xludf.DUMMYFUNCTION("""COMPUTED_VALUE"""),"LOW POWER")</f>
        <v>LOW POWER</v>
      </c>
      <c r="M23" s="67" t="str">
        <f>IFERROR(__xludf.DUMMYFUNCTION("""COMPUTED_VALUE"""),"GNOC")</f>
        <v>GNOC</v>
      </c>
      <c r="N23" s="69">
        <f>IFERROR(__xludf.DUMMYFUNCTION("""COMPUTED_VALUE"""),46248.461052824074)</f>
        <v>46248.46105</v>
      </c>
      <c r="O23" s="69">
        <f>IFERROR(__xludf.DUMMYFUNCTION("""COMPUTED_VALUE"""),46248.461052824074)</f>
        <v>46248.46105</v>
      </c>
      <c r="P23" s="67"/>
      <c r="Q23" s="67"/>
      <c r="R23" s="67"/>
      <c r="S23" s="67"/>
      <c r="T23" s="67"/>
      <c r="U23" s="67"/>
      <c r="V23" s="67"/>
      <c r="W23" s="70">
        <f>IFERROR(__xludf.DUMMYFUNCTION("""COMPUTED_VALUE"""),46249.064227870374)</f>
        <v>46249.06423</v>
      </c>
      <c r="X23" s="71">
        <f>IFERROR(__xludf.DUMMYFUNCTION("""COMPUTED_VALUE"""),0.6031750462976598)</f>
        <v>0.6031750463</v>
      </c>
      <c r="Y23" s="72"/>
    </row>
    <row r="24">
      <c r="A24" s="67" t="str">
        <f>IFERROR(__xludf.DUMMYFUNCTION("""COMPUTED_VALUE"""),"NAP")</f>
        <v>NAP</v>
      </c>
      <c r="B24" s="67" t="str">
        <f>IFERROR(__xludf.DUMMYFUNCTION("""COMPUTED_VALUE"""),"August, 2026")</f>
        <v>August, 2026</v>
      </c>
      <c r="C24" s="68">
        <f>IFERROR(__xludf.DUMMYFUNCTION("""COMPUTED_VALUE"""),46247.0)</f>
        <v>46247</v>
      </c>
      <c r="D24" s="67" t="str">
        <f>IFERROR(__xludf.DUMMYFUNCTION("""COMPUTED_VALUE"""),"ILOCOS_SUR")</f>
        <v>ILOCOS_SUR</v>
      </c>
      <c r="E24" s="67" t="str">
        <f>IFERROR(__xludf.DUMMYFUNCTION("""COMPUTED_VALUE"""),"SANTO DOMINGO")</f>
        <v>SANTO DOMINGO</v>
      </c>
      <c r="F24" s="67" t="str">
        <f>IFERROR(__xludf.DUMMYFUNCTION("""COMPUTED_VALUE"""),"FOC-2026-08-13-000010105607")</f>
        <v>FOC-2026-08-13-000010105607</v>
      </c>
      <c r="G24" s="67"/>
      <c r="H24" s="67" t="str">
        <f>IFERROR(__xludf.DUMMYFUNCTION("""COMPUTED_VALUE"""),"FOC-2026-08-13-000010105607 | ILOCOS_SUR | SANTO DOMINGO | SA | NAP NO POWER | DOI001 LP88 NP5 AND NP6-7")</f>
        <v>FOC-2026-08-13-000010105607 | ILOCOS_SUR | SANTO DOMINGO | SA | NAP NO POWER | DOI001 LP88 NP5 AND NP6-7</v>
      </c>
      <c r="I24" s="67" t="str">
        <f>IFERROR(__xludf.DUMMYFUNCTION("""COMPUTED_VALUE"""),"DOI001 LP88 NP5 AND NP6-7")</f>
        <v>DOI001 LP88 NP5 AND NP6-7</v>
      </c>
      <c r="J24" s="67"/>
      <c r="K24" s="67" t="str">
        <f>IFERROR(__xludf.DUMMYFUNCTION("""COMPUTED_VALUE"""),"SA")</f>
        <v>SA</v>
      </c>
      <c r="L24" s="67" t="str">
        <f>IFERROR(__xludf.DUMMYFUNCTION("""COMPUTED_VALUE"""),"NAP NO POWER")</f>
        <v>NAP NO POWER</v>
      </c>
      <c r="M24" s="67" t="str">
        <f>IFERROR(__xludf.DUMMYFUNCTION("""COMPUTED_VALUE"""),"GNOC")</f>
        <v>GNOC</v>
      </c>
      <c r="N24" s="69">
        <f>IFERROR(__xludf.DUMMYFUNCTION("""COMPUTED_VALUE"""),46247.561090277784)</f>
        <v>46247.56109</v>
      </c>
      <c r="O24" s="69">
        <f>IFERROR(__xludf.DUMMYFUNCTION("""COMPUTED_VALUE"""),46247.561090277784)</f>
        <v>46247.56109</v>
      </c>
      <c r="P24" s="67"/>
      <c r="Q24" s="67"/>
      <c r="R24" s="67"/>
      <c r="S24" s="67"/>
      <c r="T24" s="67"/>
      <c r="U24" s="67"/>
      <c r="V24" s="67"/>
      <c r="W24" s="70">
        <f>IFERROR(__xludf.DUMMYFUNCTION("""COMPUTED_VALUE"""),46249.064227870374)</f>
        <v>46249.06423</v>
      </c>
      <c r="X24" s="71">
        <f>IFERROR(__xludf.DUMMYFUNCTION("""COMPUTED_VALUE"""),1.5031375925909325)</f>
        <v>1.503137593</v>
      </c>
      <c r="Y24" s="72"/>
    </row>
    <row r="25">
      <c r="A25" s="67" t="str">
        <f>IFERROR(__xludf.DUMMYFUNCTION("""COMPUTED_VALUE"""),"NAP")</f>
        <v>NAP</v>
      </c>
      <c r="B25" s="67" t="str">
        <f>IFERROR(__xludf.DUMMYFUNCTION("""COMPUTED_VALUE"""),"August, 2026")</f>
        <v>August, 2026</v>
      </c>
      <c r="C25" s="68">
        <f>IFERROR(__xludf.DUMMYFUNCTION("""COMPUTED_VALUE"""),46247.0)</f>
        <v>46247</v>
      </c>
      <c r="D25" s="67" t="str">
        <f>IFERROR(__xludf.DUMMYFUNCTION("""COMPUTED_VALUE"""),"ILOCOS_SUR")</f>
        <v>ILOCOS_SUR</v>
      </c>
      <c r="E25" s="67" t="str">
        <f>IFERROR(__xludf.DUMMYFUNCTION("""COMPUTED_VALUE"""),"SANTO DOMINGO")</f>
        <v>SANTO DOMINGO</v>
      </c>
      <c r="F25" s="67" t="str">
        <f>IFERROR(__xludf.DUMMYFUNCTION("""COMPUTED_VALUE"""),"FOC-2026-08-13-000010105608")</f>
        <v>FOC-2026-08-13-000010105608</v>
      </c>
      <c r="G25" s="67"/>
      <c r="H25" s="67" t="str">
        <f>IFERROR(__xludf.DUMMYFUNCTION("""COMPUTED_VALUE"""),"FOC-2026-08-13-000010105608 | ILOCOS_SUR | SANTO DOMINGO | SA | NAP NO POWER | SLV001 LP65 NP6")</f>
        <v>FOC-2026-08-13-000010105608 | ILOCOS_SUR | SANTO DOMINGO | SA | NAP NO POWER | SLV001 LP65 NP6</v>
      </c>
      <c r="I25" s="67" t="str">
        <f>IFERROR(__xludf.DUMMYFUNCTION("""COMPUTED_VALUE"""),"SLV001 LP65 NP6")</f>
        <v>SLV001 LP65 NP6</v>
      </c>
      <c r="J25" s="67"/>
      <c r="K25" s="67" t="str">
        <f>IFERROR(__xludf.DUMMYFUNCTION("""COMPUTED_VALUE"""),"SA")</f>
        <v>SA</v>
      </c>
      <c r="L25" s="67" t="str">
        <f>IFERROR(__xludf.DUMMYFUNCTION("""COMPUTED_VALUE"""),"NAP NO POWER")</f>
        <v>NAP NO POWER</v>
      </c>
      <c r="M25" s="67" t="str">
        <f>IFERROR(__xludf.DUMMYFUNCTION("""COMPUTED_VALUE"""),"GNOC")</f>
        <v>GNOC</v>
      </c>
      <c r="N25" s="69">
        <f>IFERROR(__xludf.DUMMYFUNCTION("""COMPUTED_VALUE"""),46247.561090277784)</f>
        <v>46247.56109</v>
      </c>
      <c r="O25" s="69">
        <f>IFERROR(__xludf.DUMMYFUNCTION("""COMPUTED_VALUE"""),46247.561090277784)</f>
        <v>46247.56109</v>
      </c>
      <c r="P25" s="67"/>
      <c r="Q25" s="67"/>
      <c r="R25" s="67"/>
      <c r="S25" s="67"/>
      <c r="T25" s="67"/>
      <c r="U25" s="67"/>
      <c r="V25" s="67"/>
      <c r="W25" s="70">
        <f>IFERROR(__xludf.DUMMYFUNCTION("""COMPUTED_VALUE"""),46249.064227870374)</f>
        <v>46249.06423</v>
      </c>
      <c r="X25" s="71">
        <f>IFERROR(__xludf.DUMMYFUNCTION("""COMPUTED_VALUE"""),1.5031375925909325)</f>
        <v>1.503137593</v>
      </c>
      <c r="Y25" s="72"/>
    </row>
    <row r="26">
      <c r="A26" s="67" t="str">
        <f>IFERROR(__xludf.DUMMYFUNCTION("""COMPUTED_VALUE"""),"NAP")</f>
        <v>NAP</v>
      </c>
      <c r="B26" s="67" t="str">
        <f>IFERROR(__xludf.DUMMYFUNCTION("""COMPUTED_VALUE"""),"August, 2026")</f>
        <v>August, 2026</v>
      </c>
      <c r="C26" s="68">
        <f>IFERROR(__xludf.DUMMYFUNCTION("""COMPUTED_VALUE"""),46248.0)</f>
        <v>46248</v>
      </c>
      <c r="D26" s="67" t="str">
        <f>IFERROR(__xludf.DUMMYFUNCTION("""COMPUTED_VALUE"""),"ILOCOS_SUR")</f>
        <v>ILOCOS_SUR</v>
      </c>
      <c r="E26" s="67" t="str">
        <f>IFERROR(__xludf.DUMMYFUNCTION("""COMPUTED_VALUE"""),"TAGUDIN")</f>
        <v>TAGUDIN</v>
      </c>
      <c r="F26" s="67" t="str">
        <f>IFERROR(__xludf.DUMMYFUNCTION("""COMPUTED_VALUE"""),"FOC-2026-08-14-000010105631")</f>
        <v>FOC-2026-08-14-000010105631</v>
      </c>
      <c r="G26" s="67"/>
      <c r="H26" s="67" t="str">
        <f>IFERROR(__xludf.DUMMYFUNCTION("""COMPUTED_VALUE"""),"FOC-2026-08-14-000010105631 | ILOCOS_SUR | TAGUDIN | SA | NAP NO POWER | TGI001 LP59 NP5-6")</f>
        <v>FOC-2026-08-14-000010105631 | ILOCOS_SUR | TAGUDIN | SA | NAP NO POWER | TGI001 LP59 NP5-6</v>
      </c>
      <c r="I26" s="67" t="str">
        <f>IFERROR(__xludf.DUMMYFUNCTION("""COMPUTED_VALUE"""),"TGI001 LP59 NP5-6")</f>
        <v>TGI001 LP59 NP5-6</v>
      </c>
      <c r="J26" s="67"/>
      <c r="K26" s="67" t="str">
        <f>IFERROR(__xludf.DUMMYFUNCTION("""COMPUTED_VALUE"""),"SA")</f>
        <v>SA</v>
      </c>
      <c r="L26" s="67" t="str">
        <f>IFERROR(__xludf.DUMMYFUNCTION("""COMPUTED_VALUE"""),"NAP NO POWER")</f>
        <v>NAP NO POWER</v>
      </c>
      <c r="M26" s="67" t="str">
        <f>IFERROR(__xludf.DUMMYFUNCTION("""COMPUTED_VALUE"""),"NLZ FIBER TEAM")</f>
        <v>NLZ FIBER TEAM</v>
      </c>
      <c r="N26" s="69">
        <f>IFERROR(__xludf.DUMMYFUNCTION("""COMPUTED_VALUE"""),46248.415191354165)</f>
        <v>46248.41519</v>
      </c>
      <c r="O26" s="69">
        <f>IFERROR(__xludf.DUMMYFUNCTION("""COMPUTED_VALUE"""),46248.415191354165)</f>
        <v>46248.41519</v>
      </c>
      <c r="P26" s="67"/>
      <c r="Q26" s="67"/>
      <c r="R26" s="67"/>
      <c r="S26" s="67"/>
      <c r="T26" s="67"/>
      <c r="U26" s="67"/>
      <c r="V26" s="67"/>
      <c r="W26" s="70">
        <f>IFERROR(__xludf.DUMMYFUNCTION("""COMPUTED_VALUE"""),46249.064227870374)</f>
        <v>46249.06423</v>
      </c>
      <c r="X26" s="71">
        <f>IFERROR(__xludf.DUMMYFUNCTION("""COMPUTED_VALUE"""),0.649036516203445)</f>
        <v>0.6490365162</v>
      </c>
      <c r="Y26" s="72"/>
    </row>
    <row r="27">
      <c r="A27" s="67" t="str">
        <f>IFERROR(__xludf.DUMMYFUNCTION("""COMPUTED_VALUE"""),"NAP")</f>
        <v>NAP</v>
      </c>
      <c r="B27" s="67" t="str">
        <f>IFERROR(__xludf.DUMMYFUNCTION("""COMPUTED_VALUE"""),"August, 2026")</f>
        <v>August, 2026</v>
      </c>
      <c r="C27" s="68">
        <f>IFERROR(__xludf.DUMMYFUNCTION("""COMPUTED_VALUE"""),46246.0)</f>
        <v>46246</v>
      </c>
      <c r="D27" s="67" t="str">
        <f>IFERROR(__xludf.DUMMYFUNCTION("""COMPUTED_VALUE"""),"ISABELA")</f>
        <v>ISABELA</v>
      </c>
      <c r="E27" s="67" t="str">
        <f>IFERROR(__xludf.DUMMYFUNCTION("""COMPUTED_VALUE"""),"CAUAYAN")</f>
        <v>CAUAYAN</v>
      </c>
      <c r="F27" s="67" t="str">
        <f>IFERROR(__xludf.DUMMYFUNCTION("""COMPUTED_VALUE"""),"FOC-2026-08-12-000010105571")</f>
        <v>FOC-2026-08-12-000010105571</v>
      </c>
      <c r="G27" s="67"/>
      <c r="H27" s="67" t="str">
        <f>IFERROR(__xludf.DUMMYFUNCTION("""COMPUTED_VALUE"""),"FOC-2026-08-12-000010105571 | ISABELA | CAUAYAN | SA | NAP NO POWER | CNI001 LP174 NP3-4")</f>
        <v>FOC-2026-08-12-000010105571 | ISABELA | CAUAYAN | SA | NAP NO POWER | CNI001 LP174 NP3-4</v>
      </c>
      <c r="I27" s="67" t="str">
        <f>IFERROR(__xludf.DUMMYFUNCTION("""COMPUTED_VALUE"""),"CNI001 LP174 NP3-4")</f>
        <v>CNI001 LP174 NP3-4</v>
      </c>
      <c r="J27" s="67"/>
      <c r="K27" s="67" t="str">
        <f>IFERROR(__xludf.DUMMYFUNCTION("""COMPUTED_VALUE"""),"SA")</f>
        <v>SA</v>
      </c>
      <c r="L27" s="67" t="str">
        <f>IFERROR(__xludf.DUMMYFUNCTION("""COMPUTED_VALUE"""),"NAP NO POWER")</f>
        <v>NAP NO POWER</v>
      </c>
      <c r="M27" s="67" t="str">
        <f>IFERROR(__xludf.DUMMYFUNCTION("""COMPUTED_VALUE"""),"NLZ FIBER TEAM")</f>
        <v>NLZ FIBER TEAM</v>
      </c>
      <c r="N27" s="69">
        <f>IFERROR(__xludf.DUMMYFUNCTION("""COMPUTED_VALUE"""),46246.579039351855)</f>
        <v>46246.57904</v>
      </c>
      <c r="O27" s="69">
        <f>IFERROR(__xludf.DUMMYFUNCTION("""COMPUTED_VALUE"""),46246.579039351855)</f>
        <v>46246.57904</v>
      </c>
      <c r="P27" s="67"/>
      <c r="Q27" s="67"/>
      <c r="R27" s="67"/>
      <c r="S27" s="67"/>
      <c r="T27" s="67"/>
      <c r="U27" s="67"/>
      <c r="V27" s="67"/>
      <c r="W27" s="70">
        <f>IFERROR(__xludf.DUMMYFUNCTION("""COMPUTED_VALUE"""),46249.064227870374)</f>
        <v>46249.06423</v>
      </c>
      <c r="X27" s="71">
        <f>IFERROR(__xludf.DUMMYFUNCTION("""COMPUTED_VALUE"""),2.485188518518734)</f>
        <v>2.485188519</v>
      </c>
      <c r="Y27" s="72"/>
    </row>
    <row r="28">
      <c r="A28" s="67" t="str">
        <f>IFERROR(__xludf.DUMMYFUNCTION("""COMPUTED_VALUE"""),"NAP")</f>
        <v>NAP</v>
      </c>
      <c r="B28" s="67" t="str">
        <f>IFERROR(__xludf.DUMMYFUNCTION("""COMPUTED_VALUE"""),"August, 2026")</f>
        <v>August, 2026</v>
      </c>
      <c r="C28" s="68">
        <f>IFERROR(__xludf.DUMMYFUNCTION("""COMPUTED_VALUE"""),46246.0)</f>
        <v>46246</v>
      </c>
      <c r="D28" s="67" t="str">
        <f>IFERROR(__xludf.DUMMYFUNCTION("""COMPUTED_VALUE"""),"ISABELA")</f>
        <v>ISABELA</v>
      </c>
      <c r="E28" s="67" t="str">
        <f>IFERROR(__xludf.DUMMYFUNCTION("""COMPUTED_VALUE"""),"SAN AGUSTIN")</f>
        <v>SAN AGUSTIN</v>
      </c>
      <c r="F28" s="67" t="str">
        <f>IFERROR(__xludf.DUMMYFUNCTION("""COMPUTED_VALUE"""),"FOC-2026-08-12-000010105570")</f>
        <v>FOC-2026-08-12-000010105570</v>
      </c>
      <c r="G28" s="67"/>
      <c r="H28" s="67" t="str">
        <f>IFERROR(__xludf.DUMMYFUNCTION("""COMPUTED_VALUE"""),"FOC-2026-08-12-000010105570 | ISABELA | SAN AGUSTIN | SA | NAP NO POWER | GTI001 LP23 NP1")</f>
        <v>FOC-2026-08-12-000010105570 | ISABELA | SAN AGUSTIN | SA | NAP NO POWER | GTI001 LP23 NP1</v>
      </c>
      <c r="I28" s="67" t="str">
        <f>IFERROR(__xludf.DUMMYFUNCTION("""COMPUTED_VALUE"""),"GTI001 LP23 NP1")</f>
        <v>GTI001 LP23 NP1</v>
      </c>
      <c r="J28" s="67"/>
      <c r="K28" s="67" t="str">
        <f>IFERROR(__xludf.DUMMYFUNCTION("""COMPUTED_VALUE"""),"SA")</f>
        <v>SA</v>
      </c>
      <c r="L28" s="67" t="str">
        <f>IFERROR(__xludf.DUMMYFUNCTION("""COMPUTED_VALUE"""),"NAP NO POWER")</f>
        <v>NAP NO POWER</v>
      </c>
      <c r="M28" s="67" t="str">
        <f>IFERROR(__xludf.DUMMYFUNCTION("""COMPUTED_VALUE"""),"NLZ FIBER TEAM")</f>
        <v>NLZ FIBER TEAM</v>
      </c>
      <c r="N28" s="69">
        <f>IFERROR(__xludf.DUMMYFUNCTION("""COMPUTED_VALUE"""),46246.579039351855)</f>
        <v>46246.57904</v>
      </c>
      <c r="O28" s="69">
        <f>IFERROR(__xludf.DUMMYFUNCTION("""COMPUTED_VALUE"""),46246.579039351855)</f>
        <v>46246.57904</v>
      </c>
      <c r="P28" s="67"/>
      <c r="Q28" s="67"/>
      <c r="R28" s="67"/>
      <c r="S28" s="67"/>
      <c r="T28" s="67"/>
      <c r="U28" s="67"/>
      <c r="V28" s="67"/>
      <c r="W28" s="70">
        <f>IFERROR(__xludf.DUMMYFUNCTION("""COMPUTED_VALUE"""),46249.064227870374)</f>
        <v>46249.06423</v>
      </c>
      <c r="X28" s="71">
        <f>IFERROR(__xludf.DUMMYFUNCTION("""COMPUTED_VALUE"""),2.485188518518734)</f>
        <v>2.485188519</v>
      </c>
      <c r="Y28" s="72"/>
    </row>
    <row r="29">
      <c r="A29" s="67" t="str">
        <f>IFERROR(__xludf.DUMMYFUNCTION("""COMPUTED_VALUE"""),"NAP")</f>
        <v>NAP</v>
      </c>
      <c r="B29" s="67" t="str">
        <f>IFERROR(__xludf.DUMMYFUNCTION("""COMPUTED_VALUE"""),"August, 2026")</f>
        <v>August, 2026</v>
      </c>
      <c r="C29" s="68">
        <f>IFERROR(__xludf.DUMMYFUNCTION("""COMPUTED_VALUE"""),46247.0)</f>
        <v>46247</v>
      </c>
      <c r="D29" s="67" t="str">
        <f>IFERROR(__xludf.DUMMYFUNCTION("""COMPUTED_VALUE"""),"ISABELA")</f>
        <v>ISABELA</v>
      </c>
      <c r="E29" s="67" t="str">
        <f>IFERROR(__xludf.DUMMYFUNCTION("""COMPUTED_VALUE"""),"SAN MARIANO")</f>
        <v>SAN MARIANO</v>
      </c>
      <c r="F29" s="67" t="str">
        <f>IFERROR(__xludf.DUMMYFUNCTION("""COMPUTED_VALUE"""),"FOC-2026-08-13-000010105600")</f>
        <v>FOC-2026-08-13-000010105600</v>
      </c>
      <c r="G29" s="67"/>
      <c r="H29" s="67" t="str">
        <f>IFERROR(__xludf.DUMMYFUNCTION("""COMPUTED_VALUE"""),"FOC-2026-08-13-000010105600 | ISABELA | SAN MARIANO | SA | NAP NO POWER | SOI001 LP13 NP4")</f>
        <v>FOC-2026-08-13-000010105600 | ISABELA | SAN MARIANO | SA | NAP NO POWER | SOI001 LP13 NP4</v>
      </c>
      <c r="I29" s="67" t="str">
        <f>IFERROR(__xludf.DUMMYFUNCTION("""COMPUTED_VALUE"""),"SOI001 LP13 NP4")</f>
        <v>SOI001 LP13 NP4</v>
      </c>
      <c r="J29" s="67"/>
      <c r="K29" s="67" t="str">
        <f>IFERROR(__xludf.DUMMYFUNCTION("""COMPUTED_VALUE"""),"SA")</f>
        <v>SA</v>
      </c>
      <c r="L29" s="67" t="str">
        <f>IFERROR(__xludf.DUMMYFUNCTION("""COMPUTED_VALUE"""),"NAP NO POWER")</f>
        <v>NAP NO POWER</v>
      </c>
      <c r="M29" s="67" t="str">
        <f>IFERROR(__xludf.DUMMYFUNCTION("""COMPUTED_VALUE"""),"NLZ FIBER TEAM")</f>
        <v>NLZ FIBER TEAM</v>
      </c>
      <c r="N29" s="69">
        <f>IFERROR(__xludf.DUMMYFUNCTION("""COMPUTED_VALUE"""),46247.53511859954)</f>
        <v>46247.53512</v>
      </c>
      <c r="O29" s="69">
        <f>IFERROR(__xludf.DUMMYFUNCTION("""COMPUTED_VALUE"""),46247.53511859954)</f>
        <v>46247.53512</v>
      </c>
      <c r="P29" s="67"/>
      <c r="Q29" s="67"/>
      <c r="R29" s="67"/>
      <c r="S29" s="67"/>
      <c r="T29" s="67"/>
      <c r="U29" s="67"/>
      <c r="V29" s="67"/>
      <c r="W29" s="70">
        <f>IFERROR(__xludf.DUMMYFUNCTION("""COMPUTED_VALUE"""),46249.064227870374)</f>
        <v>46249.06423</v>
      </c>
      <c r="X29" s="71">
        <f>IFERROR(__xludf.DUMMYFUNCTION("""COMPUTED_VALUE"""),1.5291092708348424)</f>
        <v>1.529109271</v>
      </c>
      <c r="Y29" s="72"/>
    </row>
    <row r="30">
      <c r="A30" s="67" t="str">
        <f>IFERROR(__xludf.DUMMYFUNCTION("""COMPUTED_VALUE"""),"NAP")</f>
        <v>NAP</v>
      </c>
      <c r="B30" s="67" t="str">
        <f>IFERROR(__xludf.DUMMYFUNCTION("""COMPUTED_VALUE"""),"August, 2026")</f>
        <v>August, 2026</v>
      </c>
      <c r="C30" s="68">
        <f>IFERROR(__xludf.DUMMYFUNCTION("""COMPUTED_VALUE"""),46246.0)</f>
        <v>46246</v>
      </c>
      <c r="D30" s="67" t="str">
        <f>IFERROR(__xludf.DUMMYFUNCTION("""COMPUTED_VALUE"""),"ISABELA")</f>
        <v>ISABELA</v>
      </c>
      <c r="E30" s="67" t="str">
        <f>IFERROR(__xludf.DUMMYFUNCTION("""COMPUTED_VALUE"""),"SANTIAGO")</f>
        <v>SANTIAGO</v>
      </c>
      <c r="F30" s="67" t="str">
        <f>IFERROR(__xludf.DUMMYFUNCTION("""COMPUTED_VALUE"""),"FOC-2026-08-12-000010105572")</f>
        <v>FOC-2026-08-12-000010105572</v>
      </c>
      <c r="G30" s="67"/>
      <c r="H30" s="67" t="str">
        <f>IFERROR(__xludf.DUMMYFUNCTION("""COMPUTED_VALUE"""),"FOC-2026-08-12-000010105572 | ISABELA | SANTIAGO | SA | NAP NO POWER | TOI001 LP42 NP5-6")</f>
        <v>FOC-2026-08-12-000010105572 | ISABELA | SANTIAGO | SA | NAP NO POWER | TOI001 LP42 NP5-6</v>
      </c>
      <c r="I30" s="67" t="str">
        <f>IFERROR(__xludf.DUMMYFUNCTION("""COMPUTED_VALUE"""),"TOI001 LP42 NP5-6")</f>
        <v>TOI001 LP42 NP5-6</v>
      </c>
      <c r="J30" s="67"/>
      <c r="K30" s="67" t="str">
        <f>IFERROR(__xludf.DUMMYFUNCTION("""COMPUTED_VALUE"""),"SA")</f>
        <v>SA</v>
      </c>
      <c r="L30" s="67" t="str">
        <f>IFERROR(__xludf.DUMMYFUNCTION("""COMPUTED_VALUE"""),"NAP NO POWER")</f>
        <v>NAP NO POWER</v>
      </c>
      <c r="M30" s="67" t="str">
        <f>IFERROR(__xludf.DUMMYFUNCTION("""COMPUTED_VALUE"""),"NLZ FIBER TEAM")</f>
        <v>NLZ FIBER TEAM</v>
      </c>
      <c r="N30" s="69">
        <f>IFERROR(__xludf.DUMMYFUNCTION("""COMPUTED_VALUE"""),46246.58528935185)</f>
        <v>46246.58529</v>
      </c>
      <c r="O30" s="69">
        <f>IFERROR(__xludf.DUMMYFUNCTION("""COMPUTED_VALUE"""),46246.58528935185)</f>
        <v>46246.58529</v>
      </c>
      <c r="P30" s="67"/>
      <c r="Q30" s="67"/>
      <c r="R30" s="67"/>
      <c r="S30" s="67"/>
      <c r="T30" s="67"/>
      <c r="U30" s="67"/>
      <c r="V30" s="67"/>
      <c r="W30" s="70">
        <f>IFERROR(__xludf.DUMMYFUNCTION("""COMPUTED_VALUE"""),46249.064227870374)</f>
        <v>46249.06423</v>
      </c>
      <c r="X30" s="71">
        <f>IFERROR(__xludf.DUMMYFUNCTION("""COMPUTED_VALUE"""),2.4789385185201893)</f>
        <v>2.478938519</v>
      </c>
      <c r="Y30" s="72"/>
    </row>
    <row r="31">
      <c r="A31" s="67" t="str">
        <f>IFERROR(__xludf.DUMMYFUNCTION("""COMPUTED_VALUE"""),"NAP")</f>
        <v>NAP</v>
      </c>
      <c r="B31" s="67" t="str">
        <f>IFERROR(__xludf.DUMMYFUNCTION("""COMPUTED_VALUE"""),"August, 2026")</f>
        <v>August, 2026</v>
      </c>
      <c r="C31" s="68">
        <f>IFERROR(__xludf.DUMMYFUNCTION("""COMPUTED_VALUE"""),46247.0)</f>
        <v>46247</v>
      </c>
      <c r="D31" s="67" t="str">
        <f>IFERROR(__xludf.DUMMYFUNCTION("""COMPUTED_VALUE"""),"LA_UNION")</f>
        <v>LA_UNION</v>
      </c>
      <c r="E31" s="67" t="str">
        <f>IFERROR(__xludf.DUMMYFUNCTION("""COMPUTED_VALUE"""),"AGOO")</f>
        <v>AGOO</v>
      </c>
      <c r="F31" s="67" t="str">
        <f>IFERROR(__xludf.DUMMYFUNCTION("""COMPUTED_VALUE"""),"FOC-2026-08-13-000010105609")</f>
        <v>FOC-2026-08-13-000010105609</v>
      </c>
      <c r="G31" s="67"/>
      <c r="H31" s="67" t="str">
        <f>IFERROR(__xludf.DUMMYFUNCTION("""COMPUTED_VALUE"""),"FOC-2026-08-13-000010105609 | LA_UNION | AGOO | SA | LOW POWER | AGU001 LP117 NP2")</f>
        <v>FOC-2026-08-13-000010105609 | LA_UNION | AGOO | SA | LOW POWER | AGU001 LP117 NP2</v>
      </c>
      <c r="I31" s="67" t="str">
        <f>IFERROR(__xludf.DUMMYFUNCTION("""COMPUTED_VALUE"""),"AGU001 LP117 NP2")</f>
        <v>AGU001 LP117 NP2</v>
      </c>
      <c r="J31" s="67"/>
      <c r="K31" s="67" t="str">
        <f>IFERROR(__xludf.DUMMYFUNCTION("""COMPUTED_VALUE"""),"SA")</f>
        <v>SA</v>
      </c>
      <c r="L31" s="67" t="str">
        <f>IFERROR(__xludf.DUMMYFUNCTION("""COMPUTED_VALUE"""),"LOW POWER")</f>
        <v>LOW POWER</v>
      </c>
      <c r="M31" s="67" t="str">
        <f>IFERROR(__xludf.DUMMYFUNCTION("""COMPUTED_VALUE"""),"GNOC")</f>
        <v>GNOC</v>
      </c>
      <c r="N31" s="69">
        <f>IFERROR(__xludf.DUMMYFUNCTION("""COMPUTED_VALUE"""),46247.58226292824)</f>
        <v>46247.58226</v>
      </c>
      <c r="O31" s="69">
        <f>IFERROR(__xludf.DUMMYFUNCTION("""COMPUTED_VALUE"""),46247.58226292824)</f>
        <v>46247.58226</v>
      </c>
      <c r="P31" s="67"/>
      <c r="Q31" s="67"/>
      <c r="R31" s="67"/>
      <c r="S31" s="67"/>
      <c r="T31" s="67"/>
      <c r="U31" s="67"/>
      <c r="V31" s="67"/>
      <c r="W31" s="70">
        <f>IFERROR(__xludf.DUMMYFUNCTION("""COMPUTED_VALUE"""),46249.064227870374)</f>
        <v>46249.06423</v>
      </c>
      <c r="X31" s="71">
        <f>IFERROR(__xludf.DUMMYFUNCTION("""COMPUTED_VALUE"""),1.4819649421280505)</f>
        <v>1.481964942</v>
      </c>
      <c r="Y31" s="72"/>
    </row>
    <row r="32">
      <c r="A32" s="67" t="str">
        <f>IFERROR(__xludf.DUMMYFUNCTION("""COMPUTED_VALUE"""),"NAP")</f>
        <v>NAP</v>
      </c>
      <c r="B32" s="67" t="str">
        <f>IFERROR(__xludf.DUMMYFUNCTION("""COMPUTED_VALUE"""),"August, 2026")</f>
        <v>August, 2026</v>
      </c>
      <c r="C32" s="68">
        <f>IFERROR(__xludf.DUMMYFUNCTION("""COMPUTED_VALUE"""),46247.0)</f>
        <v>46247</v>
      </c>
      <c r="D32" s="67" t="str">
        <f>IFERROR(__xludf.DUMMYFUNCTION("""COMPUTED_VALUE"""),"LA_UNION")</f>
        <v>LA_UNION</v>
      </c>
      <c r="E32" s="67" t="str">
        <f>IFERROR(__xludf.DUMMYFUNCTION("""COMPUTED_VALUE"""),"BALAOAN")</f>
        <v>BALAOAN</v>
      </c>
      <c r="F32" s="67" t="str">
        <f>IFERROR(__xludf.DUMMYFUNCTION("""COMPUTED_VALUE"""),"FOC-2026-08-13-000010105613")</f>
        <v>FOC-2026-08-13-000010105613</v>
      </c>
      <c r="G32" s="67"/>
      <c r="H32" s="67" t="str">
        <f>IFERROR(__xludf.DUMMYFUNCTION("""COMPUTED_VALUE"""),"FOC-2026-08-13-000010105613 | LA_UNION | BALAOAN | SA | NAP NO POWER | BLU001 LP33 NP6")</f>
        <v>FOC-2026-08-13-000010105613 | LA_UNION | BALAOAN | SA | NAP NO POWER | BLU001 LP33 NP6</v>
      </c>
      <c r="I32" s="67" t="str">
        <f>IFERROR(__xludf.DUMMYFUNCTION("""COMPUTED_VALUE"""),"BLU001 LP33 NP6")</f>
        <v>BLU001 LP33 NP6</v>
      </c>
      <c r="J32" s="67"/>
      <c r="K32" s="67" t="str">
        <f>IFERROR(__xludf.DUMMYFUNCTION("""COMPUTED_VALUE"""),"SA")</f>
        <v>SA</v>
      </c>
      <c r="L32" s="67" t="str">
        <f>IFERROR(__xludf.DUMMYFUNCTION("""COMPUTED_VALUE"""),"NAP NO POWER")</f>
        <v>NAP NO POWER</v>
      </c>
      <c r="M32" s="67" t="str">
        <f>IFERROR(__xludf.DUMMYFUNCTION("""COMPUTED_VALUE"""),"GNOC")</f>
        <v>GNOC</v>
      </c>
      <c r="N32" s="69">
        <f>IFERROR(__xludf.DUMMYFUNCTION("""COMPUTED_VALUE"""),46247.6125)</f>
        <v>46247.6125</v>
      </c>
      <c r="O32" s="69">
        <f>IFERROR(__xludf.DUMMYFUNCTION("""COMPUTED_VALUE"""),46247.6125)</f>
        <v>46247.6125</v>
      </c>
      <c r="P32" s="67"/>
      <c r="Q32" s="67"/>
      <c r="R32" s="67"/>
      <c r="S32" s="67"/>
      <c r="T32" s="67"/>
      <c r="U32" s="67"/>
      <c r="V32" s="67"/>
      <c r="W32" s="70">
        <f>IFERROR(__xludf.DUMMYFUNCTION("""COMPUTED_VALUE"""),46249.064227870374)</f>
        <v>46249.06423</v>
      </c>
      <c r="X32" s="71">
        <f>IFERROR(__xludf.DUMMYFUNCTION("""COMPUTED_VALUE"""),1.4517278703704135)</f>
        <v>1.45172787</v>
      </c>
      <c r="Y32" s="72"/>
    </row>
    <row r="33">
      <c r="A33" s="67" t="str">
        <f>IFERROR(__xludf.DUMMYFUNCTION("""COMPUTED_VALUE"""),"NAP")</f>
        <v>NAP</v>
      </c>
      <c r="B33" s="67" t="str">
        <f>IFERROR(__xludf.DUMMYFUNCTION("""COMPUTED_VALUE"""),"August, 2026")</f>
        <v>August, 2026</v>
      </c>
      <c r="C33" s="68">
        <f>IFERROR(__xludf.DUMMYFUNCTION("""COMPUTED_VALUE"""),46240.0)</f>
        <v>46240</v>
      </c>
      <c r="D33" s="67" t="str">
        <f>IFERROR(__xludf.DUMMYFUNCTION("""COMPUTED_VALUE"""),"LA_UNION")</f>
        <v>LA_UNION</v>
      </c>
      <c r="E33" s="67" t="str">
        <f>IFERROR(__xludf.DUMMYFUNCTION("""COMPUTED_VALUE"""),"BAUANG")</f>
        <v>BAUANG</v>
      </c>
      <c r="F33" s="67" t="str">
        <f>IFERROR(__xludf.DUMMYFUNCTION("""COMPUTED_VALUE"""),"FOC-2026-08-06-000010105387")</f>
        <v>FOC-2026-08-06-000010105387</v>
      </c>
      <c r="G33" s="67"/>
      <c r="H33" s="67" t="str">
        <f>IFERROR(__xludf.DUMMYFUNCTION("""COMPUTED_VALUE"""),"FOC-2026-08-06-000010105387 | LA_UNION | BAUANG | SA | POLE RELOCATION/RETIREMENT/ERECTION/LEANING | BUU001 LP50 NP1")</f>
        <v>FOC-2026-08-06-000010105387 | LA_UNION | BAUANG | SA | POLE RELOCATION/RETIREMENT/ERECTION/LEANING | BUU001 LP50 NP1</v>
      </c>
      <c r="I33" s="67" t="str">
        <f>IFERROR(__xludf.DUMMYFUNCTION("""COMPUTED_VALUE"""),"BUU001 LP50 NP1")</f>
        <v>BUU001 LP50 NP1</v>
      </c>
      <c r="J33" s="67"/>
      <c r="K33" s="67" t="str">
        <f>IFERROR(__xludf.DUMMYFUNCTION("""COMPUTED_VALUE"""),"SA")</f>
        <v>SA</v>
      </c>
      <c r="L33" s="67" t="str">
        <f>IFERROR(__xludf.DUMMYFUNCTION("""COMPUTED_VALUE"""),"POLE RELOCATION/RETIREMENT/ERECTION/LEANING")</f>
        <v>POLE RELOCATION/RETIREMENT/ERECTION/LEANING</v>
      </c>
      <c r="M33" s="67" t="str">
        <f>IFERROR(__xludf.DUMMYFUNCTION("""COMPUTED_VALUE"""),"NASS L.U")</f>
        <v>NASS L.U</v>
      </c>
      <c r="N33" s="69">
        <f>IFERROR(__xludf.DUMMYFUNCTION("""COMPUTED_VALUE"""),46240.42020833334)</f>
        <v>46240.42021</v>
      </c>
      <c r="O33" s="69">
        <f>IFERROR(__xludf.DUMMYFUNCTION("""COMPUTED_VALUE"""),46240.42020833334)</f>
        <v>46240.42021</v>
      </c>
      <c r="P33" s="67"/>
      <c r="Q33" s="67"/>
      <c r="R33" s="67"/>
      <c r="S33" s="67"/>
      <c r="T33" s="67"/>
      <c r="U33" s="67"/>
      <c r="V33" s="67"/>
      <c r="W33" s="70">
        <f>IFERROR(__xludf.DUMMYFUNCTION("""COMPUTED_VALUE"""),46249.064227870374)</f>
        <v>46249.06423</v>
      </c>
      <c r="X33" s="71">
        <f>IFERROR(__xludf.DUMMYFUNCTION("""COMPUTED_VALUE"""),8.644019537036693)</f>
        <v>8.644019537</v>
      </c>
      <c r="Y33" s="72"/>
    </row>
    <row r="34">
      <c r="A34" s="67" t="str">
        <f>IFERROR(__xludf.DUMMYFUNCTION("""COMPUTED_VALUE"""),"NAP")</f>
        <v>NAP</v>
      </c>
      <c r="B34" s="67" t="str">
        <f>IFERROR(__xludf.DUMMYFUNCTION("""COMPUTED_VALUE"""),"August, 2026")</f>
        <v>August, 2026</v>
      </c>
      <c r="C34" s="68">
        <f>IFERROR(__xludf.DUMMYFUNCTION("""COMPUTED_VALUE"""),46248.0)</f>
        <v>46248</v>
      </c>
      <c r="D34" s="67" t="str">
        <f>IFERROR(__xludf.DUMMYFUNCTION("""COMPUTED_VALUE"""),"LA_UNION")</f>
        <v>LA_UNION</v>
      </c>
      <c r="E34" s="67" t="str">
        <f>IFERROR(__xludf.DUMMYFUNCTION("""COMPUTED_VALUE"""),"ROSARIO")</f>
        <v>ROSARIO</v>
      </c>
      <c r="F34" s="67" t="str">
        <f>IFERROR(__xludf.DUMMYFUNCTION("""COMPUTED_VALUE"""),"FOC-2026-08-14-000010105633")</f>
        <v>FOC-2026-08-14-000010105633</v>
      </c>
      <c r="G34" s="67"/>
      <c r="H34" s="67" t="str">
        <f>IFERROR(__xludf.DUMMYFUNCTION("""COMPUTED_VALUE"""),"FOC-2026-08-14-000010105633 | LA_UNION | ROSARIO | SA | NAP NO POWER | RSU001 LP11 NP6-7")</f>
        <v>FOC-2026-08-14-000010105633 | LA_UNION | ROSARIO | SA | NAP NO POWER | RSU001 LP11 NP6-7</v>
      </c>
      <c r="I34" s="67" t="str">
        <f>IFERROR(__xludf.DUMMYFUNCTION("""COMPUTED_VALUE"""),"RSU001 LP11 NP6-7")</f>
        <v>RSU001 LP11 NP6-7</v>
      </c>
      <c r="J34" s="67"/>
      <c r="K34" s="67" t="str">
        <f>IFERROR(__xludf.DUMMYFUNCTION("""COMPUTED_VALUE"""),"SA")</f>
        <v>SA</v>
      </c>
      <c r="L34" s="67" t="str">
        <f>IFERROR(__xludf.DUMMYFUNCTION("""COMPUTED_VALUE"""),"NAP NO POWER")</f>
        <v>NAP NO POWER</v>
      </c>
      <c r="M34" s="67" t="str">
        <f>IFERROR(__xludf.DUMMYFUNCTION("""COMPUTED_VALUE"""),"NLZ FIBER TEAM")</f>
        <v>NLZ FIBER TEAM</v>
      </c>
      <c r="N34" s="69">
        <f>IFERROR(__xludf.DUMMYFUNCTION("""COMPUTED_VALUE"""),46248.415191354165)</f>
        <v>46248.41519</v>
      </c>
      <c r="O34" s="69">
        <f>IFERROR(__xludf.DUMMYFUNCTION("""COMPUTED_VALUE"""),46248.415191354165)</f>
        <v>46248.41519</v>
      </c>
      <c r="P34" s="67"/>
      <c r="Q34" s="67"/>
      <c r="R34" s="67"/>
      <c r="S34" s="67"/>
      <c r="T34" s="67"/>
      <c r="U34" s="67"/>
      <c r="V34" s="67"/>
      <c r="W34" s="70">
        <f>IFERROR(__xludf.DUMMYFUNCTION("""COMPUTED_VALUE"""),46249.064227870374)</f>
        <v>46249.06423</v>
      </c>
      <c r="X34" s="71">
        <f>IFERROR(__xludf.DUMMYFUNCTION("""COMPUTED_VALUE"""),0.649036516203445)</f>
        <v>0.6490365162</v>
      </c>
      <c r="Y34" s="72"/>
    </row>
    <row r="35">
      <c r="A35" s="67" t="str">
        <f>IFERROR(__xludf.DUMMYFUNCTION("""COMPUTED_VALUE"""),"NAP")</f>
        <v>NAP</v>
      </c>
      <c r="B35" s="67" t="str">
        <f>IFERROR(__xludf.DUMMYFUNCTION("""COMPUTED_VALUE"""),"August, 2026")</f>
        <v>August, 2026</v>
      </c>
      <c r="C35" s="68">
        <f>IFERROR(__xludf.DUMMYFUNCTION("""COMPUTED_VALUE"""),46248.0)</f>
        <v>46248</v>
      </c>
      <c r="D35" s="67" t="str">
        <f>IFERROR(__xludf.DUMMYFUNCTION("""COMPUTED_VALUE"""),"NUEVA_ECIJA")</f>
        <v>NUEVA_ECIJA</v>
      </c>
      <c r="E35" s="67" t="str">
        <f>IFERROR(__xludf.DUMMYFUNCTION("""COMPUTED_VALUE"""),"JAEN")</f>
        <v>JAEN</v>
      </c>
      <c r="F35" s="67" t="str">
        <f>IFERROR(__xludf.DUMMYFUNCTION("""COMPUTED_VALUE"""),"FOC-2026-08-14-000010105639")</f>
        <v>FOC-2026-08-14-000010105639</v>
      </c>
      <c r="G35" s="67"/>
      <c r="H35" s="67" t="str">
        <f>IFERROR(__xludf.DUMMYFUNCTION("""COMPUTED_VALUE"""),"FOC-2026-08-14-000010105639 | NUEVA_ECIJA | JAEN | SA | NAP NO POWER | JNN001 LP72 NP5-6")</f>
        <v>FOC-2026-08-14-000010105639 | NUEVA_ECIJA | JAEN | SA | NAP NO POWER | JNN001 LP72 NP5-6</v>
      </c>
      <c r="I35" s="67" t="str">
        <f>IFERROR(__xludf.DUMMYFUNCTION("""COMPUTED_VALUE"""),"JNN001 LP72 NP5-6")</f>
        <v>JNN001 LP72 NP5-6</v>
      </c>
      <c r="J35" s="67"/>
      <c r="K35" s="67" t="str">
        <f>IFERROR(__xludf.DUMMYFUNCTION("""COMPUTED_VALUE"""),"SA")</f>
        <v>SA</v>
      </c>
      <c r="L35" s="67" t="str">
        <f>IFERROR(__xludf.DUMMYFUNCTION("""COMPUTED_VALUE"""),"NAP NO POWER")</f>
        <v>NAP NO POWER</v>
      </c>
      <c r="M35" s="67" t="str">
        <f>IFERROR(__xludf.DUMMYFUNCTION("""COMPUTED_VALUE"""),"NLZ FIBER TEAM")</f>
        <v>NLZ FIBER TEAM</v>
      </c>
      <c r="N35" s="69">
        <f>IFERROR(__xludf.DUMMYFUNCTION("""COMPUTED_VALUE"""),46248.415191354165)</f>
        <v>46248.41519</v>
      </c>
      <c r="O35" s="69">
        <f>IFERROR(__xludf.DUMMYFUNCTION("""COMPUTED_VALUE"""),46248.415191354165)</f>
        <v>46248.41519</v>
      </c>
      <c r="P35" s="67"/>
      <c r="Q35" s="67"/>
      <c r="R35" s="67"/>
      <c r="S35" s="67"/>
      <c r="T35" s="67"/>
      <c r="U35" s="67"/>
      <c r="V35" s="67"/>
      <c r="W35" s="70">
        <f>IFERROR(__xludf.DUMMYFUNCTION("""COMPUTED_VALUE"""),46249.064227870374)</f>
        <v>46249.06423</v>
      </c>
      <c r="X35" s="71">
        <f>IFERROR(__xludf.DUMMYFUNCTION("""COMPUTED_VALUE"""),0.649036516203445)</f>
        <v>0.6490365162</v>
      </c>
      <c r="Y35" s="72"/>
    </row>
    <row r="36">
      <c r="A36" s="67" t="str">
        <f>IFERROR(__xludf.DUMMYFUNCTION("""COMPUTED_VALUE"""),"NAP")</f>
        <v>NAP</v>
      </c>
      <c r="B36" s="67" t="str">
        <f>IFERROR(__xludf.DUMMYFUNCTION("""COMPUTED_VALUE"""),"August, 2026")</f>
        <v>August, 2026</v>
      </c>
      <c r="C36" s="68">
        <f>IFERROR(__xludf.DUMMYFUNCTION("""COMPUTED_VALUE"""),46248.0)</f>
        <v>46248</v>
      </c>
      <c r="D36" s="67" t="str">
        <f>IFERROR(__xludf.DUMMYFUNCTION("""COMPUTED_VALUE"""),"NUEVA_ECIJA")</f>
        <v>NUEVA_ECIJA</v>
      </c>
      <c r="E36" s="67" t="str">
        <f>IFERROR(__xludf.DUMMYFUNCTION("""COMPUTED_VALUE"""),"LUPAO")</f>
        <v>LUPAO</v>
      </c>
      <c r="F36" s="67" t="str">
        <f>IFERROR(__xludf.DUMMYFUNCTION("""COMPUTED_VALUE"""),"FOC-2026-08-14-000010105658")</f>
        <v>FOC-2026-08-14-000010105658</v>
      </c>
      <c r="G36" s="67"/>
      <c r="H36" s="67" t="str">
        <f>IFERROR(__xludf.DUMMYFUNCTION("""COMPUTED_VALUE"""),"FOC-2026-08-14-000010105658 | NUEVA_ECIJA | LUPAO | SA | NAP NO POWER | LPN001 LP26 NP2-3")</f>
        <v>FOC-2026-08-14-000010105658 | NUEVA_ECIJA | LUPAO | SA | NAP NO POWER | LPN001 LP26 NP2-3</v>
      </c>
      <c r="I36" s="67" t="str">
        <f>IFERROR(__xludf.DUMMYFUNCTION("""COMPUTED_VALUE"""),"LPN001 LP26 NP2-3")</f>
        <v>LPN001 LP26 NP2-3</v>
      </c>
      <c r="J36" s="67"/>
      <c r="K36" s="67" t="str">
        <f>IFERROR(__xludf.DUMMYFUNCTION("""COMPUTED_VALUE"""),"SA")</f>
        <v>SA</v>
      </c>
      <c r="L36" s="67" t="str">
        <f>IFERROR(__xludf.DUMMYFUNCTION("""COMPUTED_VALUE"""),"NAP NO POWER")</f>
        <v>NAP NO POWER</v>
      </c>
      <c r="M36" s="67" t="str">
        <f>IFERROR(__xludf.DUMMYFUNCTION("""COMPUTED_VALUE"""),"N.E NDSI")</f>
        <v>N.E NDSI</v>
      </c>
      <c r="N36" s="69">
        <f>IFERROR(__xludf.DUMMYFUNCTION("""COMPUTED_VALUE"""),46248.63461822917)</f>
        <v>46248.63462</v>
      </c>
      <c r="O36" s="69">
        <f>IFERROR(__xludf.DUMMYFUNCTION("""COMPUTED_VALUE"""),46248.63462193287)</f>
        <v>46248.63462</v>
      </c>
      <c r="P36" s="67"/>
      <c r="Q36" s="67"/>
      <c r="R36" s="67"/>
      <c r="S36" s="67"/>
      <c r="T36" s="67"/>
      <c r="U36" s="67"/>
      <c r="V36" s="67"/>
      <c r="W36" s="70">
        <f>IFERROR(__xludf.DUMMYFUNCTION("""COMPUTED_VALUE"""),46249.064227870374)</f>
        <v>46249.06423</v>
      </c>
      <c r="X36" s="71">
        <f>IFERROR(__xludf.DUMMYFUNCTION("""COMPUTED_VALUE"""),0.4296059375001832)</f>
        <v>0.4296059375</v>
      </c>
      <c r="Y36" s="72"/>
    </row>
    <row r="37">
      <c r="A37" s="67" t="str">
        <f>IFERROR(__xludf.DUMMYFUNCTION("""COMPUTED_VALUE"""),"NAP")</f>
        <v>NAP</v>
      </c>
      <c r="B37" s="67" t="str">
        <f>IFERROR(__xludf.DUMMYFUNCTION("""COMPUTED_VALUE"""),"August, 2026")</f>
        <v>August, 2026</v>
      </c>
      <c r="C37" s="68">
        <f>IFERROR(__xludf.DUMMYFUNCTION("""COMPUTED_VALUE"""),46248.0)</f>
        <v>46248</v>
      </c>
      <c r="D37" s="67" t="str">
        <f>IFERROR(__xludf.DUMMYFUNCTION("""COMPUTED_VALUE"""),"NUEVA_ECIJA")</f>
        <v>NUEVA_ECIJA</v>
      </c>
      <c r="E37" s="67" t="str">
        <f>IFERROR(__xludf.DUMMYFUNCTION("""COMPUTED_VALUE"""),"LUPAO")</f>
        <v>LUPAO</v>
      </c>
      <c r="F37" s="67" t="str">
        <f>IFERROR(__xludf.DUMMYFUNCTION("""COMPUTED_VALUE"""),"FOC-2026-08-14-000010105655")</f>
        <v>FOC-2026-08-14-000010105655</v>
      </c>
      <c r="G37" s="67"/>
      <c r="H37" s="67" t="str">
        <f>IFERROR(__xludf.DUMMYFUNCTION("""COMPUTED_VALUE"""),"FOC-2026-08-14-000010105655 | NUEVA_ECIJA | LUPAO | SA | NAP NO POWER | LPN001 LP44 NP7")</f>
        <v>FOC-2026-08-14-000010105655 | NUEVA_ECIJA | LUPAO | SA | NAP NO POWER | LPN001 LP44 NP7</v>
      </c>
      <c r="I37" s="67" t="str">
        <f>IFERROR(__xludf.DUMMYFUNCTION("""COMPUTED_VALUE"""),"LPN001 LP44 NP7")</f>
        <v>LPN001 LP44 NP7</v>
      </c>
      <c r="J37" s="67"/>
      <c r="K37" s="67" t="str">
        <f>IFERROR(__xludf.DUMMYFUNCTION("""COMPUTED_VALUE"""),"SA")</f>
        <v>SA</v>
      </c>
      <c r="L37" s="67" t="str">
        <f>IFERROR(__xludf.DUMMYFUNCTION("""COMPUTED_VALUE"""),"NAP NO POWER")</f>
        <v>NAP NO POWER</v>
      </c>
      <c r="M37" s="67" t="str">
        <f>IFERROR(__xludf.DUMMYFUNCTION("""COMPUTED_VALUE"""),"N.E NDSI")</f>
        <v>N.E NDSI</v>
      </c>
      <c r="N37" s="69">
        <f>IFERROR(__xludf.DUMMYFUNCTION("""COMPUTED_VALUE"""),46248.6040209375)</f>
        <v>46248.60402</v>
      </c>
      <c r="O37" s="69">
        <f>IFERROR(__xludf.DUMMYFUNCTION("""COMPUTED_VALUE"""),46248.6040246412)</f>
        <v>46248.60402</v>
      </c>
      <c r="P37" s="67"/>
      <c r="Q37" s="67"/>
      <c r="R37" s="67"/>
      <c r="S37" s="67"/>
      <c r="T37" s="67"/>
      <c r="U37" s="67"/>
      <c r="V37" s="67"/>
      <c r="W37" s="70">
        <f>IFERROR(__xludf.DUMMYFUNCTION("""COMPUTED_VALUE"""),46249.064227870374)</f>
        <v>46249.06423</v>
      </c>
      <c r="X37" s="71">
        <f>IFERROR(__xludf.DUMMYFUNCTION("""COMPUTED_VALUE"""),0.4602032291681326)</f>
        <v>0.4602032292</v>
      </c>
      <c r="Y37" s="72"/>
    </row>
    <row r="38">
      <c r="A38" s="67" t="str">
        <f>IFERROR(__xludf.DUMMYFUNCTION("""COMPUTED_VALUE"""),"NAP")</f>
        <v>NAP</v>
      </c>
      <c r="B38" s="67" t="str">
        <f>IFERROR(__xludf.DUMMYFUNCTION("""COMPUTED_VALUE"""),"August, 2026")</f>
        <v>August, 2026</v>
      </c>
      <c r="C38" s="68">
        <f>IFERROR(__xludf.DUMMYFUNCTION("""COMPUTED_VALUE"""),46247.0)</f>
        <v>46247</v>
      </c>
      <c r="D38" s="67" t="str">
        <f>IFERROR(__xludf.DUMMYFUNCTION("""COMPUTED_VALUE"""),"NUEVA_ECIJA")</f>
        <v>NUEVA_ECIJA</v>
      </c>
      <c r="E38" s="67" t="str">
        <f>IFERROR(__xludf.DUMMYFUNCTION("""COMPUTED_VALUE"""),"PENARANDA")</f>
        <v>PENARANDA</v>
      </c>
      <c r="F38" s="67" t="str">
        <f>IFERROR(__xludf.DUMMYFUNCTION("""COMPUTED_VALUE"""),"FOC-2026-08-13-000010105617")</f>
        <v>FOC-2026-08-13-000010105617</v>
      </c>
      <c r="G38" s="67"/>
      <c r="H38" s="67" t="str">
        <f>IFERROR(__xludf.DUMMYFUNCTION("""COMPUTED_VALUE"""),"FOC-2026-08-13-000010105617 | NUEVA_ECIJA | PENARANDA | SA | NAP NO POWER | PRN001 LP104 NP7")</f>
        <v>FOC-2026-08-13-000010105617 | NUEVA_ECIJA | PENARANDA | SA | NAP NO POWER | PRN001 LP104 NP7</v>
      </c>
      <c r="I38" s="67" t="str">
        <f>IFERROR(__xludf.DUMMYFUNCTION("""COMPUTED_VALUE"""),"PRN001 LP104 NP7")</f>
        <v>PRN001 LP104 NP7</v>
      </c>
      <c r="J38" s="67"/>
      <c r="K38" s="67" t="str">
        <f>IFERROR(__xludf.DUMMYFUNCTION("""COMPUTED_VALUE"""),"SA")</f>
        <v>SA</v>
      </c>
      <c r="L38" s="67" t="str">
        <f>IFERROR(__xludf.DUMMYFUNCTION("""COMPUTED_VALUE"""),"NAP NO POWER")</f>
        <v>NAP NO POWER</v>
      </c>
      <c r="M38" s="67" t="str">
        <f>IFERROR(__xludf.DUMMYFUNCTION("""COMPUTED_VALUE"""),"GNOC")</f>
        <v>GNOC</v>
      </c>
      <c r="N38" s="69">
        <f>IFERROR(__xludf.DUMMYFUNCTION("""COMPUTED_VALUE"""),46247.4734375)</f>
        <v>46247.47344</v>
      </c>
      <c r="O38" s="69">
        <f>IFERROR(__xludf.DUMMYFUNCTION("""COMPUTED_VALUE"""),46247.4734375)</f>
        <v>46247.47344</v>
      </c>
      <c r="P38" s="67"/>
      <c r="Q38" s="67"/>
      <c r="R38" s="67"/>
      <c r="S38" s="67"/>
      <c r="T38" s="67"/>
      <c r="U38" s="67"/>
      <c r="V38" s="67"/>
      <c r="W38" s="70">
        <f>IFERROR(__xludf.DUMMYFUNCTION("""COMPUTED_VALUE"""),46249.064227870374)</f>
        <v>46249.06423</v>
      </c>
      <c r="X38" s="71">
        <f>IFERROR(__xludf.DUMMYFUNCTION("""COMPUTED_VALUE"""),1.5907903703689583)</f>
        <v>1.59079037</v>
      </c>
      <c r="Y38" s="72"/>
    </row>
    <row r="39">
      <c r="A39" s="67" t="str">
        <f>IFERROR(__xludf.DUMMYFUNCTION("""COMPUTED_VALUE"""),"NAP")</f>
        <v>NAP</v>
      </c>
      <c r="B39" s="67" t="str">
        <f>IFERROR(__xludf.DUMMYFUNCTION("""COMPUTED_VALUE"""),"August, 2026")</f>
        <v>August, 2026</v>
      </c>
      <c r="C39" s="68">
        <f>IFERROR(__xludf.DUMMYFUNCTION("""COMPUTED_VALUE"""),46248.0)</f>
        <v>46248</v>
      </c>
      <c r="D39" s="67" t="str">
        <f>IFERROR(__xludf.DUMMYFUNCTION("""COMPUTED_VALUE"""),"NUEVA_ECIJA")</f>
        <v>NUEVA_ECIJA</v>
      </c>
      <c r="E39" s="67" t="str">
        <f>IFERROR(__xludf.DUMMYFUNCTION("""COMPUTED_VALUE"""),"PENARANDA")</f>
        <v>PENARANDA</v>
      </c>
      <c r="F39" s="67" t="str">
        <f>IFERROR(__xludf.DUMMYFUNCTION("""COMPUTED_VALUE"""),"FOC-2026-08-14-000010105642")</f>
        <v>FOC-2026-08-14-000010105642</v>
      </c>
      <c r="G39" s="67"/>
      <c r="H39" s="67" t="str">
        <f>IFERROR(__xludf.DUMMYFUNCTION("""COMPUTED_VALUE"""),"FOC-2026-08-14-000010105642 | NUEVA_ECIJA | PENARANDA | SA | NAP NO POWER | PRN001 LP92 NP3-4")</f>
        <v>FOC-2026-08-14-000010105642 | NUEVA_ECIJA | PENARANDA | SA | NAP NO POWER | PRN001 LP92 NP3-4</v>
      </c>
      <c r="I39" s="67" t="str">
        <f>IFERROR(__xludf.DUMMYFUNCTION("""COMPUTED_VALUE"""),"PRN001 LP92 NP3-4")</f>
        <v>PRN001 LP92 NP3-4</v>
      </c>
      <c r="J39" s="67"/>
      <c r="K39" s="67" t="str">
        <f>IFERROR(__xludf.DUMMYFUNCTION("""COMPUTED_VALUE"""),"SA")</f>
        <v>SA</v>
      </c>
      <c r="L39" s="67" t="str">
        <f>IFERROR(__xludf.DUMMYFUNCTION("""COMPUTED_VALUE"""),"NAP NO POWER")</f>
        <v>NAP NO POWER</v>
      </c>
      <c r="M39" s="67" t="str">
        <f>IFERROR(__xludf.DUMMYFUNCTION("""COMPUTED_VALUE"""),"NLZ FIBER TEAM")</f>
        <v>NLZ FIBER TEAM</v>
      </c>
      <c r="N39" s="69">
        <f>IFERROR(__xludf.DUMMYFUNCTION("""COMPUTED_VALUE"""),46248.415191354165)</f>
        <v>46248.41519</v>
      </c>
      <c r="O39" s="69">
        <f>IFERROR(__xludf.DUMMYFUNCTION("""COMPUTED_VALUE"""),46248.415191354165)</f>
        <v>46248.41519</v>
      </c>
      <c r="P39" s="67"/>
      <c r="Q39" s="67"/>
      <c r="R39" s="67"/>
      <c r="S39" s="67"/>
      <c r="T39" s="67"/>
      <c r="U39" s="67"/>
      <c r="V39" s="67"/>
      <c r="W39" s="70">
        <f>IFERROR(__xludf.DUMMYFUNCTION("""COMPUTED_VALUE"""),46249.064227870374)</f>
        <v>46249.06423</v>
      </c>
      <c r="X39" s="71">
        <f>IFERROR(__xludf.DUMMYFUNCTION("""COMPUTED_VALUE"""),0.649036516203445)</f>
        <v>0.6490365162</v>
      </c>
      <c r="Y39" s="72"/>
    </row>
    <row r="40">
      <c r="A40" s="67" t="str">
        <f>IFERROR(__xludf.DUMMYFUNCTION("""COMPUTED_VALUE"""),"NAP")</f>
        <v>NAP</v>
      </c>
      <c r="B40" s="67" t="str">
        <f>IFERROR(__xludf.DUMMYFUNCTION("""COMPUTED_VALUE"""),"August, 2026")</f>
        <v>August, 2026</v>
      </c>
      <c r="C40" s="68">
        <f>IFERROR(__xludf.DUMMYFUNCTION("""COMPUTED_VALUE"""),46246.0)</f>
        <v>46246</v>
      </c>
      <c r="D40" s="67" t="str">
        <f>IFERROR(__xludf.DUMMYFUNCTION("""COMPUTED_VALUE"""),"NUEVA_ECIJA")</f>
        <v>NUEVA_ECIJA</v>
      </c>
      <c r="E40" s="67" t="str">
        <f>IFERROR(__xludf.DUMMYFUNCTION("""COMPUTED_VALUE"""),"SOLANO")</f>
        <v>SOLANO</v>
      </c>
      <c r="F40" s="67" t="str">
        <f>IFERROR(__xludf.DUMMYFUNCTION("""COMPUTED_VALUE"""),"FOC-2026-08-12-000010105574")</f>
        <v>FOC-2026-08-12-000010105574</v>
      </c>
      <c r="G40" s="67"/>
      <c r="H40" s="67" t="str">
        <f>IFERROR(__xludf.DUMMYFUNCTION("""COMPUTED_VALUE"""),"FOC-2026-08-12-000010105574 | NUEVA_ECIJA | SOLANO | SA | NAP NO POWER | SLV001 LP132 NP1-2")</f>
        <v>FOC-2026-08-12-000010105574 | NUEVA_ECIJA | SOLANO | SA | NAP NO POWER | SLV001 LP132 NP1-2</v>
      </c>
      <c r="I40" s="67" t="str">
        <f>IFERROR(__xludf.DUMMYFUNCTION("""COMPUTED_VALUE"""),"SLV001 LP132 NP1-2")</f>
        <v>SLV001 LP132 NP1-2</v>
      </c>
      <c r="J40" s="67"/>
      <c r="K40" s="67" t="str">
        <f>IFERROR(__xludf.DUMMYFUNCTION("""COMPUTED_VALUE"""),"SA")</f>
        <v>SA</v>
      </c>
      <c r="L40" s="67" t="str">
        <f>IFERROR(__xludf.DUMMYFUNCTION("""COMPUTED_VALUE"""),"NAP NO POWER")</f>
        <v>NAP NO POWER</v>
      </c>
      <c r="M40" s="67" t="str">
        <f>IFERROR(__xludf.DUMMYFUNCTION("""COMPUTED_VALUE"""),"NLZ FIBER TEAM")</f>
        <v>NLZ FIBER TEAM</v>
      </c>
      <c r="N40" s="69">
        <f>IFERROR(__xludf.DUMMYFUNCTION("""COMPUTED_VALUE"""),46246.64084490741)</f>
        <v>46246.64084</v>
      </c>
      <c r="O40" s="69">
        <f>IFERROR(__xludf.DUMMYFUNCTION("""COMPUTED_VALUE"""),46246.64084490741)</f>
        <v>46246.64084</v>
      </c>
      <c r="P40" s="67"/>
      <c r="Q40" s="67"/>
      <c r="R40" s="67"/>
      <c r="S40" s="67"/>
      <c r="T40" s="67"/>
      <c r="U40" s="67"/>
      <c r="V40" s="67"/>
      <c r="W40" s="70">
        <f>IFERROR(__xludf.DUMMYFUNCTION("""COMPUTED_VALUE"""),46249.064227870374)</f>
        <v>46249.06423</v>
      </c>
      <c r="X40" s="71">
        <f>IFERROR(__xludf.DUMMYFUNCTION("""COMPUTED_VALUE"""),2.423382962961804)</f>
        <v>2.423382963</v>
      </c>
      <c r="Y40" s="72"/>
    </row>
    <row r="41">
      <c r="A41" s="67" t="str">
        <f>IFERROR(__xludf.DUMMYFUNCTION("""COMPUTED_VALUE"""),"NAP")</f>
        <v>NAP</v>
      </c>
      <c r="B41" s="67" t="str">
        <f>IFERROR(__xludf.DUMMYFUNCTION("""COMPUTED_VALUE"""),"August, 2026")</f>
        <v>August, 2026</v>
      </c>
      <c r="C41" s="68">
        <f>IFERROR(__xludf.DUMMYFUNCTION("""COMPUTED_VALUE"""),46248.0)</f>
        <v>46248</v>
      </c>
      <c r="D41" s="67" t="str">
        <f>IFERROR(__xludf.DUMMYFUNCTION("""COMPUTED_VALUE"""),"NUEVA_ECIJA")</f>
        <v>NUEVA_ECIJA</v>
      </c>
      <c r="E41" s="67" t="str">
        <f>IFERROR(__xludf.DUMMYFUNCTION("""COMPUTED_VALUE"""),"TALAVERA")</f>
        <v>TALAVERA</v>
      </c>
      <c r="F41" s="67" t="str">
        <f>IFERROR(__xludf.DUMMYFUNCTION("""COMPUTED_VALUE"""),"FOC-2026-08-14-000010105643")</f>
        <v>FOC-2026-08-14-000010105643</v>
      </c>
      <c r="G41" s="67"/>
      <c r="H41" s="67" t="str">
        <f>IFERROR(__xludf.DUMMYFUNCTION("""COMPUTED_VALUE"""),"FOC-2026-08-14-000010105643 | NUEVA_ECIJA | TALAVERA | SA | NAP NO POWER | TVN001 LP58 NP6-7")</f>
        <v>FOC-2026-08-14-000010105643 | NUEVA_ECIJA | TALAVERA | SA | NAP NO POWER | TVN001 LP58 NP6-7</v>
      </c>
      <c r="I41" s="67" t="str">
        <f>IFERROR(__xludf.DUMMYFUNCTION("""COMPUTED_VALUE"""),"TVN001 LP58 NP6-7")</f>
        <v>TVN001 LP58 NP6-7</v>
      </c>
      <c r="J41" s="67"/>
      <c r="K41" s="67" t="str">
        <f>IFERROR(__xludf.DUMMYFUNCTION("""COMPUTED_VALUE"""),"SA")</f>
        <v>SA</v>
      </c>
      <c r="L41" s="67" t="str">
        <f>IFERROR(__xludf.DUMMYFUNCTION("""COMPUTED_VALUE"""),"NAP NO POWER")</f>
        <v>NAP NO POWER</v>
      </c>
      <c r="M41" s="67" t="str">
        <f>IFERROR(__xludf.DUMMYFUNCTION("""COMPUTED_VALUE"""),"NLZ FIBER TEAM")</f>
        <v>NLZ FIBER TEAM</v>
      </c>
      <c r="N41" s="69">
        <f>IFERROR(__xludf.DUMMYFUNCTION("""COMPUTED_VALUE"""),46248.415191354165)</f>
        <v>46248.41519</v>
      </c>
      <c r="O41" s="69">
        <f>IFERROR(__xludf.DUMMYFUNCTION("""COMPUTED_VALUE"""),46248.415191354165)</f>
        <v>46248.41519</v>
      </c>
      <c r="P41" s="67"/>
      <c r="Q41" s="67"/>
      <c r="R41" s="67"/>
      <c r="S41" s="67"/>
      <c r="T41" s="67"/>
      <c r="U41" s="67"/>
      <c r="V41" s="67"/>
      <c r="W41" s="70">
        <f>IFERROR(__xludf.DUMMYFUNCTION("""COMPUTED_VALUE"""),46249.064227870374)</f>
        <v>46249.06423</v>
      </c>
      <c r="X41" s="71">
        <f>IFERROR(__xludf.DUMMYFUNCTION("""COMPUTED_VALUE"""),0.649036516203445)</f>
        <v>0.6490365162</v>
      </c>
      <c r="Y41" s="72"/>
    </row>
    <row r="42">
      <c r="A42" s="67" t="str">
        <f>IFERROR(__xludf.DUMMYFUNCTION("""COMPUTED_VALUE"""),"NAP")</f>
        <v>NAP</v>
      </c>
      <c r="B42" s="67" t="str">
        <f>IFERROR(__xludf.DUMMYFUNCTION("""COMPUTED_VALUE"""),"August, 2026")</f>
        <v>August, 2026</v>
      </c>
      <c r="C42" s="68">
        <f>IFERROR(__xludf.DUMMYFUNCTION("""COMPUTED_VALUE"""),46247.0)</f>
        <v>46247</v>
      </c>
      <c r="D42" s="67" t="str">
        <f>IFERROR(__xludf.DUMMYFUNCTION("""COMPUTED_VALUE"""),"NUEVA_VIZCAYA")</f>
        <v>NUEVA_VIZCAYA</v>
      </c>
      <c r="E42" s="67" t="str">
        <f>IFERROR(__xludf.DUMMYFUNCTION("""COMPUTED_VALUE"""),"BAGABAG")</f>
        <v>BAGABAG</v>
      </c>
      <c r="F42" s="67" t="str">
        <f>IFERROR(__xludf.DUMMYFUNCTION("""COMPUTED_VALUE"""),"FOC-2026-08-13-000010105627")</f>
        <v>FOC-2026-08-13-000010105627</v>
      </c>
      <c r="G42" s="67"/>
      <c r="H42" s="67" t="str">
        <f>IFERROR(__xludf.DUMMYFUNCTION("""COMPUTED_VALUE"""),"FOC-2026-08-13-000010105627 | NUEVA_VIZCAYA | BAGABAG | SA | NAP NO POWER | BGV001 LP31 NP5-6")</f>
        <v>FOC-2026-08-13-000010105627 | NUEVA_VIZCAYA | BAGABAG | SA | NAP NO POWER | BGV001 LP31 NP5-6</v>
      </c>
      <c r="I42" s="67" t="str">
        <f>IFERROR(__xludf.DUMMYFUNCTION("""COMPUTED_VALUE"""),"BGV001 LP31 NP5-6")</f>
        <v>BGV001 LP31 NP5-6</v>
      </c>
      <c r="J42" s="67"/>
      <c r="K42" s="67" t="str">
        <f>IFERROR(__xludf.DUMMYFUNCTION("""COMPUTED_VALUE"""),"SA")</f>
        <v>SA</v>
      </c>
      <c r="L42" s="67" t="str">
        <f>IFERROR(__xludf.DUMMYFUNCTION("""COMPUTED_VALUE"""),"NAP NO POWER")</f>
        <v>NAP NO POWER</v>
      </c>
      <c r="M42" s="67" t="str">
        <f>IFERROR(__xludf.DUMMYFUNCTION("""COMPUTED_VALUE"""),"NLZ FIBER TEAM")</f>
        <v>NLZ FIBER TEAM</v>
      </c>
      <c r="N42" s="69">
        <f>IFERROR(__xludf.DUMMYFUNCTION("""COMPUTED_VALUE"""),46247.68454861111)</f>
        <v>46247.68455</v>
      </c>
      <c r="O42" s="69">
        <f>IFERROR(__xludf.DUMMYFUNCTION("""COMPUTED_VALUE"""),46247.68454861111)</f>
        <v>46247.68455</v>
      </c>
      <c r="P42" s="67"/>
      <c r="Q42" s="67"/>
      <c r="R42" s="67"/>
      <c r="S42" s="67"/>
      <c r="T42" s="67"/>
      <c r="U42" s="67"/>
      <c r="V42" s="67"/>
      <c r="W42" s="70">
        <f>IFERROR(__xludf.DUMMYFUNCTION("""COMPUTED_VALUE"""),46249.064227870374)</f>
        <v>46249.06423</v>
      </c>
      <c r="X42" s="71">
        <f>IFERROR(__xludf.DUMMYFUNCTION("""COMPUTED_VALUE"""),1.3796792592609193)</f>
        <v>1.379679259</v>
      </c>
      <c r="Y42" s="72"/>
    </row>
    <row r="43">
      <c r="A43" s="67" t="str">
        <f>IFERROR(__xludf.DUMMYFUNCTION("""COMPUTED_VALUE"""),"NAP")</f>
        <v>NAP</v>
      </c>
      <c r="B43" s="67" t="str">
        <f>IFERROR(__xludf.DUMMYFUNCTION("""COMPUTED_VALUE"""),"August, 2026")</f>
        <v>August, 2026</v>
      </c>
      <c r="C43" s="68">
        <f>IFERROR(__xludf.DUMMYFUNCTION("""COMPUTED_VALUE"""),46247.0)</f>
        <v>46247</v>
      </c>
      <c r="D43" s="67" t="str">
        <f>IFERROR(__xludf.DUMMYFUNCTION("""COMPUTED_VALUE"""),"NUEVA_VIZCAYA")</f>
        <v>NUEVA_VIZCAYA</v>
      </c>
      <c r="E43" s="67" t="str">
        <f>IFERROR(__xludf.DUMMYFUNCTION("""COMPUTED_VALUE"""),"BAGABAG")</f>
        <v>BAGABAG</v>
      </c>
      <c r="F43" s="67" t="str">
        <f>IFERROR(__xludf.DUMMYFUNCTION("""COMPUTED_VALUE"""),"FOC-2026-08-13-000010105626")</f>
        <v>FOC-2026-08-13-000010105626</v>
      </c>
      <c r="G43" s="67"/>
      <c r="H43" s="67" t="str">
        <f>IFERROR(__xludf.DUMMYFUNCTION("""COMPUTED_VALUE"""),"FOC-2026-08-13-000010105626 | NUEVA_VIZCAYA | BAGABAG | SA | NAP NO POWER | BGV001 LP34 NP7")</f>
        <v>FOC-2026-08-13-000010105626 | NUEVA_VIZCAYA | BAGABAG | SA | NAP NO POWER | BGV001 LP34 NP7</v>
      </c>
      <c r="I43" s="67" t="str">
        <f>IFERROR(__xludf.DUMMYFUNCTION("""COMPUTED_VALUE"""),"BGV001 LP34 NP7")</f>
        <v>BGV001 LP34 NP7</v>
      </c>
      <c r="J43" s="67"/>
      <c r="K43" s="67" t="str">
        <f>IFERROR(__xludf.DUMMYFUNCTION("""COMPUTED_VALUE"""),"SA")</f>
        <v>SA</v>
      </c>
      <c r="L43" s="67" t="str">
        <f>IFERROR(__xludf.DUMMYFUNCTION("""COMPUTED_VALUE"""),"NAP NO POWER")</f>
        <v>NAP NO POWER</v>
      </c>
      <c r="M43" s="67" t="str">
        <f>IFERROR(__xludf.DUMMYFUNCTION("""COMPUTED_VALUE"""),"NLZ FIBER TEAM")</f>
        <v>NLZ FIBER TEAM</v>
      </c>
      <c r="N43" s="69">
        <f>IFERROR(__xludf.DUMMYFUNCTION("""COMPUTED_VALUE"""),46247.68454861111)</f>
        <v>46247.68455</v>
      </c>
      <c r="O43" s="69">
        <f>IFERROR(__xludf.DUMMYFUNCTION("""COMPUTED_VALUE"""),46247.68454861111)</f>
        <v>46247.68455</v>
      </c>
      <c r="P43" s="67"/>
      <c r="Q43" s="67"/>
      <c r="R43" s="67"/>
      <c r="S43" s="67"/>
      <c r="T43" s="67"/>
      <c r="U43" s="67"/>
      <c r="V43" s="67"/>
      <c r="W43" s="70">
        <f>IFERROR(__xludf.DUMMYFUNCTION("""COMPUTED_VALUE"""),46249.064227870374)</f>
        <v>46249.06423</v>
      </c>
      <c r="X43" s="71">
        <f>IFERROR(__xludf.DUMMYFUNCTION("""COMPUTED_VALUE"""),1.3796792592609193)</f>
        <v>1.379679259</v>
      </c>
      <c r="Y43" s="72"/>
    </row>
    <row r="44">
      <c r="A44" s="67" t="str">
        <f>IFERROR(__xludf.DUMMYFUNCTION("""COMPUTED_VALUE"""),"NAP")</f>
        <v>NAP</v>
      </c>
      <c r="B44" s="67" t="str">
        <f>IFERROR(__xludf.DUMMYFUNCTION("""COMPUTED_VALUE"""),"August, 2026")</f>
        <v>August, 2026</v>
      </c>
      <c r="C44" s="68">
        <f>IFERROR(__xludf.DUMMYFUNCTION("""COMPUTED_VALUE"""),46247.0)</f>
        <v>46247</v>
      </c>
      <c r="D44" s="67" t="str">
        <f>IFERROR(__xludf.DUMMYFUNCTION("""COMPUTED_VALUE"""),"NUEVA_VIZCAYA")</f>
        <v>NUEVA_VIZCAYA</v>
      </c>
      <c r="E44" s="67" t="str">
        <f>IFERROR(__xludf.DUMMYFUNCTION("""COMPUTED_VALUE"""),"BAGABAG")</f>
        <v>BAGABAG</v>
      </c>
      <c r="F44" s="67" t="str">
        <f>IFERROR(__xludf.DUMMYFUNCTION("""COMPUTED_VALUE"""),"FOC-2026-08-13-000010105628")</f>
        <v>FOC-2026-08-13-000010105628</v>
      </c>
      <c r="G44" s="67"/>
      <c r="H44" s="67" t="str">
        <f>IFERROR(__xludf.DUMMYFUNCTION("""COMPUTED_VALUE"""),"FOC-2026-08-13-000010105628 | NUEVA_VIZCAYA | BAGABAG | SA | NAP NO POWER | BGV001 LP9 NP7")</f>
        <v>FOC-2026-08-13-000010105628 | NUEVA_VIZCAYA | BAGABAG | SA | NAP NO POWER | BGV001 LP9 NP7</v>
      </c>
      <c r="I44" s="67" t="str">
        <f>IFERROR(__xludf.DUMMYFUNCTION("""COMPUTED_VALUE"""),"BGV001 LP9 NP7")</f>
        <v>BGV001 LP9 NP7</v>
      </c>
      <c r="J44" s="67"/>
      <c r="K44" s="67" t="str">
        <f>IFERROR(__xludf.DUMMYFUNCTION("""COMPUTED_VALUE"""),"SA")</f>
        <v>SA</v>
      </c>
      <c r="L44" s="67" t="str">
        <f>IFERROR(__xludf.DUMMYFUNCTION("""COMPUTED_VALUE"""),"NAP NO POWER")</f>
        <v>NAP NO POWER</v>
      </c>
      <c r="M44" s="67" t="str">
        <f>IFERROR(__xludf.DUMMYFUNCTION("""COMPUTED_VALUE"""),"NLZ FIBER TEAM")</f>
        <v>NLZ FIBER TEAM</v>
      </c>
      <c r="N44" s="69">
        <f>IFERROR(__xludf.DUMMYFUNCTION("""COMPUTED_VALUE"""),46247.68454861111)</f>
        <v>46247.68455</v>
      </c>
      <c r="O44" s="69">
        <f>IFERROR(__xludf.DUMMYFUNCTION("""COMPUTED_VALUE"""),46247.68454861111)</f>
        <v>46247.68455</v>
      </c>
      <c r="P44" s="67"/>
      <c r="Q44" s="67"/>
      <c r="R44" s="67"/>
      <c r="S44" s="67"/>
      <c r="T44" s="67"/>
      <c r="U44" s="67"/>
      <c r="V44" s="67"/>
      <c r="W44" s="70">
        <f>IFERROR(__xludf.DUMMYFUNCTION("""COMPUTED_VALUE"""),46249.064227870374)</f>
        <v>46249.06423</v>
      </c>
      <c r="X44" s="71">
        <f>IFERROR(__xludf.DUMMYFUNCTION("""COMPUTED_VALUE"""),1.3796792592609193)</f>
        <v>1.379679259</v>
      </c>
      <c r="Y44" s="72"/>
    </row>
    <row r="45">
      <c r="A45" s="67" t="str">
        <f>IFERROR(__xludf.DUMMYFUNCTION("""COMPUTED_VALUE"""),"NAP")</f>
        <v>NAP</v>
      </c>
      <c r="B45" s="67" t="str">
        <f>IFERROR(__xludf.DUMMYFUNCTION("""COMPUTED_VALUE"""),"August, 2026")</f>
        <v>August, 2026</v>
      </c>
      <c r="C45" s="68">
        <f>IFERROR(__xludf.DUMMYFUNCTION("""COMPUTED_VALUE"""),46246.0)</f>
        <v>46246</v>
      </c>
      <c r="D45" s="67" t="str">
        <f>IFERROR(__xludf.DUMMYFUNCTION("""COMPUTED_VALUE"""),"NUEVA_VIZCAYA")</f>
        <v>NUEVA_VIZCAYA</v>
      </c>
      <c r="E45" s="67" t="str">
        <f>IFERROR(__xludf.DUMMYFUNCTION("""COMPUTED_VALUE"""),"BAYOMBONG")</f>
        <v>BAYOMBONG</v>
      </c>
      <c r="F45" s="67" t="str">
        <f>IFERROR(__xludf.DUMMYFUNCTION("""COMPUTED_VALUE"""),"FOC-2026-08-12-000010105565")</f>
        <v>FOC-2026-08-12-000010105565</v>
      </c>
      <c r="G45" s="67"/>
      <c r="H45" s="67" t="str">
        <f>IFERROR(__xludf.DUMMYFUNCTION("""COMPUTED_VALUE"""),"FOC-2026-08-12-000010105565 | NUEVA_VIZCAYA | BAYOMBONG | SA | NAP NO POWER | BYV001 L130 NP1-2")</f>
        <v>FOC-2026-08-12-000010105565 | NUEVA_VIZCAYA | BAYOMBONG | SA | NAP NO POWER | BYV001 L130 NP1-2</v>
      </c>
      <c r="I45" s="67" t="str">
        <f>IFERROR(__xludf.DUMMYFUNCTION("""COMPUTED_VALUE"""),"BYV001 L130 NP1-2")</f>
        <v>BYV001 L130 NP1-2</v>
      </c>
      <c r="J45" s="67"/>
      <c r="K45" s="67" t="str">
        <f>IFERROR(__xludf.DUMMYFUNCTION("""COMPUTED_VALUE"""),"SA")</f>
        <v>SA</v>
      </c>
      <c r="L45" s="67" t="str">
        <f>IFERROR(__xludf.DUMMYFUNCTION("""COMPUTED_VALUE"""),"NAP NO POWER")</f>
        <v>NAP NO POWER</v>
      </c>
      <c r="M45" s="67" t="str">
        <f>IFERROR(__xludf.DUMMYFUNCTION("""COMPUTED_VALUE"""),"S2S BIDA FIBER")</f>
        <v>S2S BIDA FIBER</v>
      </c>
      <c r="N45" s="69">
        <f>IFERROR(__xludf.DUMMYFUNCTION("""COMPUTED_VALUE"""),46246.513761574075)</f>
        <v>46246.51376</v>
      </c>
      <c r="O45" s="69">
        <f>IFERROR(__xludf.DUMMYFUNCTION("""COMPUTED_VALUE"""),46246.513761574075)</f>
        <v>46246.51376</v>
      </c>
      <c r="P45" s="67"/>
      <c r="Q45" s="67"/>
      <c r="R45" s="67"/>
      <c r="S45" s="67"/>
      <c r="T45" s="67"/>
      <c r="U45" s="67"/>
      <c r="V45" s="67"/>
      <c r="W45" s="70">
        <f>IFERROR(__xludf.DUMMYFUNCTION("""COMPUTED_VALUE"""),46249.06422788195)</f>
        <v>46249.06423</v>
      </c>
      <c r="X45" s="71">
        <f>IFERROR(__xludf.DUMMYFUNCTION("""COMPUTED_VALUE"""),2.5504663078687266)</f>
        <v>2.550466308</v>
      </c>
      <c r="Y45" s="72"/>
    </row>
    <row r="46">
      <c r="A46" s="67" t="str">
        <f>IFERROR(__xludf.DUMMYFUNCTION("""COMPUTED_VALUE"""),"NAP")</f>
        <v>NAP</v>
      </c>
      <c r="B46" s="67" t="str">
        <f>IFERROR(__xludf.DUMMYFUNCTION("""COMPUTED_VALUE"""),"August, 2026")</f>
        <v>August, 2026</v>
      </c>
      <c r="C46" s="68">
        <f>IFERROR(__xludf.DUMMYFUNCTION("""COMPUTED_VALUE"""),46246.0)</f>
        <v>46246</v>
      </c>
      <c r="D46" s="67" t="str">
        <f>IFERROR(__xludf.DUMMYFUNCTION("""COMPUTED_VALUE"""),"NUEVA_VIZCAYA")</f>
        <v>NUEVA_VIZCAYA</v>
      </c>
      <c r="E46" s="67" t="str">
        <f>IFERROR(__xludf.DUMMYFUNCTION("""COMPUTED_VALUE"""),"BAYOMBONG")</f>
        <v>BAYOMBONG</v>
      </c>
      <c r="F46" s="67" t="str">
        <f>IFERROR(__xludf.DUMMYFUNCTION("""COMPUTED_VALUE"""),"FOC-2026-08-12-000010105562")</f>
        <v>FOC-2026-08-12-000010105562</v>
      </c>
      <c r="G46" s="67"/>
      <c r="H46" s="67" t="str">
        <f>IFERROR(__xludf.DUMMYFUNCTION("""COMPUTED_VALUE"""),"FOC-2026-08-12-000010105562 | NUEVA_VIZCAYA | BAYOMBONG | SA | NAP NO POWER | BYV001 LP130 NP1-2")</f>
        <v>FOC-2026-08-12-000010105562 | NUEVA_VIZCAYA | BAYOMBONG | SA | NAP NO POWER | BYV001 LP130 NP1-2</v>
      </c>
      <c r="I46" s="67" t="str">
        <f>IFERROR(__xludf.DUMMYFUNCTION("""COMPUTED_VALUE"""),"BYV001 LP130 NP1-2")</f>
        <v>BYV001 LP130 NP1-2</v>
      </c>
      <c r="J46" s="67"/>
      <c r="K46" s="67" t="str">
        <f>IFERROR(__xludf.DUMMYFUNCTION("""COMPUTED_VALUE"""),"SA")</f>
        <v>SA</v>
      </c>
      <c r="L46" s="67" t="str">
        <f>IFERROR(__xludf.DUMMYFUNCTION("""COMPUTED_VALUE"""),"NAP NO POWER")</f>
        <v>NAP NO POWER</v>
      </c>
      <c r="M46" s="67" t="str">
        <f>IFERROR(__xludf.DUMMYFUNCTION("""COMPUTED_VALUE"""),"NLZ FIBER TEAM")</f>
        <v>NLZ FIBER TEAM</v>
      </c>
      <c r="N46" s="69">
        <f>IFERROR(__xludf.DUMMYFUNCTION("""COMPUTED_VALUE"""),46246.48042824074)</f>
        <v>46246.48043</v>
      </c>
      <c r="O46" s="69">
        <f>IFERROR(__xludf.DUMMYFUNCTION("""COMPUTED_VALUE"""),46246.48042824074)</f>
        <v>46246.48043</v>
      </c>
      <c r="P46" s="67"/>
      <c r="Q46" s="67"/>
      <c r="R46" s="67"/>
      <c r="S46" s="67"/>
      <c r="T46" s="67"/>
      <c r="U46" s="67"/>
      <c r="V46" s="67"/>
      <c r="W46" s="70">
        <f>IFERROR(__xludf.DUMMYFUNCTION("""COMPUTED_VALUE"""),46249.06422788195)</f>
        <v>46249.06423</v>
      </c>
      <c r="X46" s="71">
        <f>IFERROR(__xludf.DUMMYFUNCTION("""COMPUTED_VALUE"""),2.583799641205213)</f>
        <v>2.583799641</v>
      </c>
      <c r="Y46" s="72"/>
    </row>
    <row r="47">
      <c r="A47" s="67" t="str">
        <f>IFERROR(__xludf.DUMMYFUNCTION("""COMPUTED_VALUE"""),"NAP")</f>
        <v>NAP</v>
      </c>
      <c r="B47" s="67" t="str">
        <f>IFERROR(__xludf.DUMMYFUNCTION("""COMPUTED_VALUE"""),"August, 2026")</f>
        <v>August, 2026</v>
      </c>
      <c r="C47" s="68">
        <f>IFERROR(__xludf.DUMMYFUNCTION("""COMPUTED_VALUE"""),46247.0)</f>
        <v>46247</v>
      </c>
      <c r="D47" s="67" t="str">
        <f>IFERROR(__xludf.DUMMYFUNCTION("""COMPUTED_VALUE"""),"NUEVA_VIZCAYA")</f>
        <v>NUEVA_VIZCAYA</v>
      </c>
      <c r="E47" s="67" t="str">
        <f>IFERROR(__xludf.DUMMYFUNCTION("""COMPUTED_VALUE"""),"KAYAPA")</f>
        <v>KAYAPA</v>
      </c>
      <c r="F47" s="67" t="str">
        <f>IFERROR(__xludf.DUMMYFUNCTION("""COMPUTED_VALUE"""),"FOC-2026-08-13-000010105614")</f>
        <v>FOC-2026-08-13-000010105614</v>
      </c>
      <c r="G47" s="67"/>
      <c r="H47" s="67" t="str">
        <f>IFERROR(__xludf.DUMMYFUNCTION("""COMPUTED_VALUE"""),"FOC-2026-08-13-000010105614 | NUEVA_VIZCAYA | KAYAPA | SA | LCP DOWN | KYV002 LP2 NP4-6")</f>
        <v>FOC-2026-08-13-000010105614 | NUEVA_VIZCAYA | KAYAPA | SA | LCP DOWN | KYV002 LP2 NP4-6</v>
      </c>
      <c r="I47" s="67" t="str">
        <f>IFERROR(__xludf.DUMMYFUNCTION("""COMPUTED_VALUE"""),"KYV002 LP2 NP4-6")</f>
        <v>KYV002 LP2 NP4-6</v>
      </c>
      <c r="J47" s="67"/>
      <c r="K47" s="67" t="str">
        <f>IFERROR(__xludf.DUMMYFUNCTION("""COMPUTED_VALUE"""),"SA")</f>
        <v>SA</v>
      </c>
      <c r="L47" s="67" t="str">
        <f>IFERROR(__xludf.DUMMYFUNCTION("""COMPUTED_VALUE"""),"LCP DOWN")</f>
        <v>LCP DOWN</v>
      </c>
      <c r="M47" s="67" t="str">
        <f>IFERROR(__xludf.DUMMYFUNCTION("""COMPUTED_VALUE"""),"GNOC")</f>
        <v>GNOC</v>
      </c>
      <c r="N47" s="69">
        <f>IFERROR(__xludf.DUMMYFUNCTION("""COMPUTED_VALUE"""),46247.6125)</f>
        <v>46247.6125</v>
      </c>
      <c r="O47" s="69">
        <f>IFERROR(__xludf.DUMMYFUNCTION("""COMPUTED_VALUE"""),46247.6125)</f>
        <v>46247.6125</v>
      </c>
      <c r="P47" s="67"/>
      <c r="Q47" s="67"/>
      <c r="R47" s="67"/>
      <c r="S47" s="67"/>
      <c r="T47" s="67"/>
      <c r="U47" s="67"/>
      <c r="V47" s="67"/>
      <c r="W47" s="70">
        <f>IFERROR(__xludf.DUMMYFUNCTION("""COMPUTED_VALUE"""),46249.06422788195)</f>
        <v>46249.06423</v>
      </c>
      <c r="X47" s="71">
        <f>IFERROR(__xludf.DUMMYFUNCTION("""COMPUTED_VALUE"""),1.4517278819444877)</f>
        <v>1.451727882</v>
      </c>
      <c r="Y47" s="72"/>
    </row>
    <row r="48">
      <c r="A48" s="67" t="str">
        <f>IFERROR(__xludf.DUMMYFUNCTION("""COMPUTED_VALUE"""),"NAP")</f>
        <v>NAP</v>
      </c>
      <c r="B48" s="67" t="str">
        <f>IFERROR(__xludf.DUMMYFUNCTION("""COMPUTED_VALUE"""),"August, 2026")</f>
        <v>August, 2026</v>
      </c>
      <c r="C48" s="68">
        <f>IFERROR(__xludf.DUMMYFUNCTION("""COMPUTED_VALUE"""),46248.0)</f>
        <v>46248</v>
      </c>
      <c r="D48" s="67" t="str">
        <f>IFERROR(__xludf.DUMMYFUNCTION("""COMPUTED_VALUE"""),"NUEVA_VIZCAYA")</f>
        <v>NUEVA_VIZCAYA</v>
      </c>
      <c r="E48" s="67" t="str">
        <f>IFERROR(__xludf.DUMMYFUNCTION("""COMPUTED_VALUE"""),"SOLANO")</f>
        <v>SOLANO</v>
      </c>
      <c r="F48" s="67" t="str">
        <f>IFERROR(__xludf.DUMMYFUNCTION("""COMPUTED_VALUE"""),"TT-20260814-0000024")</f>
        <v>TT-20260814-0000024</v>
      </c>
      <c r="G48" s="67"/>
      <c r="H48" s="67" t="str">
        <f>IFERROR(__xludf.DUMMYFUNCTION("""COMPUTED_VALUE"""),"TT-20260814-0000024 | NUEVA_VIZCAYA | SOLANO | SA | NAP NO POWER | c9 | LASTMILE | MINOR | SA | NAP DOWN | NUEVA VIZCAYA | SLV001 LP101
Affected Nodes/Links
SLV001 LP101 NP07
Start Time	2026-08-14 12:40:14")</f>
        <v>TT-20260814-0000024 | NUEVA_VIZCAYA | SOLANO | SA | NAP NO POWER | c9 | LASTMILE | MINOR | SA | NAP DOWN | NUEVA VIZCAYA | SLV001 LP101
Affected Nodes/Links
SLV001 LP101 NP07
Start Time	2026-08-14 12:40:14</v>
      </c>
      <c r="I48" s="67" t="str">
        <f>IFERROR(__xludf.DUMMYFUNCTION("""COMPUTED_VALUE"""),"c9 | LASTMILE | MINOR | SA | NAP DOWN | NUEVA VIZCAYA | SLV001 LP101
Affected Nodes/Links
SLV001 LP101 NP07
Start Time	2026-08-14 12:40:14")</f>
        <v>c9 | LASTMILE | MINOR | SA | NAP DOWN | NUEVA VIZCAYA | SLV001 LP101
Affected Nodes/Links
SLV001 LP101 NP07
Start Time	2026-08-14 12:40:14</v>
      </c>
      <c r="J48" s="67"/>
      <c r="K48" s="67" t="str">
        <f>IFERROR(__xludf.DUMMYFUNCTION("""COMPUTED_VALUE"""),"SA")</f>
        <v>SA</v>
      </c>
      <c r="L48" s="67" t="str">
        <f>IFERROR(__xludf.DUMMYFUNCTION("""COMPUTED_VALUE"""),"NAP NO POWER")</f>
        <v>NAP NO POWER</v>
      </c>
      <c r="M48" s="67" t="str">
        <f>IFERROR(__xludf.DUMMYFUNCTION("""COMPUTED_VALUE"""),"GNOC")</f>
        <v>GNOC</v>
      </c>
      <c r="N48" s="69">
        <f>IFERROR(__xludf.DUMMYFUNCTION("""COMPUTED_VALUE"""),46248.50904881944)</f>
        <v>46248.50905</v>
      </c>
      <c r="O48" s="69">
        <f>IFERROR(__xludf.DUMMYFUNCTION("""COMPUTED_VALUE"""),46248.50904881944)</f>
        <v>46248.50905</v>
      </c>
      <c r="P48" s="67"/>
      <c r="Q48" s="67"/>
      <c r="R48" s="67"/>
      <c r="S48" s="67"/>
      <c r="T48" s="67"/>
      <c r="U48" s="67"/>
      <c r="V48" s="67"/>
      <c r="W48" s="70">
        <f>IFERROR(__xludf.DUMMYFUNCTION("""COMPUTED_VALUE"""),46249.06422788195)</f>
        <v>46249.06423</v>
      </c>
      <c r="X48" s="71">
        <f>IFERROR(__xludf.DUMMYFUNCTION("""COMPUTED_VALUE"""),0.5551790625008569)</f>
        <v>0.5551790625</v>
      </c>
      <c r="Y48" s="72"/>
    </row>
    <row r="49">
      <c r="A49" s="67" t="str">
        <f>IFERROR(__xludf.DUMMYFUNCTION("""COMPUTED_VALUE"""),"NAP")</f>
        <v>NAP</v>
      </c>
      <c r="B49" s="67" t="str">
        <f>IFERROR(__xludf.DUMMYFUNCTION("""COMPUTED_VALUE"""),"August, 2026")</f>
        <v>August, 2026</v>
      </c>
      <c r="C49" s="68">
        <f>IFERROR(__xludf.DUMMYFUNCTION("""COMPUTED_VALUE"""),46246.0)</f>
        <v>46246</v>
      </c>
      <c r="D49" s="67" t="str">
        <f>IFERROR(__xludf.DUMMYFUNCTION("""COMPUTED_VALUE"""),"NUEVA_VIZCAYA")</f>
        <v>NUEVA_VIZCAYA</v>
      </c>
      <c r="E49" s="67" t="str">
        <f>IFERROR(__xludf.DUMMYFUNCTION("""COMPUTED_VALUE"""),"SOLANO")</f>
        <v>SOLANO</v>
      </c>
      <c r="F49" s="67" t="str">
        <f>IFERROR(__xludf.DUMMYFUNCTION("""COMPUTED_VALUE"""),"FOC-2026-08-12-000010105576")</f>
        <v>FOC-2026-08-12-000010105576</v>
      </c>
      <c r="G49" s="67"/>
      <c r="H49" s="67" t="str">
        <f>IFERROR(__xludf.DUMMYFUNCTION("""COMPUTED_VALUE"""),"FOC-2026-08-12-000010105576 | NUEVA_VIZCAYA | SOLANO | SA | NAP NO POWER | SLV001 LP101 NP2")</f>
        <v>FOC-2026-08-12-000010105576 | NUEVA_VIZCAYA | SOLANO | SA | NAP NO POWER | SLV001 LP101 NP2</v>
      </c>
      <c r="I49" s="67" t="str">
        <f>IFERROR(__xludf.DUMMYFUNCTION("""COMPUTED_VALUE"""),"SLV001 LP101 NP2")</f>
        <v>SLV001 LP101 NP2</v>
      </c>
      <c r="J49" s="67"/>
      <c r="K49" s="67" t="str">
        <f>IFERROR(__xludf.DUMMYFUNCTION("""COMPUTED_VALUE"""),"SA")</f>
        <v>SA</v>
      </c>
      <c r="L49" s="67" t="str">
        <f>IFERROR(__xludf.DUMMYFUNCTION("""COMPUTED_VALUE"""),"NAP NO POWER")</f>
        <v>NAP NO POWER</v>
      </c>
      <c r="M49" s="67" t="str">
        <f>IFERROR(__xludf.DUMMYFUNCTION("""COMPUTED_VALUE"""),"NLZ FIBER TEAM")</f>
        <v>NLZ FIBER TEAM</v>
      </c>
      <c r="N49" s="69">
        <f>IFERROR(__xludf.DUMMYFUNCTION("""COMPUTED_VALUE"""),46246.6547337963)</f>
        <v>46246.65473</v>
      </c>
      <c r="O49" s="69">
        <f>IFERROR(__xludf.DUMMYFUNCTION("""COMPUTED_VALUE"""),46246.6547337963)</f>
        <v>46246.65473</v>
      </c>
      <c r="P49" s="67"/>
      <c r="Q49" s="67"/>
      <c r="R49" s="67"/>
      <c r="S49" s="67"/>
      <c r="T49" s="67"/>
      <c r="U49" s="67"/>
      <c r="V49" s="67"/>
      <c r="W49" s="70">
        <f>IFERROR(__xludf.DUMMYFUNCTION("""COMPUTED_VALUE"""),46249.06422788195)</f>
        <v>46249.06423</v>
      </c>
      <c r="X49" s="71">
        <f>IFERROR(__xludf.DUMMYFUNCTION("""COMPUTED_VALUE"""),2.4094940856490106)</f>
        <v>2.409494086</v>
      </c>
      <c r="Y49" s="72"/>
    </row>
    <row r="50">
      <c r="A50" s="67" t="str">
        <f>IFERROR(__xludf.DUMMYFUNCTION("""COMPUTED_VALUE"""),"NAP")</f>
        <v>NAP</v>
      </c>
      <c r="B50" s="67" t="str">
        <f>IFERROR(__xludf.DUMMYFUNCTION("""COMPUTED_VALUE"""),"August, 2026")</f>
        <v>August, 2026</v>
      </c>
      <c r="C50" s="68">
        <f>IFERROR(__xludf.DUMMYFUNCTION("""COMPUTED_VALUE"""),46247.0)</f>
        <v>46247</v>
      </c>
      <c r="D50" s="67" t="str">
        <f>IFERROR(__xludf.DUMMYFUNCTION("""COMPUTED_VALUE"""),"NUEVA_VIZCAYA")</f>
        <v>NUEVA_VIZCAYA</v>
      </c>
      <c r="E50" s="67" t="str">
        <f>IFERROR(__xludf.DUMMYFUNCTION("""COMPUTED_VALUE"""),"SOLANO")</f>
        <v>SOLANO</v>
      </c>
      <c r="F50" s="67" t="str">
        <f>IFERROR(__xludf.DUMMYFUNCTION("""COMPUTED_VALUE"""),"FOC-2026-08-13-000010105615")</f>
        <v>FOC-2026-08-13-000010105615</v>
      </c>
      <c r="G50" s="67"/>
      <c r="H50" s="67" t="str">
        <f>IFERROR(__xludf.DUMMYFUNCTION("""COMPUTED_VALUE"""),"FOC-2026-08-13-000010105615 | NUEVA_VIZCAYA | SOLANO | SA | LCP DOWN | SLV001 LP101 NP4 AND NP6 AND NP8")</f>
        <v>FOC-2026-08-13-000010105615 | NUEVA_VIZCAYA | SOLANO | SA | LCP DOWN | SLV001 LP101 NP4 AND NP6 AND NP8</v>
      </c>
      <c r="I50" s="67" t="str">
        <f>IFERROR(__xludf.DUMMYFUNCTION("""COMPUTED_VALUE"""),"SLV001 LP101 NP4 AND NP6 AND NP8")</f>
        <v>SLV001 LP101 NP4 AND NP6 AND NP8</v>
      </c>
      <c r="J50" s="67"/>
      <c r="K50" s="67" t="str">
        <f>IFERROR(__xludf.DUMMYFUNCTION("""COMPUTED_VALUE"""),"SA")</f>
        <v>SA</v>
      </c>
      <c r="L50" s="67" t="str">
        <f>IFERROR(__xludf.DUMMYFUNCTION("""COMPUTED_VALUE"""),"LCP DOWN")</f>
        <v>LCP DOWN</v>
      </c>
      <c r="M50" s="67" t="str">
        <f>IFERROR(__xludf.DUMMYFUNCTION("""COMPUTED_VALUE"""),"GNOC")</f>
        <v>GNOC</v>
      </c>
      <c r="N50" s="69">
        <f>IFERROR(__xludf.DUMMYFUNCTION("""COMPUTED_VALUE"""),46247.6125)</f>
        <v>46247.6125</v>
      </c>
      <c r="O50" s="69">
        <f>IFERROR(__xludf.DUMMYFUNCTION("""COMPUTED_VALUE"""),46247.6125)</f>
        <v>46247.6125</v>
      </c>
      <c r="P50" s="67"/>
      <c r="Q50" s="67"/>
      <c r="R50" s="67"/>
      <c r="S50" s="67"/>
      <c r="T50" s="67"/>
      <c r="U50" s="67"/>
      <c r="V50" s="67"/>
      <c r="W50" s="70">
        <f>IFERROR(__xludf.DUMMYFUNCTION("""COMPUTED_VALUE"""),46249.06422788195)</f>
        <v>46249.06423</v>
      </c>
      <c r="X50" s="71">
        <f>IFERROR(__xludf.DUMMYFUNCTION("""COMPUTED_VALUE"""),1.4517278819444877)</f>
        <v>1.451727882</v>
      </c>
      <c r="Y50" s="72"/>
    </row>
    <row r="51">
      <c r="A51" s="67" t="str">
        <f>IFERROR(__xludf.DUMMYFUNCTION("""COMPUTED_VALUE"""),"NAP")</f>
        <v>NAP</v>
      </c>
      <c r="B51" s="67" t="str">
        <f>IFERROR(__xludf.DUMMYFUNCTION("""COMPUTED_VALUE"""),"August, 2026")</f>
        <v>August, 2026</v>
      </c>
      <c r="C51" s="68">
        <f>IFERROR(__xludf.DUMMYFUNCTION("""COMPUTED_VALUE"""),46247.0)</f>
        <v>46247</v>
      </c>
      <c r="D51" s="67" t="str">
        <f>IFERROR(__xludf.DUMMYFUNCTION("""COMPUTED_VALUE"""),"NUEVA_VIZCAYA")</f>
        <v>NUEVA_VIZCAYA</v>
      </c>
      <c r="E51" s="67" t="str">
        <f>IFERROR(__xludf.DUMMYFUNCTION("""COMPUTED_VALUE"""),"SOLANO")</f>
        <v>SOLANO</v>
      </c>
      <c r="F51" s="67" t="str">
        <f>IFERROR(__xludf.DUMMYFUNCTION("""COMPUTED_VALUE"""),"FOC-2026-08-13-000010105594")</f>
        <v>FOC-2026-08-13-000010105594</v>
      </c>
      <c r="G51" s="67"/>
      <c r="H51" s="67" t="str">
        <f>IFERROR(__xludf.DUMMYFUNCTION("""COMPUTED_VALUE"""),"FOC-2026-08-13-000010105594 | NUEVA_VIZCAYA | SOLANO | SA | NAP NO POWER | SLV001 LP101 NP5")</f>
        <v>FOC-2026-08-13-000010105594 | NUEVA_VIZCAYA | SOLANO | SA | NAP NO POWER | SLV001 LP101 NP5</v>
      </c>
      <c r="I51" s="67" t="str">
        <f>IFERROR(__xludf.DUMMYFUNCTION("""COMPUTED_VALUE"""),"SLV001 LP101 NP5")</f>
        <v>SLV001 LP101 NP5</v>
      </c>
      <c r="J51" s="67"/>
      <c r="K51" s="67" t="str">
        <f>IFERROR(__xludf.DUMMYFUNCTION("""COMPUTED_VALUE"""),"SA")</f>
        <v>SA</v>
      </c>
      <c r="L51" s="67" t="str">
        <f>IFERROR(__xludf.DUMMYFUNCTION("""COMPUTED_VALUE"""),"NAP NO POWER")</f>
        <v>NAP NO POWER</v>
      </c>
      <c r="M51" s="67" t="str">
        <f>IFERROR(__xludf.DUMMYFUNCTION("""COMPUTED_VALUE"""),"NLZ FIBER TEAM")</f>
        <v>NLZ FIBER TEAM</v>
      </c>
      <c r="N51" s="69">
        <f>IFERROR(__xludf.DUMMYFUNCTION("""COMPUTED_VALUE"""),46247.53511859954)</f>
        <v>46247.53512</v>
      </c>
      <c r="O51" s="69">
        <f>IFERROR(__xludf.DUMMYFUNCTION("""COMPUTED_VALUE"""),46247.53511859954)</f>
        <v>46247.53512</v>
      </c>
      <c r="P51" s="67"/>
      <c r="Q51" s="67"/>
      <c r="R51" s="67"/>
      <c r="S51" s="67"/>
      <c r="T51" s="67"/>
      <c r="U51" s="67"/>
      <c r="V51" s="67"/>
      <c r="W51" s="70">
        <f>IFERROR(__xludf.DUMMYFUNCTION("""COMPUTED_VALUE"""),46249.06422788195)</f>
        <v>46249.06423</v>
      </c>
      <c r="X51" s="71">
        <f>IFERROR(__xludf.DUMMYFUNCTION("""COMPUTED_VALUE"""),1.5291092824089165)</f>
        <v>1.529109282</v>
      </c>
      <c r="Y51" s="72"/>
    </row>
    <row r="52">
      <c r="A52" s="67" t="str">
        <f>IFERROR(__xludf.DUMMYFUNCTION("""COMPUTED_VALUE"""),"NAP")</f>
        <v>NAP</v>
      </c>
      <c r="B52" s="67" t="str">
        <f>IFERROR(__xludf.DUMMYFUNCTION("""COMPUTED_VALUE"""),"August, 2026")</f>
        <v>August, 2026</v>
      </c>
      <c r="C52" s="68">
        <f>IFERROR(__xludf.DUMMYFUNCTION("""COMPUTED_VALUE"""),46247.0)</f>
        <v>46247</v>
      </c>
      <c r="D52" s="67" t="str">
        <f>IFERROR(__xludf.DUMMYFUNCTION("""COMPUTED_VALUE"""),"NUEVA_VIZCAYA")</f>
        <v>NUEVA_VIZCAYA</v>
      </c>
      <c r="E52" s="67" t="str">
        <f>IFERROR(__xludf.DUMMYFUNCTION("""COMPUTED_VALUE"""),"SOLANO")</f>
        <v>SOLANO</v>
      </c>
      <c r="F52" s="67" t="str">
        <f>IFERROR(__xludf.DUMMYFUNCTION("""COMPUTED_VALUE"""),"FOC-2026-08-13-000010105606")</f>
        <v>FOC-2026-08-13-000010105606</v>
      </c>
      <c r="G52" s="67"/>
      <c r="H52" s="67" t="str">
        <f>IFERROR(__xludf.DUMMYFUNCTION("""COMPUTED_VALUE"""),"FOC-2026-08-13-000010105606 | NUEVA_VIZCAYA | SOLANO | SA | NAP NO POWER | SLV001 LP65 NP6")</f>
        <v>FOC-2026-08-13-000010105606 | NUEVA_VIZCAYA | SOLANO | SA | NAP NO POWER | SLV001 LP65 NP6</v>
      </c>
      <c r="I52" s="67" t="str">
        <f>IFERROR(__xludf.DUMMYFUNCTION("""COMPUTED_VALUE"""),"SLV001 LP65 NP6")</f>
        <v>SLV001 LP65 NP6</v>
      </c>
      <c r="J52" s="67"/>
      <c r="K52" s="67" t="str">
        <f>IFERROR(__xludf.DUMMYFUNCTION("""COMPUTED_VALUE"""),"SA")</f>
        <v>SA</v>
      </c>
      <c r="L52" s="67" t="str">
        <f>IFERROR(__xludf.DUMMYFUNCTION("""COMPUTED_VALUE"""),"NAP NO POWER")</f>
        <v>NAP NO POWER</v>
      </c>
      <c r="M52" s="67" t="str">
        <f>IFERROR(__xludf.DUMMYFUNCTION("""COMPUTED_VALUE"""),"GNOC")</f>
        <v>GNOC</v>
      </c>
      <c r="N52" s="69">
        <f>IFERROR(__xludf.DUMMYFUNCTION("""COMPUTED_VALUE"""),46247.561090277784)</f>
        <v>46247.56109</v>
      </c>
      <c r="O52" s="69">
        <f>IFERROR(__xludf.DUMMYFUNCTION("""COMPUTED_VALUE"""),46247.561090277784)</f>
        <v>46247.56109</v>
      </c>
      <c r="P52" s="67"/>
      <c r="Q52" s="67"/>
      <c r="R52" s="67"/>
      <c r="S52" s="67"/>
      <c r="T52" s="67"/>
      <c r="U52" s="67"/>
      <c r="V52" s="67"/>
      <c r="W52" s="70">
        <f>IFERROR(__xludf.DUMMYFUNCTION("""COMPUTED_VALUE"""),46249.06422788195)</f>
        <v>46249.06423</v>
      </c>
      <c r="X52" s="71">
        <f>IFERROR(__xludf.DUMMYFUNCTION("""COMPUTED_VALUE"""),1.5031376041650066)</f>
        <v>1.503137604</v>
      </c>
      <c r="Y52" s="72"/>
    </row>
    <row r="53">
      <c r="A53" s="67" t="str">
        <f>IFERROR(__xludf.DUMMYFUNCTION("""COMPUTED_VALUE"""),"NAP")</f>
        <v>NAP</v>
      </c>
      <c r="B53" s="67" t="str">
        <f>IFERROR(__xludf.DUMMYFUNCTION("""COMPUTED_VALUE"""),"August, 2026")</f>
        <v>August, 2026</v>
      </c>
      <c r="C53" s="68">
        <f>IFERROR(__xludf.DUMMYFUNCTION("""COMPUTED_VALUE"""),46245.0)</f>
        <v>46245</v>
      </c>
      <c r="D53" s="67" t="str">
        <f>IFERROR(__xludf.DUMMYFUNCTION("""COMPUTED_VALUE"""),"NUEVA_VIZCAYA")</f>
        <v>NUEVA_VIZCAYA</v>
      </c>
      <c r="E53" s="67" t="str">
        <f>IFERROR(__xludf.DUMMYFUNCTION("""COMPUTED_VALUE"""),"SOLANO")</f>
        <v>SOLANO</v>
      </c>
      <c r="F53" s="67" t="str">
        <f>IFERROR(__xludf.DUMMYFUNCTION("""COMPUTED_VALUE"""),"FOC-2026-08-11-000010105534")</f>
        <v>FOC-2026-08-11-000010105534</v>
      </c>
      <c r="G53" s="67"/>
      <c r="H53" s="67" t="str">
        <f>IFERROR(__xludf.DUMMYFUNCTION("""COMPUTED_VALUE"""),"FOC-2026-08-11-000010105534 | NUEVA_VIZCAYA | SOLANO | SA | NAP NO POWER | SLV001 LP98 NP3")</f>
        <v>FOC-2026-08-11-000010105534 | NUEVA_VIZCAYA | SOLANO | SA | NAP NO POWER | SLV001 LP98 NP3</v>
      </c>
      <c r="I53" s="67" t="str">
        <f>IFERROR(__xludf.DUMMYFUNCTION("""COMPUTED_VALUE"""),"SLV001 LP98 NP3")</f>
        <v>SLV001 LP98 NP3</v>
      </c>
      <c r="J53" s="67"/>
      <c r="K53" s="67" t="str">
        <f>IFERROR(__xludf.DUMMYFUNCTION("""COMPUTED_VALUE"""),"SA")</f>
        <v>SA</v>
      </c>
      <c r="L53" s="67" t="str">
        <f>IFERROR(__xludf.DUMMYFUNCTION("""COMPUTED_VALUE"""),"NAP NO POWER")</f>
        <v>NAP NO POWER</v>
      </c>
      <c r="M53" s="67" t="str">
        <f>IFERROR(__xludf.DUMMYFUNCTION("""COMPUTED_VALUE"""),"NLZ FIBER TEAM")</f>
        <v>NLZ FIBER TEAM</v>
      </c>
      <c r="N53" s="69">
        <f>IFERROR(__xludf.DUMMYFUNCTION("""COMPUTED_VALUE"""),46245.608206018514)</f>
        <v>46245.60821</v>
      </c>
      <c r="O53" s="69">
        <f>IFERROR(__xludf.DUMMYFUNCTION("""COMPUTED_VALUE"""),46245.608206018514)</f>
        <v>46245.60821</v>
      </c>
      <c r="P53" s="67"/>
      <c r="Q53" s="67"/>
      <c r="R53" s="67"/>
      <c r="S53" s="67"/>
      <c r="T53" s="67"/>
      <c r="U53" s="67"/>
      <c r="V53" s="67"/>
      <c r="W53" s="70">
        <f>IFERROR(__xludf.DUMMYFUNCTION("""COMPUTED_VALUE"""),46249.06422788195)</f>
        <v>46249.06423</v>
      </c>
      <c r="X53" s="71">
        <f>IFERROR(__xludf.DUMMYFUNCTION("""COMPUTED_VALUE"""),3.4560218634256565)</f>
        <v>3.456021863</v>
      </c>
      <c r="Y53" s="72"/>
    </row>
    <row r="54">
      <c r="A54" s="67" t="str">
        <f>IFERROR(__xludf.DUMMYFUNCTION("""COMPUTED_VALUE"""),"NAP")</f>
        <v>NAP</v>
      </c>
      <c r="B54" s="67" t="str">
        <f>IFERROR(__xludf.DUMMYFUNCTION("""COMPUTED_VALUE"""),"August, 2026")</f>
        <v>August, 2026</v>
      </c>
      <c r="C54" s="68">
        <f>IFERROR(__xludf.DUMMYFUNCTION("""COMPUTED_VALUE"""),46247.0)</f>
        <v>46247</v>
      </c>
      <c r="D54" s="67" t="str">
        <f>IFERROR(__xludf.DUMMYFUNCTION("""COMPUTED_VALUE"""),"NUEVA_VIZCAYA")</f>
        <v>NUEVA_VIZCAYA</v>
      </c>
      <c r="E54" s="67" t="str">
        <f>IFERROR(__xludf.DUMMYFUNCTION("""COMPUTED_VALUE"""),"SOLANO")</f>
        <v>SOLANO</v>
      </c>
      <c r="F54" s="67" t="str">
        <f>IFERROR(__xludf.DUMMYFUNCTION("""COMPUTED_VALUE"""),"FOC-2026-08-13-000010105616")</f>
        <v>FOC-2026-08-13-000010105616</v>
      </c>
      <c r="G54" s="67"/>
      <c r="H54" s="67" t="str">
        <f>IFERROR(__xludf.DUMMYFUNCTION("""COMPUTED_VALUE"""),"FOC-2026-08-13-000010105616 | NUEVA_VIZCAYA | SOLANO | SA | LCP DOWN | SLV001 LP98 NP3")</f>
        <v>FOC-2026-08-13-000010105616 | NUEVA_VIZCAYA | SOLANO | SA | LCP DOWN | SLV001 LP98 NP3</v>
      </c>
      <c r="I54" s="67" t="str">
        <f>IFERROR(__xludf.DUMMYFUNCTION("""COMPUTED_VALUE"""),"SLV001 LP98 NP3")</f>
        <v>SLV001 LP98 NP3</v>
      </c>
      <c r="J54" s="67"/>
      <c r="K54" s="67" t="str">
        <f>IFERROR(__xludf.DUMMYFUNCTION("""COMPUTED_VALUE"""),"SA")</f>
        <v>SA</v>
      </c>
      <c r="L54" s="67" t="str">
        <f>IFERROR(__xludf.DUMMYFUNCTION("""COMPUTED_VALUE"""),"LCP DOWN")</f>
        <v>LCP DOWN</v>
      </c>
      <c r="M54" s="67" t="str">
        <f>IFERROR(__xludf.DUMMYFUNCTION("""COMPUTED_VALUE"""),"GNOC")</f>
        <v>GNOC</v>
      </c>
      <c r="N54" s="69">
        <f>IFERROR(__xludf.DUMMYFUNCTION("""COMPUTED_VALUE"""),46247.6125)</f>
        <v>46247.6125</v>
      </c>
      <c r="O54" s="69">
        <f>IFERROR(__xludf.DUMMYFUNCTION("""COMPUTED_VALUE"""),46247.6125)</f>
        <v>46247.6125</v>
      </c>
      <c r="P54" s="67"/>
      <c r="Q54" s="67"/>
      <c r="R54" s="67"/>
      <c r="S54" s="67"/>
      <c r="T54" s="67"/>
      <c r="U54" s="67"/>
      <c r="V54" s="67"/>
      <c r="W54" s="70">
        <f>IFERROR(__xludf.DUMMYFUNCTION("""COMPUTED_VALUE"""),46249.06422788195)</f>
        <v>46249.06423</v>
      </c>
      <c r="X54" s="71">
        <f>IFERROR(__xludf.DUMMYFUNCTION("""COMPUTED_VALUE"""),1.4517278819444877)</f>
        <v>1.451727882</v>
      </c>
      <c r="Y54" s="72"/>
    </row>
    <row r="55">
      <c r="A55" s="67" t="str">
        <f>IFERROR(__xludf.DUMMYFUNCTION("""COMPUTED_VALUE"""),"NAP")</f>
        <v>NAP</v>
      </c>
      <c r="B55" s="67" t="str">
        <f>IFERROR(__xludf.DUMMYFUNCTION("""COMPUTED_VALUE"""),"August, 2026")</f>
        <v>August, 2026</v>
      </c>
      <c r="C55" s="68">
        <f>IFERROR(__xludf.DUMMYFUNCTION("""COMPUTED_VALUE"""),46248.0)</f>
        <v>46248</v>
      </c>
      <c r="D55" s="67" t="str">
        <f>IFERROR(__xludf.DUMMYFUNCTION("""COMPUTED_VALUE"""),"PANGASINAN")</f>
        <v>PANGASINAN</v>
      </c>
      <c r="E55" s="67" t="str">
        <f>IFERROR(__xludf.DUMMYFUNCTION("""COMPUTED_VALUE"""),"ALAMINOS")</f>
        <v>ALAMINOS</v>
      </c>
      <c r="F55" s="67" t="str">
        <f>IFERROR(__xludf.DUMMYFUNCTION("""COMPUTED_VALUE"""),"FOC-2026-08-14-000010105660")</f>
        <v>FOC-2026-08-14-000010105660</v>
      </c>
      <c r="G55" s="67"/>
      <c r="H55" s="67" t="str">
        <f>IFERROR(__xludf.DUMMYFUNCTION("""COMPUTED_VALUE"""),"FOC-2026-08-14-000010105660 | PANGASINAN | ALAMINOS | SA | NAP NO POWER | ASP001 LP41 NP4")</f>
        <v>FOC-2026-08-14-000010105660 | PANGASINAN | ALAMINOS | SA | NAP NO POWER | ASP001 LP41 NP4</v>
      </c>
      <c r="I55" s="67" t="str">
        <f>IFERROR(__xludf.DUMMYFUNCTION("""COMPUTED_VALUE"""),"ASP001 LP41 NP4")</f>
        <v>ASP001 LP41 NP4</v>
      </c>
      <c r="J55" s="67"/>
      <c r="K55" s="67" t="str">
        <f>IFERROR(__xludf.DUMMYFUNCTION("""COMPUTED_VALUE"""),"SA")</f>
        <v>SA</v>
      </c>
      <c r="L55" s="67" t="str">
        <f>IFERROR(__xludf.DUMMYFUNCTION("""COMPUTED_VALUE"""),"NAP NO POWER")</f>
        <v>NAP NO POWER</v>
      </c>
      <c r="M55" s="67" t="str">
        <f>IFERROR(__xludf.DUMMYFUNCTION("""COMPUTED_VALUE"""),"PANG. NDSI")</f>
        <v>PANG. NDSI</v>
      </c>
      <c r="N55" s="69">
        <f>IFERROR(__xludf.DUMMYFUNCTION("""COMPUTED_VALUE"""),46248.710849537034)</f>
        <v>46248.71085</v>
      </c>
      <c r="O55" s="69">
        <f>IFERROR(__xludf.DUMMYFUNCTION("""COMPUTED_VALUE"""),46248.71085354167)</f>
        <v>46248.71085</v>
      </c>
      <c r="P55" s="67"/>
      <c r="Q55" s="67"/>
      <c r="R55" s="67"/>
      <c r="S55" s="67"/>
      <c r="T55" s="67"/>
      <c r="U55" s="67"/>
      <c r="V55" s="67"/>
      <c r="W55" s="70">
        <f>IFERROR(__xludf.DUMMYFUNCTION("""COMPUTED_VALUE"""),46249.06422788195)</f>
        <v>46249.06423</v>
      </c>
      <c r="X55" s="71">
        <f>IFERROR(__xludf.DUMMYFUNCTION("""COMPUTED_VALUE"""),0.3533743402778425)</f>
        <v>0.3533743403</v>
      </c>
      <c r="Y55" s="72"/>
    </row>
    <row r="56">
      <c r="A56" s="67" t="str">
        <f>IFERROR(__xludf.DUMMYFUNCTION("""COMPUTED_VALUE"""),"NAP")</f>
        <v>NAP</v>
      </c>
      <c r="B56" s="67" t="str">
        <f>IFERROR(__xludf.DUMMYFUNCTION("""COMPUTED_VALUE"""),"August, 2026")</f>
        <v>August, 2026</v>
      </c>
      <c r="C56" s="68">
        <f>IFERROR(__xludf.DUMMYFUNCTION("""COMPUTED_VALUE"""),46241.0)</f>
        <v>46241</v>
      </c>
      <c r="D56" s="67" t="str">
        <f>IFERROR(__xludf.DUMMYFUNCTION("""COMPUTED_VALUE"""),"PANGASINAN")</f>
        <v>PANGASINAN</v>
      </c>
      <c r="E56" s="67" t="str">
        <f>IFERROR(__xludf.DUMMYFUNCTION("""COMPUTED_VALUE"""),"BAYAMBANG")</f>
        <v>BAYAMBANG</v>
      </c>
      <c r="F56" s="67" t="str">
        <f>IFERROR(__xludf.DUMMYFUNCTION("""COMPUTED_VALUE"""),"FOC-2026-08-07-000010105449")</f>
        <v>FOC-2026-08-07-000010105449</v>
      </c>
      <c r="G56" s="67"/>
      <c r="H56" s="67" t="str">
        <f>IFERROR(__xludf.DUMMYFUNCTION("""COMPUTED_VALUE"""),"FOC-2026-08-07-000010105449 | PANGASINAN | BAYAMBANG | SA | LOW POWER | BMP001 LP124 NP07")</f>
        <v>FOC-2026-08-07-000010105449 | PANGASINAN | BAYAMBANG | SA | LOW POWER | BMP001 LP124 NP07</v>
      </c>
      <c r="I56" s="67" t="str">
        <f>IFERROR(__xludf.DUMMYFUNCTION("""COMPUTED_VALUE"""),"BMP001 LP124 NP07")</f>
        <v>BMP001 LP124 NP07</v>
      </c>
      <c r="J56" s="67"/>
      <c r="K56" s="67" t="str">
        <f>IFERROR(__xludf.DUMMYFUNCTION("""COMPUTED_VALUE"""),"SA")</f>
        <v>SA</v>
      </c>
      <c r="L56" s="67" t="str">
        <f>IFERROR(__xludf.DUMMYFUNCTION("""COMPUTED_VALUE"""),"LOW POWER")</f>
        <v>LOW POWER</v>
      </c>
      <c r="M56" s="67" t="str">
        <f>IFERROR(__xludf.DUMMYFUNCTION("""COMPUTED_VALUE"""),"JK2L2 BIDA FIBER")</f>
        <v>JK2L2 BIDA FIBER</v>
      </c>
      <c r="N56" s="69">
        <f>IFERROR(__xludf.DUMMYFUNCTION("""COMPUTED_VALUE"""),46241.68373738426)</f>
        <v>46241.68374</v>
      </c>
      <c r="O56" s="69">
        <f>IFERROR(__xludf.DUMMYFUNCTION("""COMPUTED_VALUE"""),46241.683741493056)</f>
        <v>46241.68374</v>
      </c>
      <c r="P56" s="67"/>
      <c r="Q56" s="67"/>
      <c r="R56" s="67"/>
      <c r="S56" s="67"/>
      <c r="T56" s="67"/>
      <c r="U56" s="67"/>
      <c r="V56" s="67"/>
      <c r="W56" s="70">
        <f>IFERROR(__xludf.DUMMYFUNCTION("""COMPUTED_VALUE"""),46249.06422788195)</f>
        <v>46249.06423</v>
      </c>
      <c r="X56" s="71">
        <f>IFERROR(__xludf.DUMMYFUNCTION("""COMPUTED_VALUE"""),7.380486388887126)</f>
        <v>7.380486389</v>
      </c>
      <c r="Y56" s="72"/>
    </row>
    <row r="57">
      <c r="A57" s="67" t="str">
        <f>IFERROR(__xludf.DUMMYFUNCTION("""COMPUTED_VALUE"""),"NAP")</f>
        <v>NAP</v>
      </c>
      <c r="B57" s="67" t="str">
        <f>IFERROR(__xludf.DUMMYFUNCTION("""COMPUTED_VALUE"""),"August, 2026")</f>
        <v>August, 2026</v>
      </c>
      <c r="C57" s="68">
        <f>IFERROR(__xludf.DUMMYFUNCTION("""COMPUTED_VALUE"""),46244.0)</f>
        <v>46244</v>
      </c>
      <c r="D57" s="67" t="str">
        <f>IFERROR(__xludf.DUMMYFUNCTION("""COMPUTED_VALUE"""),"PANGASINAN")</f>
        <v>PANGASINAN</v>
      </c>
      <c r="E57" s="67" t="str">
        <f>IFERROR(__xludf.DUMMYFUNCTION("""COMPUTED_VALUE"""),"BAYAMBANG")</f>
        <v>BAYAMBANG</v>
      </c>
      <c r="F57" s="67" t="str">
        <f>IFERROR(__xludf.DUMMYFUNCTION("""COMPUTED_VALUE"""),"FOC-2026-08-10-000010105500")</f>
        <v>FOC-2026-08-10-000010105500</v>
      </c>
      <c r="G57" s="67"/>
      <c r="H57" s="67" t="str">
        <f>IFERROR(__xludf.DUMMYFUNCTION("""COMPUTED_VALUE"""),"FOC-2026-08-10-000010105500 | PANGASINAN | BAYAMBANG | SA | NAP NO POWER | BMP001 LP126 NP3")</f>
        <v>FOC-2026-08-10-000010105500 | PANGASINAN | BAYAMBANG | SA | NAP NO POWER | BMP001 LP126 NP3</v>
      </c>
      <c r="I57" s="67" t="str">
        <f>IFERROR(__xludf.DUMMYFUNCTION("""COMPUTED_VALUE"""),"BMP001 LP126 NP3")</f>
        <v>BMP001 LP126 NP3</v>
      </c>
      <c r="J57" s="67"/>
      <c r="K57" s="67" t="str">
        <f>IFERROR(__xludf.DUMMYFUNCTION("""COMPUTED_VALUE"""),"SA")</f>
        <v>SA</v>
      </c>
      <c r="L57" s="67" t="str">
        <f>IFERROR(__xludf.DUMMYFUNCTION("""COMPUTED_VALUE"""),"NAP NO POWER")</f>
        <v>NAP NO POWER</v>
      </c>
      <c r="M57" s="67" t="str">
        <f>IFERROR(__xludf.DUMMYFUNCTION("""COMPUTED_VALUE"""),"JK2L2 BIDA FIBER")</f>
        <v>JK2L2 BIDA FIBER</v>
      </c>
      <c r="N57" s="69">
        <f>IFERROR(__xludf.DUMMYFUNCTION("""COMPUTED_VALUE"""),46244.56471064815)</f>
        <v>46244.56471</v>
      </c>
      <c r="O57" s="69">
        <f>IFERROR(__xludf.DUMMYFUNCTION("""COMPUTED_VALUE"""),46244.56471064815)</f>
        <v>46244.56471</v>
      </c>
      <c r="P57" s="67"/>
      <c r="Q57" s="67"/>
      <c r="R57" s="67"/>
      <c r="S57" s="67"/>
      <c r="T57" s="67"/>
      <c r="U57" s="67"/>
      <c r="V57" s="67"/>
      <c r="W57" s="70">
        <f>IFERROR(__xludf.DUMMYFUNCTION("""COMPUTED_VALUE"""),46249.06422788195)</f>
        <v>46249.06423</v>
      </c>
      <c r="X57" s="71">
        <f>IFERROR(__xludf.DUMMYFUNCTION("""COMPUTED_VALUE"""),4.499517233795439)</f>
        <v>4.499517234</v>
      </c>
      <c r="Y57" s="72"/>
    </row>
    <row r="58">
      <c r="A58" s="67" t="str">
        <f>IFERROR(__xludf.DUMMYFUNCTION("""COMPUTED_VALUE"""),"NAP")</f>
        <v>NAP</v>
      </c>
      <c r="B58" s="67" t="str">
        <f>IFERROR(__xludf.DUMMYFUNCTION("""COMPUTED_VALUE"""),"August, 2026")</f>
        <v>August, 2026</v>
      </c>
      <c r="C58" s="68">
        <f>IFERROR(__xludf.DUMMYFUNCTION("""COMPUTED_VALUE"""),46248.0)</f>
        <v>46248</v>
      </c>
      <c r="D58" s="67" t="str">
        <f>IFERROR(__xludf.DUMMYFUNCTION("""COMPUTED_VALUE"""),"PANGASINAN")</f>
        <v>PANGASINAN</v>
      </c>
      <c r="E58" s="67" t="str">
        <f>IFERROR(__xludf.DUMMYFUNCTION("""COMPUTED_VALUE"""),"BAYMABANG")</f>
        <v>BAYMABANG</v>
      </c>
      <c r="F58" s="67" t="str">
        <f>IFERROR(__xludf.DUMMYFUNCTION("""COMPUTED_VALUE"""),"FOC-2026-08-14-000010105661")</f>
        <v>FOC-2026-08-14-000010105661</v>
      </c>
      <c r="G58" s="67"/>
      <c r="H58" s="67" t="str">
        <f>IFERROR(__xludf.DUMMYFUNCTION("""COMPUTED_VALUE"""),"FOC-2026-08-14-000010105661 | PANGASINAN | BAYMABANG | SA | NAP NO POWER | BMP001 LP126 NP6")</f>
        <v>FOC-2026-08-14-000010105661 | PANGASINAN | BAYMABANG | SA | NAP NO POWER | BMP001 LP126 NP6</v>
      </c>
      <c r="I58" s="67" t="str">
        <f>IFERROR(__xludf.DUMMYFUNCTION("""COMPUTED_VALUE"""),"BMP001 LP126 NP6")</f>
        <v>BMP001 LP126 NP6</v>
      </c>
      <c r="J58" s="67"/>
      <c r="K58" s="67" t="str">
        <f>IFERROR(__xludf.DUMMYFUNCTION("""COMPUTED_VALUE"""),"SA")</f>
        <v>SA</v>
      </c>
      <c r="L58" s="67" t="str">
        <f>IFERROR(__xludf.DUMMYFUNCTION("""COMPUTED_VALUE"""),"NAP NO POWER")</f>
        <v>NAP NO POWER</v>
      </c>
      <c r="M58" s="67" t="str">
        <f>IFERROR(__xludf.DUMMYFUNCTION("""COMPUTED_VALUE"""),"PANG. NDSI")</f>
        <v>PANG. NDSI</v>
      </c>
      <c r="N58" s="69">
        <f>IFERROR(__xludf.DUMMYFUNCTION("""COMPUTED_VALUE"""),46248.710849537034)</f>
        <v>46248.71085</v>
      </c>
      <c r="O58" s="69">
        <f>IFERROR(__xludf.DUMMYFUNCTION("""COMPUTED_VALUE"""),46248.71085354167)</f>
        <v>46248.71085</v>
      </c>
      <c r="P58" s="67"/>
      <c r="Q58" s="67"/>
      <c r="R58" s="67"/>
      <c r="S58" s="67"/>
      <c r="T58" s="67"/>
      <c r="U58" s="67"/>
      <c r="V58" s="67"/>
      <c r="W58" s="70">
        <f>IFERROR(__xludf.DUMMYFUNCTION("""COMPUTED_VALUE"""),46249.06422788195)</f>
        <v>46249.06423</v>
      </c>
      <c r="X58" s="71">
        <f>IFERROR(__xludf.DUMMYFUNCTION("""COMPUTED_VALUE"""),0.3533743402778425)</f>
        <v>0.3533743403</v>
      </c>
      <c r="Y58" s="72"/>
    </row>
    <row r="59">
      <c r="A59" s="67" t="str">
        <f>IFERROR(__xludf.DUMMYFUNCTION("""COMPUTED_VALUE"""),"NAP")</f>
        <v>NAP</v>
      </c>
      <c r="B59" s="67" t="str">
        <f>IFERROR(__xludf.DUMMYFUNCTION("""COMPUTED_VALUE"""),"August, 2026")</f>
        <v>August, 2026</v>
      </c>
      <c r="C59" s="68">
        <f>IFERROR(__xludf.DUMMYFUNCTION("""COMPUTED_VALUE"""),46238.0)</f>
        <v>46238</v>
      </c>
      <c r="D59" s="67" t="str">
        <f>IFERROR(__xludf.DUMMYFUNCTION("""COMPUTED_VALUE"""),"PANGASINAN")</f>
        <v>PANGASINAN</v>
      </c>
      <c r="E59" s="67" t="str">
        <f>IFERROR(__xludf.DUMMYFUNCTION("""COMPUTED_VALUE"""),"DAGUPAN")</f>
        <v>DAGUPAN</v>
      </c>
      <c r="F59" s="67" t="str">
        <f>IFERROR(__xludf.DUMMYFUNCTION("""COMPUTED_VALUE"""),"FOC-2026-08-04-000010105345")</f>
        <v>FOC-2026-08-04-000010105345</v>
      </c>
      <c r="G59" s="67"/>
      <c r="H59" s="67" t="str">
        <f>IFERROR(__xludf.DUMMYFUNCTION("""COMPUTED_VALUE"""),"FOC-2026-08-04-000010105345 | PANGASINAN | DAGUPAN | SA | NAP NO POWER | DGP001 LP164 NP7")</f>
        <v>FOC-2026-08-04-000010105345 | PANGASINAN | DAGUPAN | SA | NAP NO POWER | DGP001 LP164 NP7</v>
      </c>
      <c r="I59" s="67" t="str">
        <f>IFERROR(__xludf.DUMMYFUNCTION("""COMPUTED_VALUE"""),"DGP001 LP164 NP7")</f>
        <v>DGP001 LP164 NP7</v>
      </c>
      <c r="J59" s="67"/>
      <c r="K59" s="67" t="str">
        <f>IFERROR(__xludf.DUMMYFUNCTION("""COMPUTED_VALUE"""),"SA")</f>
        <v>SA</v>
      </c>
      <c r="L59" s="67" t="str">
        <f>IFERROR(__xludf.DUMMYFUNCTION("""COMPUTED_VALUE"""),"NAP NO POWER")</f>
        <v>NAP NO POWER</v>
      </c>
      <c r="M59" s="67" t="str">
        <f>IFERROR(__xludf.DUMMYFUNCTION("""COMPUTED_VALUE"""),"PANG. NDSI")</f>
        <v>PANG. NDSI</v>
      </c>
      <c r="N59" s="69">
        <f>IFERROR(__xludf.DUMMYFUNCTION("""COMPUTED_VALUE"""),46238.61965277778)</f>
        <v>46238.61965</v>
      </c>
      <c r="O59" s="69">
        <f>IFERROR(__xludf.DUMMYFUNCTION("""COMPUTED_VALUE"""),46238.61965277778)</f>
        <v>46238.61965</v>
      </c>
      <c r="P59" s="67"/>
      <c r="Q59" s="67"/>
      <c r="R59" s="67"/>
      <c r="S59" s="67"/>
      <c r="T59" s="67"/>
      <c r="U59" s="67"/>
      <c r="V59" s="67"/>
      <c r="W59" s="70">
        <f>IFERROR(__xludf.DUMMYFUNCTION("""COMPUTED_VALUE"""),46249.06422788195)</f>
        <v>46249.06423</v>
      </c>
      <c r="X59" s="71">
        <f>IFERROR(__xludf.DUMMYFUNCTION("""COMPUTED_VALUE"""),10.444575104168132)</f>
        <v>10.4445751</v>
      </c>
      <c r="Y59" s="72"/>
    </row>
    <row r="60">
      <c r="A60" s="67" t="str">
        <f>IFERROR(__xludf.DUMMYFUNCTION("""COMPUTED_VALUE"""),"NAP")</f>
        <v>NAP</v>
      </c>
      <c r="B60" s="67" t="str">
        <f>IFERROR(__xludf.DUMMYFUNCTION("""COMPUTED_VALUE"""),"August, 2026")</f>
        <v>August, 2026</v>
      </c>
      <c r="C60" s="68">
        <f>IFERROR(__xludf.DUMMYFUNCTION("""COMPUTED_VALUE"""),46238.0)</f>
        <v>46238</v>
      </c>
      <c r="D60" s="67" t="str">
        <f>IFERROR(__xludf.DUMMYFUNCTION("""COMPUTED_VALUE"""),"PANGASINAN")</f>
        <v>PANGASINAN</v>
      </c>
      <c r="E60" s="67" t="str">
        <f>IFERROR(__xludf.DUMMYFUNCTION("""COMPUTED_VALUE"""),"DAGUPAN")</f>
        <v>DAGUPAN</v>
      </c>
      <c r="F60" s="67" t="str">
        <f>IFERROR(__xludf.DUMMYFUNCTION("""COMPUTED_VALUE"""),"FOC-2026-08-04-000010105348")</f>
        <v>FOC-2026-08-04-000010105348</v>
      </c>
      <c r="G60" s="67"/>
      <c r="H60" s="67" t="str">
        <f>IFERROR(__xludf.DUMMYFUNCTION("""COMPUTED_VALUE"""),"FOC-2026-08-04-000010105348 | PANGASINAN | DAGUPAN | SA | NAP NO POWER | DGP001 LP174 NP5")</f>
        <v>FOC-2026-08-04-000010105348 | PANGASINAN | DAGUPAN | SA | NAP NO POWER | DGP001 LP174 NP5</v>
      </c>
      <c r="I60" s="67" t="str">
        <f>IFERROR(__xludf.DUMMYFUNCTION("""COMPUTED_VALUE"""),"DGP001 LP174 NP5")</f>
        <v>DGP001 LP174 NP5</v>
      </c>
      <c r="J60" s="67"/>
      <c r="K60" s="67" t="str">
        <f>IFERROR(__xludf.DUMMYFUNCTION("""COMPUTED_VALUE"""),"SA")</f>
        <v>SA</v>
      </c>
      <c r="L60" s="67" t="str">
        <f>IFERROR(__xludf.DUMMYFUNCTION("""COMPUTED_VALUE"""),"NAP NO POWER")</f>
        <v>NAP NO POWER</v>
      </c>
      <c r="M60" s="67" t="str">
        <f>IFERROR(__xludf.DUMMYFUNCTION("""COMPUTED_VALUE"""),"NLZ FIBER TEAM")</f>
        <v>NLZ FIBER TEAM</v>
      </c>
      <c r="N60" s="69">
        <f>IFERROR(__xludf.DUMMYFUNCTION("""COMPUTED_VALUE"""),46238.621041666665)</f>
        <v>46238.62104</v>
      </c>
      <c r="O60" s="69">
        <f>IFERROR(__xludf.DUMMYFUNCTION("""COMPUTED_VALUE"""),46238.621041666665)</f>
        <v>46238.62104</v>
      </c>
      <c r="P60" s="67"/>
      <c r="Q60" s="67"/>
      <c r="R60" s="67"/>
      <c r="S60" s="67"/>
      <c r="T60" s="67"/>
      <c r="U60" s="67"/>
      <c r="V60" s="67"/>
      <c r="W60" s="70">
        <f>IFERROR(__xludf.DUMMYFUNCTION("""COMPUTED_VALUE"""),46249.06422788195)</f>
        <v>46249.06423</v>
      </c>
      <c r="X60" s="71">
        <f>IFERROR(__xludf.DUMMYFUNCTION("""COMPUTED_VALUE"""),10.443186215278354)</f>
        <v>10.44318622</v>
      </c>
      <c r="Y60" s="72"/>
    </row>
    <row r="61">
      <c r="A61" s="67" t="str">
        <f>IFERROR(__xludf.DUMMYFUNCTION("""COMPUTED_VALUE"""),"NAP")</f>
        <v>NAP</v>
      </c>
      <c r="B61" s="67" t="str">
        <f>IFERROR(__xludf.DUMMYFUNCTION("""COMPUTED_VALUE"""),"August, 2026")</f>
        <v>August, 2026</v>
      </c>
      <c r="C61" s="68">
        <f>IFERROR(__xludf.DUMMYFUNCTION("""COMPUTED_VALUE"""),46247.0)</f>
        <v>46247</v>
      </c>
      <c r="D61" s="67" t="str">
        <f>IFERROR(__xludf.DUMMYFUNCTION("""COMPUTED_VALUE"""),"PANGASINAN")</f>
        <v>PANGASINAN</v>
      </c>
      <c r="E61" s="67" t="str">
        <f>IFERROR(__xludf.DUMMYFUNCTION("""COMPUTED_VALUE"""),"LINGAYEN")</f>
        <v>LINGAYEN</v>
      </c>
      <c r="F61" s="67" t="str">
        <f>IFERROR(__xludf.DUMMYFUNCTION("""COMPUTED_VALUE"""),"FOC-2026-08-13-000010105601")</f>
        <v>FOC-2026-08-13-000010105601</v>
      </c>
      <c r="G61" s="67"/>
      <c r="H61" s="67" t="str">
        <f>IFERROR(__xludf.DUMMYFUNCTION("""COMPUTED_VALUE"""),"FOC-2026-08-13-000010105601 | PANGASINAN | LINGAYEN | SA | NAP NO POWER | LNP001 LP51 NP8")</f>
        <v>FOC-2026-08-13-000010105601 | PANGASINAN | LINGAYEN | SA | NAP NO POWER | LNP001 LP51 NP8</v>
      </c>
      <c r="I61" s="67" t="str">
        <f>IFERROR(__xludf.DUMMYFUNCTION("""COMPUTED_VALUE"""),"LNP001 LP51 NP8")</f>
        <v>LNP001 LP51 NP8</v>
      </c>
      <c r="J61" s="67"/>
      <c r="K61" s="67" t="str">
        <f>IFERROR(__xludf.DUMMYFUNCTION("""COMPUTED_VALUE"""),"SA")</f>
        <v>SA</v>
      </c>
      <c r="L61" s="67" t="str">
        <f>IFERROR(__xludf.DUMMYFUNCTION("""COMPUTED_VALUE"""),"NAP NO POWER")</f>
        <v>NAP NO POWER</v>
      </c>
      <c r="M61" s="67" t="str">
        <f>IFERROR(__xludf.DUMMYFUNCTION("""COMPUTED_VALUE"""),"GNOC")</f>
        <v>GNOC</v>
      </c>
      <c r="N61" s="69">
        <f>IFERROR(__xludf.DUMMYFUNCTION("""COMPUTED_VALUE"""),46247.561090277784)</f>
        <v>46247.56109</v>
      </c>
      <c r="O61" s="69">
        <f>IFERROR(__xludf.DUMMYFUNCTION("""COMPUTED_VALUE"""),46247.561090277784)</f>
        <v>46247.56109</v>
      </c>
      <c r="P61" s="67"/>
      <c r="Q61" s="67"/>
      <c r="R61" s="67"/>
      <c r="S61" s="67"/>
      <c r="T61" s="67"/>
      <c r="U61" s="67"/>
      <c r="V61" s="67"/>
      <c r="W61" s="70">
        <f>IFERROR(__xludf.DUMMYFUNCTION("""COMPUTED_VALUE"""),46249.06422788195)</f>
        <v>46249.06423</v>
      </c>
      <c r="X61" s="71">
        <f>IFERROR(__xludf.DUMMYFUNCTION("""COMPUTED_VALUE"""),1.5031376041650066)</f>
        <v>1.503137604</v>
      </c>
      <c r="Y61" s="72"/>
    </row>
    <row r="62">
      <c r="A62" s="67" t="str">
        <f>IFERROR(__xludf.DUMMYFUNCTION("""COMPUTED_VALUE"""),"NAP")</f>
        <v>NAP</v>
      </c>
      <c r="B62" s="67" t="str">
        <f>IFERROR(__xludf.DUMMYFUNCTION("""COMPUTED_VALUE"""),"August, 2026")</f>
        <v>August, 2026</v>
      </c>
      <c r="C62" s="68">
        <f>IFERROR(__xludf.DUMMYFUNCTION("""COMPUTED_VALUE"""),46244.0)</f>
        <v>46244</v>
      </c>
      <c r="D62" s="67" t="str">
        <f>IFERROR(__xludf.DUMMYFUNCTION("""COMPUTED_VALUE"""),"PANGASINAN")</f>
        <v>PANGASINAN</v>
      </c>
      <c r="E62" s="67" t="str">
        <f>IFERROR(__xludf.DUMMYFUNCTION("""COMPUTED_VALUE"""),"MANGATAREM")</f>
        <v>MANGATAREM</v>
      </c>
      <c r="F62" s="67" t="str">
        <f>IFERROR(__xludf.DUMMYFUNCTION("""COMPUTED_VALUE"""),"TT-20260809-00000412")</f>
        <v>TT-20260809-00000412</v>
      </c>
      <c r="G62" s="67"/>
      <c r="H62" s="67" t="str">
        <f>IFERROR(__xludf.DUMMYFUNCTION("""COMPUTED_VALUE"""),"TT-20260809-00000412 | PANGASINAN | MANGATAREM | SA | NAP NO POWER | MMP001 LP46 NP4-5, 6")</f>
        <v>TT-20260809-00000412 | PANGASINAN | MANGATAREM | SA | NAP NO POWER | MMP001 LP46 NP4-5, 6</v>
      </c>
      <c r="I62" s="67" t="str">
        <f>IFERROR(__xludf.DUMMYFUNCTION("""COMPUTED_VALUE"""),"MMP001 LP46 NP4-5, 6")</f>
        <v>MMP001 LP46 NP4-5, 6</v>
      </c>
      <c r="J62" s="67"/>
      <c r="K62" s="67" t="str">
        <f>IFERROR(__xludf.DUMMYFUNCTION("""COMPUTED_VALUE"""),"SA")</f>
        <v>SA</v>
      </c>
      <c r="L62" s="67" t="str">
        <f>IFERROR(__xludf.DUMMYFUNCTION("""COMPUTED_VALUE"""),"NAP NO POWER")</f>
        <v>NAP NO POWER</v>
      </c>
      <c r="M62" s="67" t="str">
        <f>IFERROR(__xludf.DUMMYFUNCTION("""COMPUTED_VALUE"""),"PANG. NDSI")</f>
        <v>PANG. NDSI</v>
      </c>
      <c r="N62" s="69">
        <f>IFERROR(__xludf.DUMMYFUNCTION("""COMPUTED_VALUE"""),46244.40105324074)</f>
        <v>46244.40105</v>
      </c>
      <c r="O62" s="69">
        <f>IFERROR(__xludf.DUMMYFUNCTION("""COMPUTED_VALUE"""),46244.40105324074)</f>
        <v>46244.40105</v>
      </c>
      <c r="P62" s="67"/>
      <c r="Q62" s="67"/>
      <c r="R62" s="67"/>
      <c r="S62" s="67"/>
      <c r="T62" s="67"/>
      <c r="U62" s="67"/>
      <c r="V62" s="67"/>
      <c r="W62" s="70">
        <f>IFERROR(__xludf.DUMMYFUNCTION("""COMPUTED_VALUE"""),46249.06422788195)</f>
        <v>46249.06423</v>
      </c>
      <c r="X62" s="71">
        <f>IFERROR(__xludf.DUMMYFUNCTION("""COMPUTED_VALUE"""),4.663174641202739)</f>
        <v>4.663174641</v>
      </c>
      <c r="Y62" s="72"/>
    </row>
    <row r="63">
      <c r="A63" s="67" t="str">
        <f>IFERROR(__xludf.DUMMYFUNCTION("""COMPUTED_VALUE"""),"NAP")</f>
        <v>NAP</v>
      </c>
      <c r="B63" s="67" t="str">
        <f>IFERROR(__xludf.DUMMYFUNCTION("""COMPUTED_VALUE"""),"August, 2026")</f>
        <v>August, 2026</v>
      </c>
      <c r="C63" s="68">
        <f>IFERROR(__xludf.DUMMYFUNCTION("""COMPUTED_VALUE"""),46248.0)</f>
        <v>46248</v>
      </c>
      <c r="D63" s="67" t="str">
        <f>IFERROR(__xludf.DUMMYFUNCTION("""COMPUTED_VALUE"""),"PANGASINAN")</f>
        <v>PANGASINAN</v>
      </c>
      <c r="E63" s="67" t="str">
        <f>IFERROR(__xludf.DUMMYFUNCTION("""COMPUTED_VALUE"""),"SAN CARLOS")</f>
        <v>SAN CARLOS</v>
      </c>
      <c r="F63" s="67" t="str">
        <f>IFERROR(__xludf.DUMMYFUNCTION("""COMPUTED_VALUE"""),"FOC-2026-08-14-000010105632")</f>
        <v>FOC-2026-08-14-000010105632</v>
      </c>
      <c r="G63" s="67"/>
      <c r="H63" s="67" t="str">
        <f>IFERROR(__xludf.DUMMYFUNCTION("""COMPUTED_VALUE"""),"FOC-2026-08-14-000010105632 | PANGASINAN | SAN CARLOS | SA | NAP NO POWER | SCP001 LP199 NP2 AND NP5")</f>
        <v>FOC-2026-08-14-000010105632 | PANGASINAN | SAN CARLOS | SA | NAP NO POWER | SCP001 LP199 NP2 AND NP5</v>
      </c>
      <c r="I63" s="67" t="str">
        <f>IFERROR(__xludf.DUMMYFUNCTION("""COMPUTED_VALUE"""),"SCP001 LP199 NP2 AND NP5")</f>
        <v>SCP001 LP199 NP2 AND NP5</v>
      </c>
      <c r="J63" s="67"/>
      <c r="K63" s="67" t="str">
        <f>IFERROR(__xludf.DUMMYFUNCTION("""COMPUTED_VALUE"""),"SA")</f>
        <v>SA</v>
      </c>
      <c r="L63" s="67" t="str">
        <f>IFERROR(__xludf.DUMMYFUNCTION("""COMPUTED_VALUE"""),"NAP NO POWER")</f>
        <v>NAP NO POWER</v>
      </c>
      <c r="M63" s="67" t="str">
        <f>IFERROR(__xludf.DUMMYFUNCTION("""COMPUTED_VALUE"""),"NLZ FIBER TEAM")</f>
        <v>NLZ FIBER TEAM</v>
      </c>
      <c r="N63" s="69">
        <f>IFERROR(__xludf.DUMMYFUNCTION("""COMPUTED_VALUE"""),46248.415191354165)</f>
        <v>46248.41519</v>
      </c>
      <c r="O63" s="69">
        <f>IFERROR(__xludf.DUMMYFUNCTION("""COMPUTED_VALUE"""),46248.415191354165)</f>
        <v>46248.41519</v>
      </c>
      <c r="P63" s="67"/>
      <c r="Q63" s="67"/>
      <c r="R63" s="67"/>
      <c r="S63" s="67"/>
      <c r="T63" s="67"/>
      <c r="U63" s="67"/>
      <c r="V63" s="67"/>
      <c r="W63" s="70">
        <f>IFERROR(__xludf.DUMMYFUNCTION("""COMPUTED_VALUE"""),46249.06422788195)</f>
        <v>46249.06423</v>
      </c>
      <c r="X63" s="71">
        <f>IFERROR(__xludf.DUMMYFUNCTION("""COMPUTED_VALUE"""),0.6490365277775191)</f>
        <v>0.6490365278</v>
      </c>
      <c r="Y63" s="72"/>
    </row>
    <row r="64">
      <c r="A64" s="67" t="str">
        <f>IFERROR(__xludf.DUMMYFUNCTION("""COMPUTED_VALUE"""),"NAP")</f>
        <v>NAP</v>
      </c>
      <c r="B64" s="67" t="str">
        <f>IFERROR(__xludf.DUMMYFUNCTION("""COMPUTED_VALUE"""),"August, 2026")</f>
        <v>August, 2026</v>
      </c>
      <c r="C64" s="68">
        <f>IFERROR(__xludf.DUMMYFUNCTION("""COMPUTED_VALUE"""),46245.0)</f>
        <v>46245</v>
      </c>
      <c r="D64" s="67" t="str">
        <f>IFERROR(__xludf.DUMMYFUNCTION("""COMPUTED_VALUE"""),"PANGASINAN")</f>
        <v>PANGASINAN</v>
      </c>
      <c r="E64" s="67" t="str">
        <f>IFERROR(__xludf.DUMMYFUNCTION("""COMPUTED_VALUE"""),"SAN CARLOS")</f>
        <v>SAN CARLOS</v>
      </c>
      <c r="F64" s="67" t="str">
        <f>IFERROR(__xludf.DUMMYFUNCTION("""COMPUTED_VALUE"""),"FOC-2026-08-11-000010105547")</f>
        <v>FOC-2026-08-11-000010105547</v>
      </c>
      <c r="G64" s="67"/>
      <c r="H64" s="67" t="str">
        <f>IFERROR(__xludf.DUMMYFUNCTION("""COMPUTED_VALUE"""),"FOC-2026-08-11-000010105547 | PANGASINAN | SAN CARLOS | SA | NAP NO POWER | SCP001 LP199 NP3")</f>
        <v>FOC-2026-08-11-000010105547 | PANGASINAN | SAN CARLOS | SA | NAP NO POWER | SCP001 LP199 NP3</v>
      </c>
      <c r="I64" s="67" t="str">
        <f>IFERROR(__xludf.DUMMYFUNCTION("""COMPUTED_VALUE"""),"SCP001 LP199 NP3")</f>
        <v>SCP001 LP199 NP3</v>
      </c>
      <c r="J64" s="67"/>
      <c r="K64" s="67" t="str">
        <f>IFERROR(__xludf.DUMMYFUNCTION("""COMPUTED_VALUE"""),"SA")</f>
        <v>SA</v>
      </c>
      <c r="L64" s="67" t="str">
        <f>IFERROR(__xludf.DUMMYFUNCTION("""COMPUTED_VALUE"""),"NAP NO POWER")</f>
        <v>NAP NO POWER</v>
      </c>
      <c r="M64" s="67" t="str">
        <f>IFERROR(__xludf.DUMMYFUNCTION("""COMPUTED_VALUE"""),"PANG. NDSI")</f>
        <v>PANG. NDSI</v>
      </c>
      <c r="N64" s="69">
        <f>IFERROR(__xludf.DUMMYFUNCTION("""COMPUTED_VALUE"""),46245.715844907405)</f>
        <v>46245.71584</v>
      </c>
      <c r="O64" s="69">
        <f>IFERROR(__xludf.DUMMYFUNCTION("""COMPUTED_VALUE"""),46245.715844907405)</f>
        <v>46245.71584</v>
      </c>
      <c r="P64" s="67"/>
      <c r="Q64" s="67"/>
      <c r="R64" s="67"/>
      <c r="S64" s="67"/>
      <c r="T64" s="67"/>
      <c r="U64" s="67"/>
      <c r="V64" s="67"/>
      <c r="W64" s="70">
        <f>IFERROR(__xludf.DUMMYFUNCTION("""COMPUTED_VALUE"""),46249.06422788195)</f>
        <v>46249.06423</v>
      </c>
      <c r="X64" s="71">
        <f>IFERROR(__xludf.DUMMYFUNCTION("""COMPUTED_VALUE"""),3.3483829745387887)</f>
        <v>3.348382975</v>
      </c>
      <c r="Y64" s="72"/>
    </row>
    <row r="65">
      <c r="A65" s="67" t="str">
        <f>IFERROR(__xludf.DUMMYFUNCTION("""COMPUTED_VALUE"""),"NAP")</f>
        <v>NAP</v>
      </c>
      <c r="B65" s="67" t="str">
        <f>IFERROR(__xludf.DUMMYFUNCTION("""COMPUTED_VALUE"""),"August, 2026")</f>
        <v>August, 2026</v>
      </c>
      <c r="C65" s="68">
        <f>IFERROR(__xludf.DUMMYFUNCTION("""COMPUTED_VALUE"""),46245.0)</f>
        <v>46245</v>
      </c>
      <c r="D65" s="67" t="str">
        <f>IFERROR(__xludf.DUMMYFUNCTION("""COMPUTED_VALUE"""),"PANGASINAN")</f>
        <v>PANGASINAN</v>
      </c>
      <c r="E65" s="67" t="str">
        <f>IFERROR(__xludf.DUMMYFUNCTION("""COMPUTED_VALUE"""),"SAN CARLOS")</f>
        <v>SAN CARLOS</v>
      </c>
      <c r="F65" s="67" t="str">
        <f>IFERROR(__xludf.DUMMYFUNCTION("""COMPUTED_VALUE"""),"FOC-2026-08-11-000010105544")</f>
        <v>FOC-2026-08-11-000010105544</v>
      </c>
      <c r="G65" s="67"/>
      <c r="H65" s="67" t="str">
        <f>IFERROR(__xludf.DUMMYFUNCTION("""COMPUTED_VALUE"""),"FOC-2026-08-11-000010105544 | PANGASINAN | SAN CARLOS | SA | NAP NO POWER | SCP001 LP199 NP4")</f>
        <v>FOC-2026-08-11-000010105544 | PANGASINAN | SAN CARLOS | SA | NAP NO POWER | SCP001 LP199 NP4</v>
      </c>
      <c r="I65" s="67" t="str">
        <f>IFERROR(__xludf.DUMMYFUNCTION("""COMPUTED_VALUE"""),"SCP001 LP199 NP4")</f>
        <v>SCP001 LP199 NP4</v>
      </c>
      <c r="J65" s="67"/>
      <c r="K65" s="67" t="str">
        <f>IFERROR(__xludf.DUMMYFUNCTION("""COMPUTED_VALUE"""),"SA")</f>
        <v>SA</v>
      </c>
      <c r="L65" s="67" t="str">
        <f>IFERROR(__xludf.DUMMYFUNCTION("""COMPUTED_VALUE"""),"NAP NO POWER")</f>
        <v>NAP NO POWER</v>
      </c>
      <c r="M65" s="67" t="str">
        <f>IFERROR(__xludf.DUMMYFUNCTION("""COMPUTED_VALUE"""),"PANG. NDSI")</f>
        <v>PANG. NDSI</v>
      </c>
      <c r="N65" s="69">
        <f>IFERROR(__xludf.DUMMYFUNCTION("""COMPUTED_VALUE"""),46245.68320601852)</f>
        <v>46245.68321</v>
      </c>
      <c r="O65" s="69">
        <f>IFERROR(__xludf.DUMMYFUNCTION("""COMPUTED_VALUE"""),46245.68320601852)</f>
        <v>46245.68321</v>
      </c>
      <c r="P65" s="67"/>
      <c r="Q65" s="67"/>
      <c r="R65" s="67"/>
      <c r="S65" s="67"/>
      <c r="T65" s="67"/>
      <c r="U65" s="67"/>
      <c r="V65" s="67"/>
      <c r="W65" s="70">
        <f>IFERROR(__xludf.DUMMYFUNCTION("""COMPUTED_VALUE"""),46249.06422788195)</f>
        <v>46249.06423</v>
      </c>
      <c r="X65" s="71">
        <f>IFERROR(__xludf.DUMMYFUNCTION("""COMPUTED_VALUE"""),3.381021863424929)</f>
        <v>3.381021863</v>
      </c>
      <c r="Y65" s="72"/>
    </row>
    <row r="66">
      <c r="A66" s="67" t="str">
        <f>IFERROR(__xludf.DUMMYFUNCTION("""COMPUTED_VALUE"""),"NAP")</f>
        <v>NAP</v>
      </c>
      <c r="B66" s="67" t="str">
        <f>IFERROR(__xludf.DUMMYFUNCTION("""COMPUTED_VALUE"""),"August, 2026")</f>
        <v>August, 2026</v>
      </c>
      <c r="C66" s="68">
        <f>IFERROR(__xludf.DUMMYFUNCTION("""COMPUTED_VALUE"""),46248.0)</f>
        <v>46248</v>
      </c>
      <c r="D66" s="67" t="str">
        <f>IFERROR(__xludf.DUMMYFUNCTION("""COMPUTED_VALUE"""),"PANGASINAN")</f>
        <v>PANGASINAN</v>
      </c>
      <c r="E66" s="67" t="str">
        <f>IFERROR(__xludf.DUMMYFUNCTION("""COMPUTED_VALUE"""),"SAN CARLOS")</f>
        <v>SAN CARLOS</v>
      </c>
      <c r="F66" s="67" t="str">
        <f>IFERROR(__xludf.DUMMYFUNCTION("""COMPUTED_VALUE"""),"FOC-2026-08-14-000010105652")</f>
        <v>FOC-2026-08-14-000010105652</v>
      </c>
      <c r="G66" s="67"/>
      <c r="H66" s="67" t="str">
        <f>IFERROR(__xludf.DUMMYFUNCTION("""COMPUTED_VALUE"""),"FOC-2026-08-14-000010105652 | PANGASINAN | SAN CARLOS | SA | NAP NO POWER | SCP001 LP49 NP5-6")</f>
        <v>FOC-2026-08-14-000010105652 | PANGASINAN | SAN CARLOS | SA | NAP NO POWER | SCP001 LP49 NP5-6</v>
      </c>
      <c r="I66" s="67" t="str">
        <f>IFERROR(__xludf.DUMMYFUNCTION("""COMPUTED_VALUE"""),"SCP001 LP49 NP5-6")</f>
        <v>SCP001 LP49 NP5-6</v>
      </c>
      <c r="J66" s="67"/>
      <c r="K66" s="67" t="str">
        <f>IFERROR(__xludf.DUMMYFUNCTION("""COMPUTED_VALUE"""),"SA")</f>
        <v>SA</v>
      </c>
      <c r="L66" s="67" t="str">
        <f>IFERROR(__xludf.DUMMYFUNCTION("""COMPUTED_VALUE"""),"NAP NO POWER")</f>
        <v>NAP NO POWER</v>
      </c>
      <c r="M66" s="67" t="str">
        <f>IFERROR(__xludf.DUMMYFUNCTION("""COMPUTED_VALUE"""),"JK2L2 BIDA FIBER")</f>
        <v>JK2L2 BIDA FIBER</v>
      </c>
      <c r="N66" s="69">
        <f>IFERROR(__xludf.DUMMYFUNCTION("""COMPUTED_VALUE"""),46248.574535706015)</f>
        <v>46248.57454</v>
      </c>
      <c r="O66" s="69">
        <f>IFERROR(__xludf.DUMMYFUNCTION("""COMPUTED_VALUE"""),46248.57454000001)</f>
        <v>46248.57454</v>
      </c>
      <c r="P66" s="67"/>
      <c r="Q66" s="67"/>
      <c r="R66" s="67"/>
      <c r="S66" s="67"/>
      <c r="T66" s="67"/>
      <c r="U66" s="67"/>
      <c r="V66" s="67"/>
      <c r="W66" s="70">
        <f>IFERROR(__xludf.DUMMYFUNCTION("""COMPUTED_VALUE"""),46249.06422788195)</f>
        <v>46249.06423</v>
      </c>
      <c r="X66" s="71">
        <f>IFERROR(__xludf.DUMMYFUNCTION("""COMPUTED_VALUE"""),0.48968788194575413)</f>
        <v>0.4896878819</v>
      </c>
      <c r="Y66" s="72"/>
    </row>
    <row r="67">
      <c r="A67" s="67" t="str">
        <f>IFERROR(__xludf.DUMMYFUNCTION("""COMPUTED_VALUE"""),"NAP")</f>
        <v>NAP</v>
      </c>
      <c r="B67" s="67" t="str">
        <f>IFERROR(__xludf.DUMMYFUNCTION("""COMPUTED_VALUE"""),"August, 2026")</f>
        <v>August, 2026</v>
      </c>
      <c r="C67" s="68">
        <f>IFERROR(__xludf.DUMMYFUNCTION("""COMPUTED_VALUE"""),46248.0)</f>
        <v>46248</v>
      </c>
      <c r="D67" s="67" t="str">
        <f>IFERROR(__xludf.DUMMYFUNCTION("""COMPUTED_VALUE"""),"PANGASINAN")</f>
        <v>PANGASINAN</v>
      </c>
      <c r="E67" s="67" t="str">
        <f>IFERROR(__xludf.DUMMYFUNCTION("""COMPUTED_VALUE"""),"SAN CARLOS")</f>
        <v>SAN CARLOS</v>
      </c>
      <c r="F67" s="67" t="str">
        <f>IFERROR(__xludf.DUMMYFUNCTION("""COMPUTED_VALUE"""),"FOC-2026-08-14-000010105651")</f>
        <v>FOC-2026-08-14-000010105651</v>
      </c>
      <c r="G67" s="67"/>
      <c r="H67" s="67" t="str">
        <f>IFERROR(__xludf.DUMMYFUNCTION("""COMPUTED_VALUE"""),"FOC-2026-08-14-000010105651 | PANGASINAN | SAN CARLOS | SA | NAP NO POWER | SCP001 LP89 NP2")</f>
        <v>FOC-2026-08-14-000010105651 | PANGASINAN | SAN CARLOS | SA | NAP NO POWER | SCP001 LP89 NP2</v>
      </c>
      <c r="I67" s="67" t="str">
        <f>IFERROR(__xludf.DUMMYFUNCTION("""COMPUTED_VALUE"""),"SCP001 LP89 NP2")</f>
        <v>SCP001 LP89 NP2</v>
      </c>
      <c r="J67" s="67"/>
      <c r="K67" s="67" t="str">
        <f>IFERROR(__xludf.DUMMYFUNCTION("""COMPUTED_VALUE"""),"SA")</f>
        <v>SA</v>
      </c>
      <c r="L67" s="67" t="str">
        <f>IFERROR(__xludf.DUMMYFUNCTION("""COMPUTED_VALUE"""),"NAP NO POWER")</f>
        <v>NAP NO POWER</v>
      </c>
      <c r="M67" s="67" t="str">
        <f>IFERROR(__xludf.DUMMYFUNCTION("""COMPUTED_VALUE"""),"JK2L2 BIDA FIBER")</f>
        <v>JK2L2 BIDA FIBER</v>
      </c>
      <c r="N67" s="69">
        <f>IFERROR(__xludf.DUMMYFUNCTION("""COMPUTED_VALUE"""),46248.574535706015)</f>
        <v>46248.57454</v>
      </c>
      <c r="O67" s="69">
        <f>IFERROR(__xludf.DUMMYFUNCTION("""COMPUTED_VALUE"""),46248.57454000001)</f>
        <v>46248.57454</v>
      </c>
      <c r="P67" s="67"/>
      <c r="Q67" s="67"/>
      <c r="R67" s="67"/>
      <c r="S67" s="67"/>
      <c r="T67" s="67"/>
      <c r="U67" s="67"/>
      <c r="V67" s="67"/>
      <c r="W67" s="70">
        <f>IFERROR(__xludf.DUMMYFUNCTION("""COMPUTED_VALUE"""),46249.06422788195)</f>
        <v>46249.06423</v>
      </c>
      <c r="X67" s="71">
        <f>IFERROR(__xludf.DUMMYFUNCTION("""COMPUTED_VALUE"""),0.48968788194575413)</f>
        <v>0.4896878819</v>
      </c>
      <c r="Y67" s="72"/>
    </row>
    <row r="68">
      <c r="A68" s="67" t="str">
        <f>IFERROR(__xludf.DUMMYFUNCTION("""COMPUTED_VALUE"""),"NAP")</f>
        <v>NAP</v>
      </c>
      <c r="B68" s="67" t="str">
        <f>IFERROR(__xludf.DUMMYFUNCTION("""COMPUTED_VALUE"""),"August, 2026")</f>
        <v>August, 2026</v>
      </c>
      <c r="C68" s="68">
        <f>IFERROR(__xludf.DUMMYFUNCTION("""COMPUTED_VALUE"""),46248.0)</f>
        <v>46248</v>
      </c>
      <c r="D68" s="67" t="str">
        <f>IFERROR(__xludf.DUMMYFUNCTION("""COMPUTED_VALUE"""),"PANGASINAN")</f>
        <v>PANGASINAN</v>
      </c>
      <c r="E68" s="67" t="str">
        <f>IFERROR(__xludf.DUMMYFUNCTION("""COMPUTED_VALUE"""),"SAN CARLOS")</f>
        <v>SAN CARLOS</v>
      </c>
      <c r="F68" s="67" t="str">
        <f>IFERROR(__xludf.DUMMYFUNCTION("""COMPUTED_VALUE"""),"FOC-2026-08-14-000010105659")</f>
        <v>FOC-2026-08-14-000010105659</v>
      </c>
      <c r="G68" s="67"/>
      <c r="H68" s="67" t="str">
        <f>IFERROR(__xludf.DUMMYFUNCTION("""COMPUTED_VALUE"""),"FOC-2026-08-14-000010105659 | PANGASINAN | SAN CARLOS | SA | NAP NO POWER | SCP001 LP89 NP2")</f>
        <v>FOC-2026-08-14-000010105659 | PANGASINAN | SAN CARLOS | SA | NAP NO POWER | SCP001 LP89 NP2</v>
      </c>
      <c r="I68" s="67" t="str">
        <f>IFERROR(__xludf.DUMMYFUNCTION("""COMPUTED_VALUE"""),"SCP001 LP89 NP2")</f>
        <v>SCP001 LP89 NP2</v>
      </c>
      <c r="J68" s="67"/>
      <c r="K68" s="67" t="str">
        <f>IFERROR(__xludf.DUMMYFUNCTION("""COMPUTED_VALUE"""),"SA")</f>
        <v>SA</v>
      </c>
      <c r="L68" s="67" t="str">
        <f>IFERROR(__xludf.DUMMYFUNCTION("""COMPUTED_VALUE"""),"NAP NO POWER")</f>
        <v>NAP NO POWER</v>
      </c>
      <c r="M68" s="67" t="str">
        <f>IFERROR(__xludf.DUMMYFUNCTION("""COMPUTED_VALUE"""),"PANG. NDSI")</f>
        <v>PANG. NDSI</v>
      </c>
      <c r="N68" s="69">
        <f>IFERROR(__xludf.DUMMYFUNCTION("""COMPUTED_VALUE"""),46248.710849537034)</f>
        <v>46248.71085</v>
      </c>
      <c r="O68" s="69">
        <f>IFERROR(__xludf.DUMMYFUNCTION("""COMPUTED_VALUE"""),46248.71085354167)</f>
        <v>46248.71085</v>
      </c>
      <c r="P68" s="67"/>
      <c r="Q68" s="67"/>
      <c r="R68" s="67"/>
      <c r="S68" s="67"/>
      <c r="T68" s="67"/>
      <c r="U68" s="67"/>
      <c r="V68" s="67"/>
      <c r="W68" s="70">
        <f>IFERROR(__xludf.DUMMYFUNCTION("""COMPUTED_VALUE"""),46249.06422788195)</f>
        <v>46249.06423</v>
      </c>
      <c r="X68" s="71">
        <f>IFERROR(__xludf.DUMMYFUNCTION("""COMPUTED_VALUE"""),0.3533743402778425)</f>
        <v>0.3533743403</v>
      </c>
      <c r="Y68" s="72"/>
    </row>
    <row r="69">
      <c r="A69" s="67" t="str">
        <f>IFERROR(__xludf.DUMMYFUNCTION("""COMPUTED_VALUE"""),"NAP")</f>
        <v>NAP</v>
      </c>
      <c r="B69" s="67" t="str">
        <f>IFERROR(__xludf.DUMMYFUNCTION("""COMPUTED_VALUE"""),"August, 2026")</f>
        <v>August, 2026</v>
      </c>
      <c r="C69" s="68">
        <f>IFERROR(__xludf.DUMMYFUNCTION("""COMPUTED_VALUE"""),46248.0)</f>
        <v>46248</v>
      </c>
      <c r="D69" s="67" t="str">
        <f>IFERROR(__xludf.DUMMYFUNCTION("""COMPUTED_VALUE"""),"PANGASINAN")</f>
        <v>PANGASINAN</v>
      </c>
      <c r="E69" s="67" t="str">
        <f>IFERROR(__xludf.DUMMYFUNCTION("""COMPUTED_VALUE"""),"SAN CARLOS")</f>
        <v>SAN CARLOS</v>
      </c>
      <c r="F69" s="67" t="str">
        <f>IFERROR(__xludf.DUMMYFUNCTION("""COMPUTED_VALUE"""),"TT-20260814-00000243")</f>
        <v>TT-20260814-00000243</v>
      </c>
      <c r="G69" s="67"/>
      <c r="H69" s="67" t="str">
        <f>IFERROR(__xludf.DUMMYFUNCTION("""COMPUTED_VALUE"""),"TT-20260814-00000243 | PANGASINAN | SAN CARLOS | SA | NAP NO POWER | TT-20260814-00000243 | LASTMILE | MINOR | SA | NAP DOWN | PANGASINAN | SCP001 LP199
Affected Nodes/Links
SCP001 LP199 NP02
SCP001 LP199 NP05
Start Time	2026-08-14 12:37:51")</f>
        <v>TT-20260814-00000243 | PANGASINAN | SAN CARLOS | SA | NAP NO POWER | TT-20260814-00000243 | LASTMILE | MINOR | SA | NAP DOWN | PANGASINAN | SCP001 LP199
Affected Nodes/Links
SCP001 LP199 NP02
SCP001 LP199 NP05
Start Time	2026-08-14 12:37:51</v>
      </c>
      <c r="I69" s="67" t="str">
        <f>IFERROR(__xludf.DUMMYFUNCTION("""COMPUTED_VALUE"""),"TT-20260814-00000243 | LASTMILE | MINOR | SA | NAP DOWN | PANGASINAN | SCP001 LP199
Affected Nodes/Links
SCP001 LP199 NP02
SCP001 LP199 NP05
Start Time	2026-08-14 12:37:51")</f>
        <v>TT-20260814-00000243 | LASTMILE | MINOR | SA | NAP DOWN | PANGASINAN | SCP001 LP199
Affected Nodes/Links
SCP001 LP199 NP02
SCP001 LP199 NP05
Start Time	2026-08-14 12:37:51</v>
      </c>
      <c r="J69" s="67"/>
      <c r="K69" s="67" t="str">
        <f>IFERROR(__xludf.DUMMYFUNCTION("""COMPUTED_VALUE"""),"SA")</f>
        <v>SA</v>
      </c>
      <c r="L69" s="67" t="str">
        <f>IFERROR(__xludf.DUMMYFUNCTION("""COMPUTED_VALUE"""),"NAP NO POWER")</f>
        <v>NAP NO POWER</v>
      </c>
      <c r="M69" s="67" t="str">
        <f>IFERROR(__xludf.DUMMYFUNCTION("""COMPUTED_VALUE"""),"GNOC")</f>
        <v>GNOC</v>
      </c>
      <c r="N69" s="69">
        <f>IFERROR(__xludf.DUMMYFUNCTION("""COMPUTED_VALUE"""),46248.50904881944)</f>
        <v>46248.50905</v>
      </c>
      <c r="O69" s="69">
        <f>IFERROR(__xludf.DUMMYFUNCTION("""COMPUTED_VALUE"""),46248.50904881944)</f>
        <v>46248.50905</v>
      </c>
      <c r="P69" s="67"/>
      <c r="Q69" s="67"/>
      <c r="R69" s="67"/>
      <c r="S69" s="67"/>
      <c r="T69" s="67"/>
      <c r="U69" s="67"/>
      <c r="V69" s="67"/>
      <c r="W69" s="70">
        <f>IFERROR(__xludf.DUMMYFUNCTION("""COMPUTED_VALUE"""),46249.06422788195)</f>
        <v>46249.06423</v>
      </c>
      <c r="X69" s="71">
        <f>IFERROR(__xludf.DUMMYFUNCTION("""COMPUTED_VALUE"""),0.5551790625008569)</f>
        <v>0.5551790625</v>
      </c>
      <c r="Y69" s="72"/>
    </row>
    <row r="70">
      <c r="A70" s="67" t="str">
        <f>IFERROR(__xludf.DUMMYFUNCTION("""COMPUTED_VALUE"""),"NAP")</f>
        <v>NAP</v>
      </c>
      <c r="B70" s="67" t="str">
        <f>IFERROR(__xludf.DUMMYFUNCTION("""COMPUTED_VALUE"""),"August, 2026")</f>
        <v>August, 2026</v>
      </c>
      <c r="C70" s="68">
        <f>IFERROR(__xludf.DUMMYFUNCTION("""COMPUTED_VALUE"""),46244.0)</f>
        <v>46244</v>
      </c>
      <c r="D70" s="67" t="str">
        <f>IFERROR(__xludf.DUMMYFUNCTION("""COMPUTED_VALUE"""),"PANGASINAN")</f>
        <v>PANGASINAN</v>
      </c>
      <c r="E70" s="67" t="str">
        <f>IFERROR(__xludf.DUMMYFUNCTION("""COMPUTED_VALUE"""),"URBIZ")</f>
        <v>URBIZ</v>
      </c>
      <c r="F70" s="67" t="str">
        <f>IFERROR(__xludf.DUMMYFUNCTION("""COMPUTED_VALUE"""),"FOC-2026-08-10-000010105493")</f>
        <v>FOC-2026-08-10-000010105493</v>
      </c>
      <c r="G70" s="67"/>
      <c r="H70" s="67" t="str">
        <f>IFERROR(__xludf.DUMMYFUNCTION("""COMPUTED_VALUE"""),"FOC-2026-08-10-000010105493 | PANGASINAN | URBIZ | SA | NAP NO POWER | UZP001 LP41 NP3")</f>
        <v>FOC-2026-08-10-000010105493 | PANGASINAN | URBIZ | SA | NAP NO POWER | UZP001 LP41 NP3</v>
      </c>
      <c r="I70" s="67" t="str">
        <f>IFERROR(__xludf.DUMMYFUNCTION("""COMPUTED_VALUE"""),"UZP001 LP41 NP3")</f>
        <v>UZP001 LP41 NP3</v>
      </c>
      <c r="J70" s="67"/>
      <c r="K70" s="67" t="str">
        <f>IFERROR(__xludf.DUMMYFUNCTION("""COMPUTED_VALUE"""),"SA")</f>
        <v>SA</v>
      </c>
      <c r="L70" s="67" t="str">
        <f>IFERROR(__xludf.DUMMYFUNCTION("""COMPUTED_VALUE"""),"NAP NO POWER")</f>
        <v>NAP NO POWER</v>
      </c>
      <c r="M70" s="67" t="str">
        <f>IFERROR(__xludf.DUMMYFUNCTION("""COMPUTED_VALUE"""),"PANG. NDSI")</f>
        <v>PANG. NDSI</v>
      </c>
      <c r="N70" s="69">
        <f>IFERROR(__xludf.DUMMYFUNCTION("""COMPUTED_VALUE"""),46244.50498760417)</f>
        <v>46244.50499</v>
      </c>
      <c r="O70" s="69">
        <f>IFERROR(__xludf.DUMMYFUNCTION("""COMPUTED_VALUE"""),46244.50498760417)</f>
        <v>46244.50499</v>
      </c>
      <c r="P70" s="67"/>
      <c r="Q70" s="67"/>
      <c r="R70" s="67"/>
      <c r="S70" s="67"/>
      <c r="T70" s="67"/>
      <c r="U70" s="67"/>
      <c r="V70" s="67"/>
      <c r="W70" s="70">
        <f>IFERROR(__xludf.DUMMYFUNCTION("""COMPUTED_VALUE"""),46249.06422788195)</f>
        <v>46249.06423</v>
      </c>
      <c r="X70" s="71">
        <f>IFERROR(__xludf.DUMMYFUNCTION("""COMPUTED_VALUE"""),4.55924027777878)</f>
        <v>4.559240278</v>
      </c>
      <c r="Y70" s="72"/>
    </row>
    <row r="71">
      <c r="A71" s="67" t="str">
        <f>IFERROR(__xludf.DUMMYFUNCTION("""COMPUTED_VALUE"""),"NAP")</f>
        <v>NAP</v>
      </c>
      <c r="B71" s="67" t="str">
        <f>IFERROR(__xludf.DUMMYFUNCTION("""COMPUTED_VALUE"""),"August, 2026")</f>
        <v>August, 2026</v>
      </c>
      <c r="C71" s="68">
        <f>IFERROR(__xludf.DUMMYFUNCTION("""COMPUTED_VALUE"""),46248.0)</f>
        <v>46248</v>
      </c>
      <c r="D71" s="67" t="str">
        <f>IFERROR(__xludf.DUMMYFUNCTION("""COMPUTED_VALUE"""),"PANGASINAN")</f>
        <v>PANGASINAN</v>
      </c>
      <c r="E71" s="67" t="str">
        <f>IFERROR(__xludf.DUMMYFUNCTION("""COMPUTED_VALUE"""),"URDANETA")</f>
        <v>URDANETA</v>
      </c>
      <c r="F71" s="67" t="str">
        <f>IFERROR(__xludf.DUMMYFUNCTION("""COMPUTED_VALUE"""),"FOC-2026-08-14-000010105647")</f>
        <v>FOC-2026-08-14-000010105647</v>
      </c>
      <c r="G71" s="67"/>
      <c r="H71" s="67" t="str">
        <f>IFERROR(__xludf.DUMMYFUNCTION("""COMPUTED_VALUE"""),"FOC-2026-08-14-000010105647 | PANGASINAN | URDANETA | SA | NAP NO POWER | UCP001 LP136 NP4")</f>
        <v>FOC-2026-08-14-000010105647 | PANGASINAN | URDANETA | SA | NAP NO POWER | UCP001 LP136 NP4</v>
      </c>
      <c r="I71" s="67" t="str">
        <f>IFERROR(__xludf.DUMMYFUNCTION("""COMPUTED_VALUE"""),"UCP001 LP136 NP4")</f>
        <v>UCP001 LP136 NP4</v>
      </c>
      <c r="J71" s="67"/>
      <c r="K71" s="67" t="str">
        <f>IFERROR(__xludf.DUMMYFUNCTION("""COMPUTED_VALUE"""),"SA")</f>
        <v>SA</v>
      </c>
      <c r="L71" s="67" t="str">
        <f>IFERROR(__xludf.DUMMYFUNCTION("""COMPUTED_VALUE"""),"NAP NO POWER")</f>
        <v>NAP NO POWER</v>
      </c>
      <c r="M71" s="67" t="str">
        <f>IFERROR(__xludf.DUMMYFUNCTION("""COMPUTED_VALUE"""),"GNOC")</f>
        <v>GNOC</v>
      </c>
      <c r="N71" s="69">
        <f>IFERROR(__xludf.DUMMYFUNCTION("""COMPUTED_VALUE"""),46248.461052824074)</f>
        <v>46248.46105</v>
      </c>
      <c r="O71" s="69">
        <f>IFERROR(__xludf.DUMMYFUNCTION("""COMPUTED_VALUE"""),46248.461052824074)</f>
        <v>46248.46105</v>
      </c>
      <c r="P71" s="67"/>
      <c r="Q71" s="67"/>
      <c r="R71" s="67"/>
      <c r="S71" s="67"/>
      <c r="T71" s="67"/>
      <c r="U71" s="67"/>
      <c r="V71" s="67"/>
      <c r="W71" s="70">
        <f>IFERROR(__xludf.DUMMYFUNCTION("""COMPUTED_VALUE"""),46249.06422788195)</f>
        <v>46249.06423</v>
      </c>
      <c r="X71" s="71">
        <f>IFERROR(__xludf.DUMMYFUNCTION("""COMPUTED_VALUE"""),0.603175057871734)</f>
        <v>0.6031750579</v>
      </c>
      <c r="Y71" s="72"/>
    </row>
    <row r="72">
      <c r="A72" s="67" t="str">
        <f>IFERROR(__xludf.DUMMYFUNCTION("""COMPUTED_VALUE"""),"NAP")</f>
        <v>NAP</v>
      </c>
      <c r="B72" s="67" t="str">
        <f>IFERROR(__xludf.DUMMYFUNCTION("""COMPUTED_VALUE"""),"August, 2026")</f>
        <v>August, 2026</v>
      </c>
      <c r="C72" s="68">
        <f>IFERROR(__xludf.DUMMYFUNCTION("""COMPUTED_VALUE"""),46245.0)</f>
        <v>46245</v>
      </c>
      <c r="D72" s="67" t="str">
        <f>IFERROR(__xludf.DUMMYFUNCTION("""COMPUTED_VALUE"""),"PANGASINAN")</f>
        <v>PANGASINAN</v>
      </c>
      <c r="E72" s="67" t="str">
        <f>IFERROR(__xludf.DUMMYFUNCTION("""COMPUTED_VALUE"""),"URDANETA CITY")</f>
        <v>URDANETA CITY</v>
      </c>
      <c r="F72" s="67" t="str">
        <f>IFERROR(__xludf.DUMMYFUNCTION("""COMPUTED_VALUE"""),"FOC-2026-08-11-000010105538")</f>
        <v>FOC-2026-08-11-000010105538</v>
      </c>
      <c r="G72" s="67"/>
      <c r="H72" s="67" t="str">
        <f>IFERROR(__xludf.DUMMYFUNCTION("""COMPUTED_VALUE"""),"FOC-2026-08-11-000010105538 | PANGASINAN | URDANETA CITY | SA | NAP NO POWER | DGP001 LP149 NP1-2")</f>
        <v>FOC-2026-08-11-000010105538 | PANGASINAN | URDANETA CITY | SA | NAP NO POWER | DGP001 LP149 NP1-2</v>
      </c>
      <c r="I72" s="67" t="str">
        <f>IFERROR(__xludf.DUMMYFUNCTION("""COMPUTED_VALUE"""),"DGP001 LP149 NP1-2")</f>
        <v>DGP001 LP149 NP1-2</v>
      </c>
      <c r="J72" s="67"/>
      <c r="K72" s="67" t="str">
        <f>IFERROR(__xludf.DUMMYFUNCTION("""COMPUTED_VALUE"""),"SA")</f>
        <v>SA</v>
      </c>
      <c r="L72" s="67" t="str">
        <f>IFERROR(__xludf.DUMMYFUNCTION("""COMPUTED_VALUE"""),"NAP NO POWER")</f>
        <v>NAP NO POWER</v>
      </c>
      <c r="M72" s="67" t="str">
        <f>IFERROR(__xludf.DUMMYFUNCTION("""COMPUTED_VALUE"""),"PANG. NDSI")</f>
        <v>PANG. NDSI</v>
      </c>
      <c r="N72" s="69">
        <f>IFERROR(__xludf.DUMMYFUNCTION("""COMPUTED_VALUE"""),46245.667233796295)</f>
        <v>46245.66723</v>
      </c>
      <c r="O72" s="69">
        <f>IFERROR(__xludf.DUMMYFUNCTION("""COMPUTED_VALUE"""),46245.667233796295)</f>
        <v>46245.66723</v>
      </c>
      <c r="P72" s="67"/>
      <c r="Q72" s="67"/>
      <c r="R72" s="67"/>
      <c r="S72" s="67"/>
      <c r="T72" s="67"/>
      <c r="U72" s="67"/>
      <c r="V72" s="67"/>
      <c r="W72" s="70">
        <f>IFERROR(__xludf.DUMMYFUNCTION("""COMPUTED_VALUE"""),46249.06422788195)</f>
        <v>46249.06423</v>
      </c>
      <c r="X72" s="71">
        <f>IFERROR(__xludf.DUMMYFUNCTION("""COMPUTED_VALUE"""),3.396994085648283)</f>
        <v>3.396994086</v>
      </c>
      <c r="Y72" s="72"/>
    </row>
    <row r="73">
      <c r="Y73" s="72"/>
    </row>
    <row r="74">
      <c r="Y74" s="72"/>
    </row>
    <row r="75">
      <c r="Y75" s="72"/>
    </row>
    <row r="76">
      <c r="Y76" s="72"/>
    </row>
    <row r="77">
      <c r="Y77" s="72"/>
    </row>
    <row r="78">
      <c r="Y78" s="72"/>
    </row>
    <row r="79">
      <c r="Y79" s="72"/>
    </row>
    <row r="80">
      <c r="Y80" s="72"/>
    </row>
    <row r="81">
      <c r="Y81" s="72"/>
    </row>
    <row r="82">
      <c r="Y82" s="72"/>
    </row>
    <row r="83">
      <c r="Y83" s="72"/>
    </row>
    <row r="84">
      <c r="Y84" s="72"/>
    </row>
    <row r="85">
      <c r="Y85" s="72"/>
    </row>
    <row r="86">
      <c r="Y86" s="72"/>
    </row>
    <row r="87">
      <c r="Y87" s="72"/>
    </row>
    <row r="88">
      <c r="Y88" s="72"/>
    </row>
    <row r="89">
      <c r="Y89" s="72"/>
    </row>
    <row r="90">
      <c r="Y90" s="72"/>
    </row>
    <row r="91">
      <c r="Y91" s="72"/>
    </row>
    <row r="92">
      <c r="Y92" s="72"/>
    </row>
    <row r="93">
      <c r="Y93" s="72"/>
    </row>
    <row r="94">
      <c r="Y94" s="72"/>
    </row>
    <row r="95">
      <c r="Y95" s="72"/>
    </row>
    <row r="96">
      <c r="Y96" s="72"/>
    </row>
    <row r="97">
      <c r="Y97" s="72"/>
    </row>
    <row r="98">
      <c r="Y98" s="72"/>
    </row>
    <row r="99">
      <c r="Y99" s="72"/>
    </row>
    <row r="100">
      <c r="Y100" s="72"/>
    </row>
    <row r="101">
      <c r="Y101" s="72"/>
    </row>
    <row r="102">
      <c r="Y102" s="72"/>
    </row>
    <row r="103">
      <c r="Y103" s="72"/>
    </row>
    <row r="104">
      <c r="Y104" s="72"/>
    </row>
    <row r="105">
      <c r="Y105" s="72"/>
    </row>
    <row r="106">
      <c r="Y106" s="72"/>
    </row>
    <row r="107">
      <c r="Y107" s="72"/>
    </row>
    <row r="108">
      <c r="Y108" s="72"/>
    </row>
    <row r="109">
      <c r="Y109" s="72"/>
    </row>
    <row r="110">
      <c r="Y110" s="72"/>
    </row>
    <row r="111">
      <c r="Y111" s="72"/>
    </row>
    <row r="112">
      <c r="Y112" s="72"/>
    </row>
    <row r="113">
      <c r="Y113" s="72"/>
    </row>
    <row r="114">
      <c r="Y114" s="72"/>
    </row>
    <row r="115">
      <c r="Y115" s="72"/>
    </row>
    <row r="116">
      <c r="Y116" s="72"/>
    </row>
    <row r="117">
      <c r="Y117" s="72"/>
    </row>
    <row r="118">
      <c r="Y118" s="72"/>
    </row>
    <row r="119">
      <c r="Y119" s="72"/>
    </row>
    <row r="120">
      <c r="Y120" s="72"/>
    </row>
    <row r="121">
      <c r="Y121" s="72"/>
    </row>
    <row r="122">
      <c r="Y122" s="72"/>
    </row>
    <row r="123">
      <c r="Y123" s="72"/>
    </row>
    <row r="124">
      <c r="Y124" s="72"/>
    </row>
    <row r="125">
      <c r="Y125" s="72"/>
    </row>
    <row r="126">
      <c r="Y126" s="72"/>
    </row>
    <row r="127">
      <c r="Y127" s="72"/>
    </row>
    <row r="128">
      <c r="Y128" s="72"/>
    </row>
    <row r="129">
      <c r="Y129" s="72"/>
    </row>
    <row r="130">
      <c r="Y130" s="72"/>
    </row>
    <row r="131">
      <c r="Y131" s="72"/>
    </row>
    <row r="132">
      <c r="Y132" s="72"/>
    </row>
    <row r="133">
      <c r="Y133" s="72"/>
    </row>
    <row r="134">
      <c r="Y134" s="72"/>
    </row>
    <row r="135">
      <c r="Y135" s="72"/>
    </row>
    <row r="136">
      <c r="Y136" s="72"/>
    </row>
    <row r="137">
      <c r="Y137" s="72"/>
    </row>
    <row r="138">
      <c r="Y138" s="72"/>
    </row>
    <row r="139">
      <c r="Y139" s="72"/>
    </row>
    <row r="140">
      <c r="Y140" s="72"/>
    </row>
    <row r="141">
      <c r="Y141" s="72"/>
    </row>
    <row r="142">
      <c r="Y142" s="72"/>
    </row>
    <row r="143">
      <c r="Y143" s="72"/>
    </row>
    <row r="144">
      <c r="Y144" s="72"/>
    </row>
    <row r="145">
      <c r="Y145" s="72"/>
    </row>
    <row r="146">
      <c r="Y146" s="72"/>
    </row>
    <row r="147">
      <c r="Y147" s="72"/>
    </row>
    <row r="148">
      <c r="Y148" s="72"/>
    </row>
    <row r="149">
      <c r="Y149" s="72"/>
    </row>
    <row r="150">
      <c r="Y150" s="72"/>
    </row>
    <row r="151">
      <c r="Y151" s="72"/>
    </row>
    <row r="152">
      <c r="Y152" s="72"/>
    </row>
    <row r="153">
      <c r="Y153" s="72"/>
    </row>
    <row r="154">
      <c r="Y154" s="72"/>
    </row>
    <row r="155">
      <c r="Y155" s="72"/>
    </row>
    <row r="156">
      <c r="Y156" s="72"/>
    </row>
    <row r="157">
      <c r="Y157" s="72"/>
    </row>
    <row r="158">
      <c r="Y158" s="72"/>
    </row>
    <row r="159">
      <c r="Y159" s="72"/>
    </row>
    <row r="160">
      <c r="Y160" s="72"/>
    </row>
    <row r="161">
      <c r="Y161" s="72"/>
    </row>
    <row r="162">
      <c r="Y162" s="72"/>
    </row>
    <row r="163">
      <c r="Y163" s="72"/>
    </row>
    <row r="164">
      <c r="Y164" s="72"/>
    </row>
    <row r="165">
      <c r="Y165" s="72"/>
    </row>
    <row r="166">
      <c r="Y166" s="72"/>
    </row>
    <row r="167">
      <c r="Y167" s="72"/>
    </row>
    <row r="168">
      <c r="Y168" s="72"/>
    </row>
    <row r="169">
      <c r="Y169" s="72"/>
    </row>
    <row r="170">
      <c r="Y170" s="72"/>
    </row>
    <row r="171">
      <c r="Y171" s="72"/>
    </row>
    <row r="172">
      <c r="Y172" s="72"/>
    </row>
    <row r="173">
      <c r="Y173" s="72"/>
    </row>
    <row r="174">
      <c r="Y174" s="72"/>
    </row>
    <row r="175">
      <c r="Y175" s="72"/>
    </row>
    <row r="176">
      <c r="Y176" s="72"/>
    </row>
    <row r="177">
      <c r="Y177" s="72"/>
    </row>
    <row r="178">
      <c r="Y178" s="72"/>
    </row>
    <row r="179">
      <c r="Y179" s="72"/>
    </row>
    <row r="180">
      <c r="Y180" s="72"/>
    </row>
    <row r="181">
      <c r="Y181" s="72"/>
    </row>
    <row r="182">
      <c r="Y182" s="72"/>
    </row>
    <row r="183">
      <c r="Y183" s="72"/>
    </row>
    <row r="184">
      <c r="Y184" s="72"/>
    </row>
    <row r="185">
      <c r="Y185" s="72"/>
    </row>
    <row r="186">
      <c r="Y186" s="72"/>
    </row>
    <row r="187">
      <c r="Y187" s="72"/>
    </row>
    <row r="188">
      <c r="Y188" s="72"/>
    </row>
    <row r="189">
      <c r="Y189" s="72"/>
    </row>
    <row r="190">
      <c r="Y190" s="72"/>
    </row>
    <row r="191">
      <c r="Y191" s="72"/>
    </row>
    <row r="192">
      <c r="Y192" s="72"/>
    </row>
    <row r="193">
      <c r="Y193" s="72"/>
    </row>
    <row r="194">
      <c r="Y194" s="72"/>
    </row>
    <row r="195">
      <c r="Y195" s="72"/>
    </row>
    <row r="196">
      <c r="Y196" s="72"/>
    </row>
    <row r="197">
      <c r="Y197" s="72"/>
    </row>
    <row r="198">
      <c r="Y198" s="72"/>
    </row>
    <row r="199">
      <c r="Y199" s="72"/>
    </row>
    <row r="200">
      <c r="Y200" s="72"/>
    </row>
    <row r="201">
      <c r="Y201" s="72"/>
    </row>
    <row r="202">
      <c r="Y202" s="72"/>
    </row>
    <row r="203">
      <c r="Y203" s="72"/>
    </row>
    <row r="204">
      <c r="Y204" s="72"/>
    </row>
    <row r="205">
      <c r="Y205" s="72"/>
    </row>
    <row r="206">
      <c r="Y206" s="72"/>
    </row>
    <row r="207">
      <c r="Y207" s="72"/>
    </row>
    <row r="208">
      <c r="Y208" s="72"/>
    </row>
    <row r="209">
      <c r="Y209" s="72"/>
    </row>
    <row r="210">
      <c r="Y210" s="72"/>
    </row>
    <row r="211">
      <c r="Y211" s="72"/>
    </row>
    <row r="212">
      <c r="Y212" s="72"/>
    </row>
    <row r="213">
      <c r="Y213" s="72"/>
    </row>
    <row r="214">
      <c r="Y214" s="72"/>
    </row>
    <row r="215">
      <c r="Y215" s="72"/>
    </row>
    <row r="216">
      <c r="Y216" s="72"/>
    </row>
    <row r="217">
      <c r="Y217" s="72"/>
    </row>
    <row r="218">
      <c r="Y218" s="72"/>
    </row>
    <row r="219">
      <c r="Y219" s="72"/>
    </row>
    <row r="220">
      <c r="Y220" s="72"/>
    </row>
    <row r="221">
      <c r="Y221" s="72"/>
    </row>
    <row r="222">
      <c r="Y222" s="72"/>
    </row>
    <row r="223">
      <c r="Y223" s="72"/>
    </row>
    <row r="224">
      <c r="Y224" s="72"/>
    </row>
    <row r="225">
      <c r="Y225" s="72"/>
    </row>
    <row r="226">
      <c r="Y226" s="72"/>
    </row>
    <row r="227">
      <c r="Y227" s="72"/>
    </row>
    <row r="228">
      <c r="Y228" s="72"/>
    </row>
    <row r="229">
      <c r="Y229" s="72"/>
    </row>
    <row r="230">
      <c r="Y230" s="72"/>
    </row>
    <row r="231">
      <c r="Y231" s="72"/>
    </row>
    <row r="232">
      <c r="Y232" s="72"/>
    </row>
    <row r="233">
      <c r="Y233" s="72"/>
    </row>
    <row r="234">
      <c r="Y234" s="72"/>
    </row>
    <row r="235">
      <c r="Y235" s="72"/>
    </row>
    <row r="236">
      <c r="Y236" s="72"/>
    </row>
    <row r="237">
      <c r="Y237" s="72"/>
    </row>
    <row r="238">
      <c r="Y238" s="72"/>
    </row>
    <row r="239">
      <c r="Y239" s="72"/>
    </row>
    <row r="240">
      <c r="Y240" s="72"/>
    </row>
    <row r="241">
      <c r="Y241" s="72"/>
    </row>
    <row r="242">
      <c r="Y242" s="72"/>
    </row>
    <row r="243">
      <c r="Y243" s="72"/>
    </row>
    <row r="244">
      <c r="Y244" s="72"/>
    </row>
    <row r="245">
      <c r="Y245" s="72"/>
    </row>
    <row r="246">
      <c r="Y246" s="72"/>
    </row>
    <row r="247">
      <c r="Y247" s="72"/>
    </row>
    <row r="248">
      <c r="Y248" s="72"/>
    </row>
    <row r="249">
      <c r="Y249" s="72"/>
    </row>
    <row r="250">
      <c r="Y250" s="72"/>
    </row>
    <row r="251">
      <c r="Y251" s="72"/>
    </row>
    <row r="252">
      <c r="Y252" s="72"/>
    </row>
    <row r="253">
      <c r="Y253" s="72"/>
    </row>
    <row r="254">
      <c r="Y254" s="72"/>
    </row>
    <row r="255">
      <c r="Y255" s="72"/>
    </row>
    <row r="256">
      <c r="Y256" s="72"/>
    </row>
    <row r="257">
      <c r="Y257" s="72"/>
    </row>
    <row r="258">
      <c r="Y258" s="72"/>
    </row>
    <row r="259">
      <c r="Y259" s="72"/>
    </row>
    <row r="260">
      <c r="Y260" s="72"/>
    </row>
    <row r="261">
      <c r="Y261" s="72"/>
    </row>
    <row r="262">
      <c r="Y262" s="72"/>
    </row>
    <row r="263">
      <c r="Y263" s="72"/>
    </row>
    <row r="264">
      <c r="Y264" s="72"/>
    </row>
    <row r="265">
      <c r="Y265" s="72"/>
    </row>
    <row r="266">
      <c r="Y266" s="72"/>
    </row>
    <row r="267">
      <c r="Y267" s="72"/>
    </row>
    <row r="268">
      <c r="Y268" s="72"/>
    </row>
    <row r="269">
      <c r="Y269" s="72"/>
    </row>
    <row r="270">
      <c r="Y270" s="72"/>
    </row>
    <row r="271">
      <c r="Y271" s="72"/>
    </row>
    <row r="272">
      <c r="Y272" s="72"/>
    </row>
    <row r="273">
      <c r="Y273" s="72"/>
    </row>
    <row r="274">
      <c r="Y274" s="72"/>
    </row>
    <row r="275">
      <c r="Y275" s="72"/>
    </row>
    <row r="276">
      <c r="Y276" s="72"/>
    </row>
    <row r="277">
      <c r="Y277" s="72"/>
    </row>
    <row r="278">
      <c r="Y278" s="72"/>
    </row>
    <row r="279">
      <c r="Y279" s="72"/>
    </row>
    <row r="280">
      <c r="Y280" s="72"/>
    </row>
    <row r="281">
      <c r="Y281" s="72"/>
    </row>
    <row r="282">
      <c r="Y282" s="72"/>
    </row>
    <row r="283">
      <c r="Y283" s="72"/>
    </row>
    <row r="284">
      <c r="Y284" s="72"/>
    </row>
    <row r="285">
      <c r="Y285" s="72"/>
    </row>
    <row r="286">
      <c r="Y286" s="72"/>
    </row>
    <row r="287">
      <c r="Y287" s="72"/>
    </row>
    <row r="288">
      <c r="Y288" s="72"/>
    </row>
    <row r="289">
      <c r="Y289" s="72"/>
    </row>
    <row r="290">
      <c r="Y290" s="72"/>
    </row>
    <row r="291">
      <c r="Y291" s="72"/>
    </row>
    <row r="292">
      <c r="Y292" s="72"/>
    </row>
    <row r="293">
      <c r="Y293" s="72"/>
    </row>
    <row r="294">
      <c r="Y294" s="72"/>
    </row>
    <row r="295">
      <c r="Y295" s="72"/>
    </row>
    <row r="296">
      <c r="Y296" s="72"/>
    </row>
    <row r="297">
      <c r="Y297" s="72"/>
    </row>
    <row r="298">
      <c r="Y298" s="72"/>
    </row>
    <row r="299">
      <c r="Y299" s="72"/>
    </row>
    <row r="300">
      <c r="Y300" s="72"/>
    </row>
    <row r="301">
      <c r="Y301" s="72"/>
    </row>
    <row r="302">
      <c r="Y302" s="72"/>
    </row>
    <row r="303">
      <c r="Y303" s="72"/>
    </row>
    <row r="304">
      <c r="Y304" s="72"/>
    </row>
    <row r="305">
      <c r="Y305" s="72"/>
    </row>
    <row r="306">
      <c r="Y306" s="72"/>
    </row>
    <row r="307">
      <c r="Y307" s="72"/>
    </row>
    <row r="308">
      <c r="Y308" s="72"/>
    </row>
    <row r="309">
      <c r="Y309" s="72"/>
    </row>
    <row r="310">
      <c r="Y310" s="72"/>
    </row>
    <row r="311">
      <c r="Y311" s="72"/>
    </row>
    <row r="312">
      <c r="Y312" s="72"/>
    </row>
    <row r="313">
      <c r="Y313" s="72"/>
    </row>
    <row r="314">
      <c r="Y314" s="72"/>
    </row>
    <row r="315">
      <c r="Y315" s="72"/>
    </row>
    <row r="316">
      <c r="Y316" s="72"/>
    </row>
    <row r="317">
      <c r="Y317" s="72"/>
    </row>
    <row r="318">
      <c r="Y318" s="72"/>
    </row>
    <row r="319">
      <c r="Y319" s="72"/>
    </row>
    <row r="320">
      <c r="Y320" s="72"/>
    </row>
    <row r="321">
      <c r="Y321" s="72"/>
    </row>
    <row r="322">
      <c r="Y322" s="72"/>
    </row>
    <row r="323">
      <c r="Y323" s="72"/>
    </row>
    <row r="324">
      <c r="Y324" s="72"/>
    </row>
    <row r="325">
      <c r="Y325" s="72"/>
    </row>
    <row r="326">
      <c r="Y326" s="72"/>
    </row>
    <row r="327">
      <c r="Y327" s="72"/>
    </row>
    <row r="328">
      <c r="Y328" s="72"/>
    </row>
    <row r="329">
      <c r="Y329" s="72"/>
    </row>
    <row r="330">
      <c r="Y330" s="72"/>
    </row>
    <row r="331">
      <c r="Y331" s="72"/>
    </row>
    <row r="332">
      <c r="Y332" s="72"/>
    </row>
    <row r="333">
      <c r="Y333" s="72"/>
    </row>
    <row r="334">
      <c r="Y334" s="72"/>
    </row>
    <row r="335">
      <c r="Y335" s="72"/>
    </row>
    <row r="336">
      <c r="Y336" s="72"/>
    </row>
    <row r="337">
      <c r="Y337" s="72"/>
    </row>
    <row r="338">
      <c r="Y338" s="72"/>
    </row>
    <row r="339">
      <c r="Y339" s="72"/>
    </row>
    <row r="340">
      <c r="Y340" s="72"/>
    </row>
    <row r="341">
      <c r="Y341" s="72"/>
    </row>
    <row r="342">
      <c r="Y342" s="72"/>
    </row>
    <row r="343">
      <c r="Y343" s="72"/>
    </row>
    <row r="344">
      <c r="Y344" s="72"/>
    </row>
    <row r="345">
      <c r="Y345" s="72"/>
    </row>
    <row r="346">
      <c r="Y346" s="72"/>
    </row>
    <row r="347">
      <c r="Y347" s="72"/>
    </row>
    <row r="348">
      <c r="Y348" s="72"/>
    </row>
    <row r="349">
      <c r="Y349" s="72"/>
    </row>
    <row r="350">
      <c r="Y350" s="72"/>
    </row>
    <row r="351">
      <c r="Y351" s="72"/>
    </row>
    <row r="352">
      <c r="Y352" s="72"/>
    </row>
    <row r="353">
      <c r="Y353" s="72"/>
    </row>
    <row r="354">
      <c r="Y354" s="72"/>
    </row>
    <row r="355">
      <c r="Y355" s="72"/>
    </row>
    <row r="356">
      <c r="Y356" s="72"/>
    </row>
    <row r="357">
      <c r="Y357" s="72"/>
    </row>
    <row r="358">
      <c r="Y358" s="72"/>
    </row>
    <row r="359">
      <c r="Y359" s="72"/>
    </row>
    <row r="360">
      <c r="Y360" s="72"/>
    </row>
    <row r="361">
      <c r="Y361" s="72"/>
    </row>
    <row r="362">
      <c r="Y362" s="72"/>
    </row>
    <row r="363">
      <c r="Y363" s="72"/>
    </row>
    <row r="364">
      <c r="Y364" s="72"/>
    </row>
    <row r="365">
      <c r="Y365" s="72"/>
    </row>
    <row r="366">
      <c r="Y366" s="72"/>
    </row>
    <row r="367">
      <c r="Y367" s="72"/>
    </row>
    <row r="368">
      <c r="Y368" s="72"/>
    </row>
    <row r="369">
      <c r="Y369" s="72"/>
    </row>
    <row r="370">
      <c r="Y370" s="72"/>
    </row>
    <row r="371">
      <c r="Y371" s="72"/>
    </row>
    <row r="372">
      <c r="Y372" s="72"/>
    </row>
    <row r="373">
      <c r="Y373" s="72"/>
    </row>
    <row r="374">
      <c r="Y374" s="72"/>
    </row>
    <row r="375">
      <c r="Y375" s="72"/>
    </row>
    <row r="376">
      <c r="Y376" s="72"/>
    </row>
    <row r="377">
      <c r="Y377" s="72"/>
    </row>
    <row r="378">
      <c r="Y378" s="72"/>
    </row>
    <row r="379">
      <c r="Y379" s="72"/>
    </row>
    <row r="380">
      <c r="Y380" s="72"/>
    </row>
    <row r="381">
      <c r="Y381" s="72"/>
    </row>
    <row r="382">
      <c r="Y382" s="72"/>
    </row>
    <row r="383">
      <c r="Y383" s="72"/>
    </row>
    <row r="384">
      <c r="Y384" s="72"/>
    </row>
    <row r="385">
      <c r="Y385" s="72"/>
    </row>
    <row r="386">
      <c r="Y386" s="72"/>
    </row>
    <row r="387">
      <c r="Y387" s="72"/>
    </row>
    <row r="388">
      <c r="Y388" s="72"/>
    </row>
    <row r="389">
      <c r="Y389" s="72"/>
    </row>
    <row r="390">
      <c r="Y390" s="72"/>
    </row>
    <row r="391">
      <c r="Y391" s="72"/>
    </row>
    <row r="392">
      <c r="Y392" s="72"/>
    </row>
    <row r="393">
      <c r="Y393" s="72"/>
    </row>
    <row r="394">
      <c r="Y394" s="72"/>
    </row>
    <row r="395">
      <c r="Y395" s="72"/>
    </row>
    <row r="396">
      <c r="Y396" s="72"/>
    </row>
    <row r="397">
      <c r="Y397" s="72"/>
    </row>
    <row r="398">
      <c r="Y398" s="72"/>
    </row>
    <row r="399">
      <c r="Y399" s="72"/>
    </row>
    <row r="400">
      <c r="Y400" s="72"/>
    </row>
    <row r="401">
      <c r="Y401" s="72"/>
    </row>
    <row r="402">
      <c r="Y402" s="72"/>
    </row>
    <row r="403">
      <c r="Y403" s="72"/>
    </row>
    <row r="404">
      <c r="Y404" s="72"/>
    </row>
    <row r="405">
      <c r="Y405" s="72"/>
    </row>
    <row r="406">
      <c r="Y406" s="72"/>
    </row>
    <row r="407">
      <c r="Y407" s="72"/>
    </row>
    <row r="408">
      <c r="Y408" s="72"/>
    </row>
    <row r="409">
      <c r="Y409" s="72"/>
    </row>
    <row r="410">
      <c r="Y410" s="72"/>
    </row>
    <row r="411">
      <c r="Y411" s="72"/>
    </row>
    <row r="412">
      <c r="Y412" s="72"/>
    </row>
    <row r="413">
      <c r="Y413" s="72"/>
    </row>
    <row r="414">
      <c r="Y414" s="72"/>
    </row>
    <row r="415">
      <c r="Y415" s="72"/>
    </row>
    <row r="416">
      <c r="Y416" s="72"/>
    </row>
    <row r="417">
      <c r="Y417" s="72"/>
    </row>
    <row r="418">
      <c r="Y418" s="72"/>
    </row>
    <row r="419">
      <c r="Y419" s="72"/>
    </row>
    <row r="420">
      <c r="Y420" s="72"/>
    </row>
    <row r="421">
      <c r="Y421" s="72"/>
    </row>
    <row r="422">
      <c r="Y422" s="72"/>
    </row>
    <row r="423">
      <c r="Y423" s="72"/>
    </row>
    <row r="424">
      <c r="Y424" s="72"/>
    </row>
    <row r="425">
      <c r="Y425" s="72"/>
    </row>
    <row r="426">
      <c r="Y426" s="72"/>
    </row>
    <row r="427">
      <c r="Y427" s="72"/>
    </row>
    <row r="428">
      <c r="Y428" s="72"/>
    </row>
    <row r="429">
      <c r="Y429" s="72"/>
    </row>
    <row r="430">
      <c r="Y430" s="72"/>
    </row>
    <row r="431">
      <c r="Y431" s="72"/>
    </row>
    <row r="432">
      <c r="Y432" s="72"/>
    </row>
    <row r="433">
      <c r="Y433" s="72"/>
    </row>
    <row r="434">
      <c r="Y434" s="72"/>
    </row>
    <row r="435">
      <c r="Y435" s="72"/>
    </row>
    <row r="436">
      <c r="Y436" s="72"/>
    </row>
    <row r="437">
      <c r="Y437" s="72"/>
    </row>
    <row r="438">
      <c r="Y438" s="72"/>
    </row>
    <row r="439">
      <c r="Y439" s="72"/>
    </row>
    <row r="440">
      <c r="Y440" s="72"/>
    </row>
    <row r="441">
      <c r="Y441" s="72"/>
    </row>
    <row r="442">
      <c r="Y442" s="72"/>
    </row>
    <row r="443">
      <c r="Y443" s="72"/>
    </row>
    <row r="444">
      <c r="Y444" s="72"/>
    </row>
    <row r="445">
      <c r="Y445" s="72"/>
    </row>
    <row r="446">
      <c r="Y446" s="72"/>
    </row>
    <row r="447">
      <c r="Y447" s="72"/>
    </row>
    <row r="448">
      <c r="Y448" s="72"/>
    </row>
    <row r="449">
      <c r="Y449" s="72"/>
    </row>
    <row r="450">
      <c r="Y450" s="72"/>
    </row>
    <row r="451">
      <c r="Y451" s="72"/>
    </row>
    <row r="452">
      <c r="Y452" s="72"/>
    </row>
    <row r="453">
      <c r="Y453" s="72"/>
    </row>
    <row r="454">
      <c r="Y454" s="72"/>
    </row>
    <row r="455">
      <c r="Y455" s="72"/>
    </row>
    <row r="456">
      <c r="Y456" s="72"/>
    </row>
    <row r="457">
      <c r="Y457" s="72"/>
    </row>
    <row r="458">
      <c r="Y458" s="72"/>
    </row>
    <row r="459">
      <c r="Y459" s="72"/>
    </row>
    <row r="460">
      <c r="Y460" s="72"/>
    </row>
    <row r="461">
      <c r="Y461" s="72"/>
    </row>
    <row r="462">
      <c r="Y462" s="72"/>
    </row>
    <row r="463">
      <c r="Y463" s="72"/>
    </row>
    <row r="464">
      <c r="Y464" s="72"/>
    </row>
    <row r="465">
      <c r="Y465" s="72"/>
    </row>
    <row r="466">
      <c r="Y466" s="72"/>
    </row>
    <row r="467">
      <c r="Y467" s="72"/>
    </row>
    <row r="468">
      <c r="Y468" s="72"/>
    </row>
    <row r="469">
      <c r="Y469" s="72"/>
    </row>
    <row r="470">
      <c r="Y470" s="72"/>
    </row>
    <row r="471">
      <c r="Y471" s="72"/>
    </row>
    <row r="472">
      <c r="Y472" s="72"/>
    </row>
    <row r="473">
      <c r="Y473" s="72"/>
    </row>
    <row r="474">
      <c r="Y474" s="72"/>
    </row>
    <row r="475">
      <c r="Y475" s="72"/>
    </row>
    <row r="476">
      <c r="Y476" s="72"/>
    </row>
    <row r="477">
      <c r="Y477" s="72"/>
    </row>
    <row r="478">
      <c r="Y478" s="72"/>
    </row>
    <row r="479">
      <c r="Y479" s="72"/>
    </row>
    <row r="480">
      <c r="Y480" s="72"/>
    </row>
    <row r="481">
      <c r="Y481" s="72"/>
    </row>
    <row r="482">
      <c r="Y482" s="72"/>
    </row>
    <row r="483">
      <c r="Y483" s="72"/>
    </row>
    <row r="484">
      <c r="Y484" s="72"/>
    </row>
    <row r="485">
      <c r="Y485" s="72"/>
    </row>
    <row r="486">
      <c r="Y486" s="72"/>
    </row>
    <row r="487">
      <c r="Y487" s="72"/>
    </row>
    <row r="488">
      <c r="Y488" s="72"/>
    </row>
    <row r="489">
      <c r="Y489" s="72"/>
    </row>
    <row r="490">
      <c r="Y490" s="72"/>
    </row>
    <row r="491">
      <c r="Y491" s="72"/>
    </row>
    <row r="492">
      <c r="Y492" s="72"/>
    </row>
    <row r="493">
      <c r="Y493" s="72"/>
    </row>
    <row r="494">
      <c r="Y494" s="72"/>
    </row>
    <row r="495">
      <c r="Y495" s="72"/>
    </row>
    <row r="496">
      <c r="Y496" s="72"/>
    </row>
    <row r="497">
      <c r="Y497" s="72"/>
    </row>
    <row r="498">
      <c r="Y498" s="72"/>
    </row>
    <row r="499">
      <c r="Y499" s="72"/>
    </row>
    <row r="500">
      <c r="Y500" s="72"/>
    </row>
    <row r="501">
      <c r="Y501" s="72"/>
    </row>
    <row r="502">
      <c r="Y502" s="72"/>
    </row>
    <row r="503">
      <c r="Y503" s="72"/>
    </row>
    <row r="504">
      <c r="Y504" s="72"/>
    </row>
    <row r="505">
      <c r="Y505" s="72"/>
    </row>
    <row r="506">
      <c r="Y506" s="72"/>
    </row>
    <row r="507">
      <c r="Y507" s="72"/>
    </row>
    <row r="508">
      <c r="Y508" s="72"/>
    </row>
    <row r="509">
      <c r="Y509" s="72"/>
    </row>
    <row r="510">
      <c r="Y510" s="72"/>
    </row>
    <row r="511">
      <c r="Y511" s="72"/>
    </row>
    <row r="512">
      <c r="Y512" s="72"/>
    </row>
    <row r="513">
      <c r="Y513" s="72"/>
    </row>
    <row r="514">
      <c r="Y514" s="72"/>
    </row>
    <row r="515">
      <c r="Y515" s="72"/>
    </row>
    <row r="516">
      <c r="Y516" s="72"/>
    </row>
    <row r="517">
      <c r="Y517" s="72"/>
    </row>
    <row r="518">
      <c r="Y518" s="72"/>
    </row>
    <row r="519">
      <c r="Y519" s="72"/>
    </row>
    <row r="520">
      <c r="Y520" s="72"/>
    </row>
    <row r="521">
      <c r="Y521" s="72"/>
    </row>
    <row r="522">
      <c r="Y522" s="72"/>
    </row>
    <row r="523">
      <c r="Y523" s="72"/>
    </row>
    <row r="524">
      <c r="Y524" s="72"/>
    </row>
    <row r="525">
      <c r="Y525" s="72"/>
    </row>
    <row r="526">
      <c r="Y526" s="72"/>
    </row>
    <row r="527">
      <c r="Y527" s="72"/>
    </row>
    <row r="528">
      <c r="Y528" s="72"/>
    </row>
    <row r="529">
      <c r="Y529" s="72"/>
    </row>
    <row r="530">
      <c r="Y530" s="72"/>
    </row>
    <row r="531">
      <c r="Y531" s="72"/>
    </row>
    <row r="532">
      <c r="Y532" s="72"/>
    </row>
    <row r="533">
      <c r="Y533" s="72"/>
    </row>
    <row r="534">
      <c r="Y534" s="72"/>
    </row>
    <row r="535">
      <c r="Y535" s="72"/>
    </row>
    <row r="536">
      <c r="Y536" s="72"/>
    </row>
    <row r="537">
      <c r="Y537" s="72"/>
    </row>
    <row r="538">
      <c r="Y538" s="72"/>
    </row>
    <row r="539">
      <c r="Y539" s="72"/>
    </row>
    <row r="540">
      <c r="Y540" s="72"/>
    </row>
    <row r="541">
      <c r="Y541" s="72"/>
    </row>
    <row r="542">
      <c r="Y542" s="72"/>
    </row>
    <row r="543">
      <c r="Y543" s="72"/>
    </row>
    <row r="544">
      <c r="Y544" s="72"/>
    </row>
    <row r="545">
      <c r="Y545" s="72"/>
    </row>
    <row r="546">
      <c r="Y546" s="72"/>
    </row>
    <row r="547">
      <c r="Y547" s="72"/>
    </row>
    <row r="548">
      <c r="Y548" s="72"/>
    </row>
    <row r="549">
      <c r="Y549" s="72"/>
    </row>
    <row r="550">
      <c r="Y550" s="72"/>
    </row>
    <row r="551">
      <c r="Y551" s="72"/>
    </row>
    <row r="552">
      <c r="Y552" s="72"/>
    </row>
    <row r="553">
      <c r="Y553" s="72"/>
    </row>
    <row r="554">
      <c r="Y554" s="72"/>
    </row>
    <row r="555">
      <c r="Y555" s="72"/>
    </row>
    <row r="556">
      <c r="Y556" s="72"/>
    </row>
    <row r="557">
      <c r="Y557" s="72"/>
    </row>
    <row r="558">
      <c r="Y558" s="72"/>
    </row>
    <row r="559">
      <c r="Y559" s="72"/>
    </row>
    <row r="560">
      <c r="Y560" s="72"/>
    </row>
    <row r="561">
      <c r="Y561" s="72"/>
    </row>
    <row r="562">
      <c r="Y562" s="72"/>
    </row>
    <row r="563">
      <c r="Y563" s="72"/>
    </row>
    <row r="564">
      <c r="Y564" s="72"/>
    </row>
    <row r="565">
      <c r="Y565" s="72"/>
    </row>
    <row r="566">
      <c r="Y566" s="72"/>
    </row>
    <row r="567">
      <c r="Y567" s="72"/>
    </row>
    <row r="568">
      <c r="Y568" s="72"/>
    </row>
    <row r="569">
      <c r="Y569" s="72"/>
    </row>
    <row r="570">
      <c r="Y570" s="72"/>
    </row>
    <row r="571">
      <c r="Y571" s="72"/>
    </row>
    <row r="572">
      <c r="Y572" s="72"/>
    </row>
    <row r="573">
      <c r="Y573" s="72"/>
    </row>
    <row r="574">
      <c r="Y574" s="72"/>
    </row>
    <row r="575">
      <c r="Y575" s="72"/>
    </row>
    <row r="576">
      <c r="Y576" s="72"/>
    </row>
    <row r="577">
      <c r="Y577" s="72"/>
    </row>
    <row r="578">
      <c r="Y578" s="72"/>
    </row>
    <row r="579">
      <c r="Y579" s="72"/>
    </row>
    <row r="580">
      <c r="Y580" s="72"/>
    </row>
    <row r="581">
      <c r="Y581" s="72"/>
    </row>
    <row r="582">
      <c r="Y582" s="72"/>
    </row>
    <row r="583">
      <c r="Y583" s="72"/>
    </row>
    <row r="584">
      <c r="Y584" s="72"/>
    </row>
    <row r="585">
      <c r="Y585" s="72"/>
    </row>
    <row r="586">
      <c r="Y586" s="72"/>
    </row>
    <row r="587">
      <c r="Y587" s="72"/>
    </row>
    <row r="588">
      <c r="Y588" s="72"/>
    </row>
    <row r="589">
      <c r="Y589" s="72"/>
    </row>
    <row r="590">
      <c r="Y590" s="72"/>
    </row>
    <row r="591">
      <c r="Y591" s="72"/>
    </row>
    <row r="592">
      <c r="Y592" s="72"/>
    </row>
    <row r="593">
      <c r="Y593" s="72"/>
    </row>
    <row r="594">
      <c r="Y594" s="72"/>
    </row>
    <row r="595">
      <c r="Y595" s="72"/>
    </row>
    <row r="596">
      <c r="Y596" s="72"/>
    </row>
    <row r="597">
      <c r="Y597" s="72"/>
    </row>
    <row r="598">
      <c r="Y598" s="72"/>
    </row>
    <row r="599">
      <c r="Y599" s="72"/>
    </row>
    <row r="600">
      <c r="Y600" s="72"/>
    </row>
    <row r="601">
      <c r="Y601" s="72"/>
    </row>
    <row r="602">
      <c r="Y602" s="72"/>
    </row>
    <row r="603">
      <c r="Y603" s="72"/>
    </row>
    <row r="604">
      <c r="Y604" s="72"/>
    </row>
    <row r="605">
      <c r="Y605" s="72"/>
    </row>
    <row r="606">
      <c r="Y606" s="72"/>
    </row>
    <row r="607">
      <c r="Y607" s="72"/>
    </row>
    <row r="608">
      <c r="Y608" s="72"/>
    </row>
    <row r="609">
      <c r="Y609" s="72"/>
    </row>
    <row r="610">
      <c r="Y610" s="72"/>
    </row>
    <row r="611">
      <c r="Y611" s="72"/>
    </row>
    <row r="612">
      <c r="Y612" s="72"/>
    </row>
    <row r="613">
      <c r="Y613" s="72"/>
    </row>
    <row r="614">
      <c r="Y614" s="72"/>
    </row>
    <row r="615">
      <c r="Y615" s="72"/>
    </row>
    <row r="616">
      <c r="Y616" s="72"/>
    </row>
    <row r="617">
      <c r="Y617" s="72"/>
    </row>
    <row r="618">
      <c r="Y618" s="72"/>
    </row>
    <row r="619">
      <c r="Y619" s="72"/>
    </row>
    <row r="620">
      <c r="Y620" s="72"/>
    </row>
    <row r="621">
      <c r="Y621" s="72"/>
    </row>
    <row r="622">
      <c r="Y622" s="72"/>
    </row>
    <row r="623">
      <c r="Y623" s="72"/>
    </row>
    <row r="624">
      <c r="Y624" s="72"/>
    </row>
    <row r="625">
      <c r="Y625" s="72"/>
    </row>
    <row r="626">
      <c r="Y626" s="72"/>
    </row>
    <row r="627">
      <c r="Y627" s="72"/>
    </row>
    <row r="628">
      <c r="Y628" s="72"/>
    </row>
    <row r="629">
      <c r="Y629" s="72"/>
    </row>
    <row r="630">
      <c r="Y630" s="72"/>
    </row>
    <row r="631">
      <c r="Y631" s="72"/>
    </row>
    <row r="632">
      <c r="Y632" s="72"/>
    </row>
    <row r="633">
      <c r="Y633" s="72"/>
    </row>
    <row r="634">
      <c r="Y634" s="72"/>
    </row>
    <row r="635">
      <c r="Y635" s="72"/>
    </row>
    <row r="636">
      <c r="Y636" s="72"/>
    </row>
    <row r="637">
      <c r="Y637" s="72"/>
    </row>
    <row r="638">
      <c r="Y638" s="72"/>
    </row>
    <row r="639">
      <c r="Y639" s="72"/>
    </row>
    <row r="640">
      <c r="Y640" s="72"/>
    </row>
    <row r="641">
      <c r="Y641" s="72"/>
    </row>
    <row r="642">
      <c r="Y642" s="72"/>
    </row>
    <row r="643">
      <c r="Y643" s="72"/>
    </row>
    <row r="644">
      <c r="Y644" s="72"/>
    </row>
    <row r="645">
      <c r="Y645" s="72"/>
    </row>
    <row r="646">
      <c r="Y646" s="72"/>
    </row>
    <row r="647">
      <c r="Y647" s="72"/>
    </row>
    <row r="648">
      <c r="Y648" s="72"/>
    </row>
    <row r="649">
      <c r="Y649" s="72"/>
    </row>
    <row r="650">
      <c r="Y650" s="72"/>
    </row>
    <row r="651">
      <c r="Y651" s="72"/>
    </row>
    <row r="652">
      <c r="Y652" s="72"/>
    </row>
    <row r="653">
      <c r="Y653" s="72"/>
    </row>
    <row r="654">
      <c r="Y654" s="72"/>
    </row>
    <row r="655">
      <c r="Y655" s="72"/>
    </row>
    <row r="656">
      <c r="Y656" s="72"/>
    </row>
    <row r="657">
      <c r="Y657" s="72"/>
    </row>
    <row r="658">
      <c r="Y658" s="72"/>
    </row>
    <row r="659">
      <c r="Y659" s="72"/>
    </row>
    <row r="660">
      <c r="Y660" s="72"/>
    </row>
    <row r="661">
      <c r="Y661" s="72"/>
    </row>
    <row r="662">
      <c r="Y662" s="72"/>
    </row>
    <row r="663">
      <c r="Y663" s="72"/>
    </row>
    <row r="664">
      <c r="Y664" s="72"/>
    </row>
    <row r="665">
      <c r="Y665" s="72"/>
    </row>
    <row r="666">
      <c r="Y666" s="72"/>
    </row>
    <row r="667">
      <c r="Y667" s="72"/>
    </row>
    <row r="668">
      <c r="Y668" s="72"/>
    </row>
    <row r="669">
      <c r="Y669" s="72"/>
    </row>
    <row r="670">
      <c r="Y670" s="72"/>
    </row>
    <row r="671">
      <c r="Y671" s="72"/>
    </row>
    <row r="672">
      <c r="Y672" s="72"/>
    </row>
    <row r="673">
      <c r="Y673" s="72"/>
    </row>
    <row r="674">
      <c r="Y674" s="72"/>
    </row>
    <row r="675">
      <c r="Y675" s="72"/>
    </row>
    <row r="676">
      <c r="Y676" s="72"/>
    </row>
    <row r="677">
      <c r="Y677" s="72"/>
    </row>
    <row r="678">
      <c r="Y678" s="72"/>
    </row>
    <row r="679">
      <c r="Y679" s="72"/>
    </row>
    <row r="680">
      <c r="Y680" s="72"/>
    </row>
    <row r="681">
      <c r="Y681" s="72"/>
    </row>
    <row r="682">
      <c r="Y682" s="72"/>
    </row>
    <row r="683">
      <c r="Y683" s="72"/>
    </row>
    <row r="684">
      <c r="Y684" s="72"/>
    </row>
    <row r="685">
      <c r="Y685" s="72"/>
    </row>
    <row r="686">
      <c r="Y686" s="72"/>
    </row>
    <row r="687">
      <c r="Y687" s="72"/>
    </row>
    <row r="688">
      <c r="Y688" s="72"/>
    </row>
    <row r="689">
      <c r="Y689" s="72"/>
    </row>
    <row r="690">
      <c r="Y690" s="72"/>
    </row>
    <row r="691">
      <c r="Y691" s="72"/>
    </row>
    <row r="692">
      <c r="Y692" s="72"/>
    </row>
    <row r="693">
      <c r="Y693" s="72"/>
    </row>
    <row r="694">
      <c r="Y694" s="72"/>
    </row>
    <row r="695">
      <c r="Y695" s="72"/>
    </row>
    <row r="696">
      <c r="Y696" s="72"/>
    </row>
    <row r="697">
      <c r="Y697" s="72"/>
    </row>
    <row r="698">
      <c r="Y698" s="72"/>
    </row>
    <row r="699">
      <c r="Y699" s="72"/>
    </row>
    <row r="700">
      <c r="Y700" s="72"/>
    </row>
    <row r="701">
      <c r="Y701" s="72"/>
    </row>
    <row r="702">
      <c r="Y702" s="72"/>
    </row>
    <row r="703">
      <c r="Y703" s="72"/>
    </row>
    <row r="704">
      <c r="Y704" s="72"/>
    </row>
    <row r="705">
      <c r="Y705" s="72"/>
    </row>
    <row r="706">
      <c r="Y706" s="72"/>
    </row>
    <row r="707">
      <c r="Y707" s="72"/>
    </row>
    <row r="708">
      <c r="Y708" s="72"/>
    </row>
    <row r="709">
      <c r="Y709" s="72"/>
    </row>
    <row r="710">
      <c r="Y710" s="72"/>
    </row>
    <row r="711">
      <c r="Y711" s="72"/>
    </row>
    <row r="712">
      <c r="Y712" s="72"/>
    </row>
    <row r="713">
      <c r="Y713" s="72"/>
    </row>
    <row r="714">
      <c r="Y714" s="72"/>
    </row>
    <row r="715">
      <c r="Y715" s="72"/>
    </row>
    <row r="716">
      <c r="Y716" s="72"/>
    </row>
    <row r="717">
      <c r="Y717" s="72"/>
    </row>
    <row r="718">
      <c r="Y718" s="72"/>
    </row>
    <row r="719">
      <c r="Y719" s="72"/>
    </row>
    <row r="720">
      <c r="Y720" s="72"/>
    </row>
    <row r="721">
      <c r="Y721" s="72"/>
    </row>
    <row r="722">
      <c r="Y722" s="72"/>
    </row>
    <row r="723">
      <c r="Y723" s="72"/>
    </row>
    <row r="724">
      <c r="Y724" s="72"/>
    </row>
    <row r="725">
      <c r="Y725" s="72"/>
    </row>
    <row r="726">
      <c r="Y726" s="72"/>
    </row>
    <row r="727">
      <c r="Y727" s="72"/>
    </row>
    <row r="728">
      <c r="Y728" s="72"/>
    </row>
    <row r="729">
      <c r="Y729" s="72"/>
    </row>
    <row r="730">
      <c r="Y730" s="72"/>
    </row>
    <row r="731">
      <c r="Y731" s="72"/>
    </row>
    <row r="732">
      <c r="Y732" s="72"/>
    </row>
    <row r="733">
      <c r="Y733" s="72"/>
    </row>
    <row r="734">
      <c r="Y734" s="72"/>
    </row>
    <row r="735">
      <c r="Y735" s="72"/>
    </row>
    <row r="736">
      <c r="Y736" s="72"/>
    </row>
    <row r="737">
      <c r="Y737" s="72"/>
    </row>
    <row r="738">
      <c r="Y738" s="72"/>
    </row>
    <row r="739">
      <c r="Y739" s="72"/>
    </row>
    <row r="740">
      <c r="Y740" s="72"/>
    </row>
    <row r="741">
      <c r="Y741" s="72"/>
    </row>
    <row r="742">
      <c r="Y742" s="72"/>
    </row>
    <row r="743">
      <c r="Y743" s="72"/>
    </row>
    <row r="744">
      <c r="Y744" s="72"/>
    </row>
    <row r="745">
      <c r="Y745" s="72"/>
    </row>
    <row r="746">
      <c r="Y746" s="72"/>
    </row>
    <row r="747">
      <c r="Y747" s="72"/>
    </row>
    <row r="748">
      <c r="Y748" s="72"/>
    </row>
    <row r="749">
      <c r="Y749" s="72"/>
    </row>
    <row r="750">
      <c r="Y750" s="72"/>
    </row>
    <row r="751">
      <c r="Y751" s="72"/>
    </row>
    <row r="752">
      <c r="Y752" s="72"/>
    </row>
    <row r="753">
      <c r="Y753" s="72"/>
    </row>
    <row r="754">
      <c r="Y754" s="72"/>
    </row>
    <row r="755">
      <c r="Y755" s="72"/>
    </row>
    <row r="756">
      <c r="Y756" s="72"/>
    </row>
    <row r="757">
      <c r="Y757" s="72"/>
    </row>
    <row r="758">
      <c r="Y758" s="72"/>
    </row>
    <row r="759">
      <c r="Y759" s="72"/>
    </row>
    <row r="760">
      <c r="Y760" s="72"/>
    </row>
    <row r="761">
      <c r="Y761" s="72"/>
    </row>
    <row r="762">
      <c r="Y762" s="72"/>
    </row>
    <row r="763">
      <c r="Y763" s="72"/>
    </row>
    <row r="764">
      <c r="Y764" s="72"/>
    </row>
    <row r="765">
      <c r="Y765" s="72"/>
    </row>
    <row r="766">
      <c r="Y766" s="72"/>
    </row>
    <row r="767">
      <c r="Y767" s="72"/>
    </row>
    <row r="768">
      <c r="Y768" s="72"/>
    </row>
    <row r="769">
      <c r="Y769" s="72"/>
    </row>
    <row r="770">
      <c r="Y770" s="72"/>
    </row>
    <row r="771">
      <c r="Y771" s="72"/>
    </row>
    <row r="772">
      <c r="Y772" s="72"/>
    </row>
    <row r="773">
      <c r="Y773" s="72"/>
    </row>
    <row r="774">
      <c r="Y774" s="72"/>
    </row>
    <row r="775">
      <c r="Y775" s="72"/>
    </row>
    <row r="776">
      <c r="Y776" s="72"/>
    </row>
    <row r="777">
      <c r="Y777" s="72"/>
    </row>
    <row r="778">
      <c r="Y778" s="72"/>
    </row>
    <row r="779">
      <c r="Y779" s="72"/>
    </row>
    <row r="780">
      <c r="Y780" s="72"/>
    </row>
    <row r="781">
      <c r="Y781" s="72"/>
    </row>
    <row r="782">
      <c r="Y782" s="72"/>
    </row>
    <row r="783">
      <c r="Y783" s="72"/>
    </row>
    <row r="784">
      <c r="Y784" s="72"/>
    </row>
    <row r="785">
      <c r="Y785" s="72"/>
    </row>
    <row r="786">
      <c r="Y786" s="72"/>
    </row>
    <row r="787">
      <c r="Y787" s="72"/>
    </row>
    <row r="788">
      <c r="Y788" s="72"/>
    </row>
    <row r="789">
      <c r="Y789" s="72"/>
    </row>
    <row r="790">
      <c r="Y790" s="72"/>
    </row>
    <row r="791">
      <c r="Y791" s="72"/>
    </row>
    <row r="792">
      <c r="Y792" s="72"/>
    </row>
    <row r="793">
      <c r="Y793" s="72"/>
    </row>
    <row r="794">
      <c r="Y794" s="72"/>
    </row>
    <row r="795">
      <c r="Y795" s="72"/>
    </row>
    <row r="796">
      <c r="Y796" s="72"/>
    </row>
    <row r="797">
      <c r="Y797" s="72"/>
    </row>
    <row r="798">
      <c r="Y798" s="72"/>
    </row>
    <row r="799">
      <c r="Y799" s="72"/>
    </row>
    <row r="800">
      <c r="Y800" s="72"/>
    </row>
    <row r="801">
      <c r="Y801" s="72"/>
    </row>
    <row r="802">
      <c r="Y802" s="72"/>
    </row>
    <row r="803">
      <c r="Y803" s="72"/>
    </row>
    <row r="804">
      <c r="Y804" s="72"/>
    </row>
    <row r="805">
      <c r="Y805" s="72"/>
    </row>
    <row r="806">
      <c r="Y806" s="72"/>
    </row>
    <row r="807">
      <c r="Y807" s="72"/>
    </row>
    <row r="808">
      <c r="Y808" s="72"/>
    </row>
    <row r="809">
      <c r="Y809" s="72"/>
    </row>
    <row r="810">
      <c r="Y810" s="72"/>
    </row>
    <row r="811">
      <c r="Y811" s="72"/>
    </row>
    <row r="812">
      <c r="Y812" s="72"/>
    </row>
    <row r="813">
      <c r="Y813" s="72"/>
    </row>
    <row r="814">
      <c r="Y814" s="72"/>
    </row>
    <row r="815">
      <c r="Y815" s="72"/>
    </row>
    <row r="816">
      <c r="Y816" s="72"/>
    </row>
    <row r="817">
      <c r="Y817" s="72"/>
    </row>
    <row r="818">
      <c r="Y818" s="72"/>
    </row>
    <row r="819">
      <c r="Y819" s="72"/>
    </row>
    <row r="820">
      <c r="Y820" s="72"/>
    </row>
    <row r="821">
      <c r="Y821" s="72"/>
    </row>
    <row r="822">
      <c r="Y822" s="72"/>
    </row>
    <row r="823">
      <c r="Y823" s="72"/>
    </row>
    <row r="824">
      <c r="Y824" s="72"/>
    </row>
    <row r="825">
      <c r="Y825" s="72"/>
    </row>
    <row r="826">
      <c r="Y826" s="72"/>
    </row>
    <row r="827">
      <c r="Y827" s="72"/>
    </row>
    <row r="828">
      <c r="Y828" s="72"/>
    </row>
    <row r="829">
      <c r="Y829" s="72"/>
    </row>
    <row r="830">
      <c r="Y830" s="72"/>
    </row>
    <row r="831">
      <c r="Y831" s="72"/>
    </row>
    <row r="832">
      <c r="Y832" s="72"/>
    </row>
    <row r="833">
      <c r="Y833" s="72"/>
    </row>
    <row r="834">
      <c r="Y834" s="72"/>
    </row>
    <row r="835">
      <c r="Y835" s="72"/>
    </row>
    <row r="836">
      <c r="Y836" s="72"/>
    </row>
    <row r="837">
      <c r="Y837" s="72"/>
    </row>
    <row r="838">
      <c r="Y838" s="72"/>
    </row>
    <row r="839">
      <c r="Y839" s="72"/>
    </row>
    <row r="840">
      <c r="Y840" s="72"/>
    </row>
    <row r="841">
      <c r="Y841" s="72"/>
    </row>
    <row r="842">
      <c r="Y842" s="72"/>
    </row>
    <row r="843">
      <c r="Y843" s="72"/>
    </row>
    <row r="844">
      <c r="Y844" s="72"/>
    </row>
    <row r="845">
      <c r="Y845" s="72"/>
    </row>
    <row r="846">
      <c r="Y846" s="72"/>
    </row>
    <row r="847">
      <c r="Y847" s="72"/>
    </row>
    <row r="848">
      <c r="Y848" s="72"/>
    </row>
    <row r="849">
      <c r="Y849" s="72"/>
    </row>
    <row r="850">
      <c r="Y850" s="72"/>
    </row>
    <row r="851">
      <c r="Y851" s="72"/>
    </row>
    <row r="852">
      <c r="Y852" s="72"/>
    </row>
    <row r="853">
      <c r="Y853" s="72"/>
    </row>
    <row r="854">
      <c r="Y854" s="72"/>
    </row>
    <row r="855">
      <c r="Y855" s="72"/>
    </row>
    <row r="856">
      <c r="Y856" s="72"/>
    </row>
    <row r="857">
      <c r="Y857" s="72"/>
    </row>
    <row r="858">
      <c r="Y858" s="72"/>
    </row>
    <row r="859">
      <c r="Y859" s="72"/>
    </row>
    <row r="860">
      <c r="Y860" s="72"/>
    </row>
    <row r="861">
      <c r="Y861" s="72"/>
    </row>
    <row r="862">
      <c r="Y862" s="72"/>
    </row>
    <row r="863">
      <c r="Y863" s="72"/>
    </row>
    <row r="864">
      <c r="Y864" s="72"/>
    </row>
    <row r="865">
      <c r="Y865" s="72"/>
    </row>
    <row r="866">
      <c r="Y866" s="72"/>
    </row>
    <row r="867">
      <c r="Y867" s="72"/>
    </row>
    <row r="868">
      <c r="Y868" s="72"/>
    </row>
    <row r="869">
      <c r="Y869" s="72"/>
    </row>
    <row r="870">
      <c r="Y870" s="72"/>
    </row>
    <row r="871">
      <c r="Y871" s="72"/>
    </row>
    <row r="872">
      <c r="Y872" s="72"/>
    </row>
    <row r="873">
      <c r="Y873" s="72"/>
    </row>
    <row r="874">
      <c r="Y874" s="72"/>
    </row>
    <row r="875">
      <c r="Y875" s="72"/>
    </row>
    <row r="876">
      <c r="Y876" s="72"/>
    </row>
    <row r="877">
      <c r="Y877" s="72"/>
    </row>
    <row r="878">
      <c r="Y878" s="72"/>
    </row>
    <row r="879">
      <c r="Y879" s="72"/>
    </row>
    <row r="880">
      <c r="Y880" s="72"/>
    </row>
    <row r="881">
      <c r="Y881" s="72"/>
    </row>
    <row r="882">
      <c r="Y882" s="72"/>
    </row>
    <row r="883">
      <c r="Y883" s="72"/>
    </row>
    <row r="884">
      <c r="Y884" s="72"/>
    </row>
    <row r="885">
      <c r="Y885" s="72"/>
    </row>
    <row r="886">
      <c r="Y886" s="72"/>
    </row>
    <row r="887">
      <c r="Y887" s="72"/>
    </row>
    <row r="888">
      <c r="Y888" s="72"/>
    </row>
    <row r="889">
      <c r="Y889" s="72"/>
    </row>
    <row r="890">
      <c r="Y890" s="72"/>
    </row>
    <row r="891">
      <c r="Y891" s="72"/>
    </row>
    <row r="892">
      <c r="Y892" s="72"/>
    </row>
    <row r="893">
      <c r="Y893" s="72"/>
    </row>
    <row r="894">
      <c r="Y894" s="72"/>
    </row>
    <row r="895">
      <c r="Y895" s="72"/>
    </row>
    <row r="896">
      <c r="Y896" s="72"/>
    </row>
    <row r="897">
      <c r="Y897" s="72"/>
    </row>
    <row r="898">
      <c r="Y898" s="72"/>
    </row>
    <row r="899">
      <c r="Y899" s="72"/>
    </row>
    <row r="900">
      <c r="Y900" s="72"/>
    </row>
    <row r="901">
      <c r="Y901" s="72"/>
    </row>
    <row r="902">
      <c r="Y902" s="72"/>
    </row>
    <row r="903">
      <c r="Y903" s="72"/>
    </row>
    <row r="904">
      <c r="Y904" s="72"/>
    </row>
    <row r="905">
      <c r="Y905" s="72"/>
    </row>
    <row r="906">
      <c r="Y906" s="72"/>
    </row>
    <row r="907">
      <c r="Y907" s="72"/>
    </row>
    <row r="908">
      <c r="Y908" s="72"/>
    </row>
    <row r="909">
      <c r="Y909" s="72"/>
    </row>
    <row r="910">
      <c r="Y910" s="72"/>
    </row>
    <row r="911">
      <c r="Y911" s="72"/>
    </row>
    <row r="912">
      <c r="Y912" s="72"/>
    </row>
    <row r="913">
      <c r="Y913" s="72"/>
    </row>
    <row r="914">
      <c r="Y914" s="72"/>
    </row>
    <row r="915">
      <c r="Y915" s="72"/>
    </row>
    <row r="916">
      <c r="Y916" s="72"/>
    </row>
    <row r="917">
      <c r="Y917" s="72"/>
    </row>
    <row r="918">
      <c r="Y918" s="72"/>
    </row>
    <row r="919">
      <c r="Y919" s="72"/>
    </row>
    <row r="920">
      <c r="Y920" s="72"/>
    </row>
    <row r="921">
      <c r="Y921" s="72"/>
    </row>
    <row r="922">
      <c r="Y922" s="72"/>
    </row>
    <row r="923">
      <c r="Y923" s="72"/>
    </row>
    <row r="924">
      <c r="Y924" s="72"/>
    </row>
    <row r="925">
      <c r="Y925" s="72"/>
    </row>
    <row r="926">
      <c r="Y926" s="72"/>
    </row>
    <row r="927">
      <c r="Y927" s="72"/>
    </row>
    <row r="928">
      <c r="Y928" s="72"/>
    </row>
    <row r="929">
      <c r="Y929" s="72"/>
    </row>
    <row r="930">
      <c r="Y930" s="72"/>
    </row>
    <row r="931">
      <c r="Y931" s="72"/>
    </row>
    <row r="932">
      <c r="Y932" s="72"/>
    </row>
    <row r="933">
      <c r="Y933" s="72"/>
    </row>
    <row r="934">
      <c r="Y934" s="72"/>
    </row>
    <row r="935">
      <c r="Y935" s="72"/>
    </row>
    <row r="936">
      <c r="Y936" s="72"/>
    </row>
    <row r="937">
      <c r="Y937" s="72"/>
    </row>
    <row r="938">
      <c r="Y938" s="72"/>
    </row>
    <row r="939">
      <c r="Y939" s="72"/>
    </row>
    <row r="940">
      <c r="Y940" s="72"/>
    </row>
    <row r="941">
      <c r="Y941" s="72"/>
    </row>
    <row r="942">
      <c r="Y942" s="72"/>
    </row>
    <row r="943">
      <c r="Y943" s="72"/>
    </row>
    <row r="944">
      <c r="Y944" s="72"/>
    </row>
    <row r="945">
      <c r="Y945" s="72"/>
    </row>
    <row r="946">
      <c r="Y946" s="72"/>
    </row>
    <row r="947">
      <c r="Y947" s="72"/>
    </row>
    <row r="948">
      <c r="Y948" s="72"/>
    </row>
    <row r="949">
      <c r="Y949" s="72"/>
    </row>
    <row r="950">
      <c r="Y950" s="72"/>
    </row>
    <row r="951">
      <c r="Y951" s="72"/>
    </row>
    <row r="952">
      <c r="Y952" s="72"/>
    </row>
    <row r="953">
      <c r="Y953" s="72"/>
    </row>
    <row r="954">
      <c r="Y954" s="72"/>
    </row>
    <row r="955">
      <c r="Y955" s="72"/>
    </row>
    <row r="956">
      <c r="Y956" s="72"/>
    </row>
    <row r="957">
      <c r="Y957" s="72"/>
    </row>
    <row r="958">
      <c r="Y958" s="72"/>
    </row>
    <row r="959">
      <c r="Y959" s="72"/>
    </row>
    <row r="960">
      <c r="Y960" s="72"/>
    </row>
    <row r="961">
      <c r="Y961" s="72"/>
    </row>
    <row r="962">
      <c r="Y962" s="72"/>
    </row>
    <row r="963">
      <c r="Y963" s="72"/>
    </row>
    <row r="964">
      <c r="Y964" s="72"/>
    </row>
    <row r="965">
      <c r="Y965" s="72"/>
    </row>
    <row r="966">
      <c r="Y966" s="72"/>
    </row>
    <row r="967">
      <c r="Y967" s="72"/>
    </row>
    <row r="968">
      <c r="Y968" s="72"/>
    </row>
    <row r="969">
      <c r="Y969" s="72"/>
    </row>
    <row r="970">
      <c r="Y970" s="72"/>
    </row>
    <row r="971">
      <c r="Y971" s="72"/>
    </row>
    <row r="972">
      <c r="Y972" s="72"/>
    </row>
    <row r="973">
      <c r="Y973" s="72"/>
    </row>
    <row r="974">
      <c r="Y974" s="72"/>
    </row>
    <row r="975">
      <c r="Y975" s="72"/>
    </row>
    <row r="976">
      <c r="Y976" s="72"/>
    </row>
    <row r="977">
      <c r="Y977" s="72"/>
    </row>
    <row r="978">
      <c r="Y978" s="72"/>
    </row>
    <row r="979">
      <c r="Y979" s="72"/>
    </row>
    <row r="980">
      <c r="Y980" s="72"/>
    </row>
    <row r="981">
      <c r="Y981" s="72"/>
    </row>
    <row r="982">
      <c r="Y982" s="72"/>
    </row>
    <row r="983">
      <c r="Y983" s="72"/>
    </row>
    <row r="984">
      <c r="Y984" s="72"/>
    </row>
    <row r="985">
      <c r="Y985" s="72"/>
    </row>
    <row r="986">
      <c r="Y986" s="72"/>
    </row>
    <row r="987">
      <c r="Y987" s="72"/>
    </row>
    <row r="988">
      <c r="Y988" s="72"/>
    </row>
    <row r="989">
      <c r="Y989" s="72"/>
    </row>
    <row r="990">
      <c r="Y990" s="72"/>
    </row>
    <row r="991">
      <c r="Y991" s="72"/>
    </row>
    <row r="992">
      <c r="Y992" s="72"/>
    </row>
    <row r="993">
      <c r="Y993" s="72"/>
    </row>
    <row r="994">
      <c r="Y994" s="72"/>
    </row>
    <row r="995">
      <c r="Y995" s="72"/>
    </row>
    <row r="996">
      <c r="Y996" s="72"/>
    </row>
    <row r="997">
      <c r="Y997" s="72"/>
    </row>
    <row r="998">
      <c r="Y998" s="72"/>
    </row>
    <row r="999">
      <c r="Y999" s="72"/>
    </row>
    <row r="1000">
      <c r="Y1000" s="72"/>
    </row>
  </sheetData>
  <drawing r:id="rId1"/>
</worksheet>
</file>