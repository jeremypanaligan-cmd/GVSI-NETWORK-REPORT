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LT DOWN Tickets" sheetId="1" r:id="rId5"/>
  </sheets>
  <definedNames/>
  <calcPr/>
</workbook>
</file>

<file path=xl/sharedStrings.xml><?xml version="1.0" encoding="utf-8"?>
<sst xmlns="http://schemas.openxmlformats.org/spreadsheetml/2006/main" count="18" uniqueCount="18">
  <si>
    <t>MONTH YEAR</t>
  </si>
  <si>
    <t>DATE</t>
  </si>
  <si>
    <t>PROVINCE</t>
  </si>
  <si>
    <t>AREA</t>
  </si>
  <si>
    <t>TICKET</t>
  </si>
  <si>
    <t>DESCRIPTION</t>
  </si>
  <si>
    <t>CLIENTS</t>
  </si>
  <si>
    <t>IMPACT</t>
  </si>
  <si>
    <t>ISSUE</t>
  </si>
  <si>
    <t>FROM</t>
  </si>
  <si>
    <t>DOWN TIME</t>
  </si>
  <si>
    <t>DATE ENDORSED</t>
  </si>
  <si>
    <t>AGING DURATION</t>
  </si>
  <si>
    <t>NUMBER OF OLTS</t>
  </si>
  <si>
    <t>NUMBER OF CLIENTS</t>
  </si>
  <si>
    <t>REMARKS</t>
  </si>
  <si>
    <t>8d 3h 13m</t>
  </si>
  <si>
    <t>0d 5h 32m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</si>
</sst>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 H:mm:ss"/>
  </numFmts>
  <fonts count="3">
    <font>
      <sz val="10.0"/>
      <color rgb="FF000000"/>
      <name val="Arial"/>
      <scheme val="minor"/>
    </font>
    <font>
      <b/>
      <sz val="7.0"/>
      <color theme="1"/>
      <name val="Nunito"/>
    </font>
    <font>
      <sz val="7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1" fillId="2" fontId="1" numFmtId="164" xfId="0" applyAlignment="1" applyBorder="1" applyFont="1" applyNumberFormat="1">
      <alignment horizontal="left" readingOrder="0" shrinkToFit="0" vertical="center" wrapText="1"/>
    </xf>
    <xf borderId="1" fillId="3" fontId="1" numFmtId="3" xfId="0" applyAlignment="1" applyBorder="1" applyFill="1" applyFont="1" applyNumberFormat="1">
      <alignment horizontal="left" readingOrder="0" shrinkToFit="0" vertical="center" wrapText="1"/>
    </xf>
    <xf borderId="1" fillId="3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0" fontId="1" numFmtId="164" xfId="0" applyAlignment="1" applyBorder="1" applyFont="1" applyNumberFormat="1">
      <alignment horizontal="left" shrinkToFit="0" vertical="center" wrapText="1"/>
    </xf>
    <xf borderId="1" fillId="0" fontId="1" numFmtId="165" xfId="0" applyAlignment="1" applyBorder="1" applyFont="1" applyNumberFormat="1">
      <alignment horizontal="left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4" fontId="1" numFmtId="3" xfId="0" applyAlignment="1" applyBorder="1" applyFill="1" applyFont="1" applyNumberFormat="1">
      <alignment horizontal="left" readingOrder="0" shrinkToFit="0" vertical="center" wrapText="1"/>
    </xf>
    <xf borderId="1" fillId="4" fontId="1" numFmtId="0" xfId="0" applyAlignment="1" applyBorder="1" applyFont="1">
      <alignment horizontal="left" readingOrder="0" shrinkToFit="0" vertical="center" wrapText="1"/>
    </xf>
    <xf borderId="1" fillId="5" fontId="2" numFmtId="0" xfId="0" applyAlignment="1" applyBorder="1" applyFill="1" applyFont="1">
      <alignment horizontal="left" shrinkToFit="0" vertical="center" wrapText="0"/>
    </xf>
    <xf borderId="1" fillId="5" fontId="2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  <tableStyles count="1">
    <tableStyle count="3" pivot="0" name="OLT DOWN Ticket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Y1:AB50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OLT DOWN Ticket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2" max="2" width="8.88"/>
    <col customWidth="1" min="4" max="4" width="9.25"/>
    <col customWidth="1" min="5" max="5" width="6.63"/>
    <col customWidth="1" min="6" max="6" width="14.63"/>
    <col hidden="1" min="7" max="8" width="12.63"/>
    <col customWidth="1" min="9" max="9" width="45.63"/>
    <col min="10" max="13" width="12.63" outlineLevel="1"/>
    <col customWidth="1" min="14" max="14" width="27.0" outlineLevel="1"/>
    <col customWidth="1" min="15" max="15" width="22.13" outlineLevel="1"/>
    <col hidden="1" min="16" max="23" width="12.63" outlineLevel="1"/>
    <col min="24" max="24" width="12.63" outlineLevel="1"/>
    <col customWidth="1" min="25" max="26" width="15.5" outlineLevel="1"/>
    <col customWidth="1" min="27" max="28" width="15.5"/>
  </cols>
  <sheetData>
    <row r="1">
      <c r="A1" s="1"/>
      <c r="B1" s="2" t="s">
        <v>0</v>
      </c>
      <c r="C1" s="3" t="s">
        <v>1</v>
      </c>
      <c r="D1" s="2" t="s">
        <v>2</v>
      </c>
      <c r="E1" s="2" t="s">
        <v>3</v>
      </c>
      <c r="F1" s="2" t="s">
        <v>4</v>
      </c>
      <c r="G1" s="1"/>
      <c r="H1" s="1"/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1"/>
      <c r="Q1" s="1"/>
      <c r="R1" s="1"/>
      <c r="S1" s="1"/>
      <c r="T1" s="1"/>
      <c r="U1" s="1"/>
      <c r="V1" s="1"/>
      <c r="W1" s="1"/>
      <c r="X1" s="2" t="s">
        <v>12</v>
      </c>
      <c r="Y1" s="4" t="s">
        <v>13</v>
      </c>
      <c r="Z1" s="5" t="s">
        <v>14</v>
      </c>
      <c r="AA1" s="5" t="s">
        <v>15</v>
      </c>
      <c r="AB1" s="5"/>
    </row>
    <row r="2">
      <c r="A2" s="6" t="str">
        <f>IFERROR(__xludf.DUMMYFUNCTION("IFERROR(QUERY(IMPORTRANGE(""https://docs.google.com/spreadsheets/d/159m0SlQEB-oUSGHGADISir5i6z0XvjIus0AdRtE24Lg"",""2025 NOC TICKETS!A2:O""), ""Select * where Col1 = 'OLT/SWITCH' and (Col12 = 'OLT UPLINK DOWN' or Col12 = 'OLT DOWN' or Col12 = 'OLT UPLINK "&amp;"LOW POWER' or Col12 = 'OLT SERVICE DEGRADATION') ORDER BY Col5""), ""NO PENDING TICKET"")"),"OLT/SWITCH")</f>
        <v>OLT/SWITCH</v>
      </c>
      <c r="B2" s="6" t="str">
        <f>IFERROR(__xludf.DUMMYFUNCTION("""COMPUTED_VALUE"""),"August, 2026")</f>
        <v>August, 2026</v>
      </c>
      <c r="C2" s="7">
        <f>IFERROR(__xludf.DUMMYFUNCTION("""COMPUTED_VALUE"""),46240.0)</f>
        <v>46240</v>
      </c>
      <c r="D2" s="6" t="str">
        <f>IFERROR(__xludf.DUMMYFUNCTION("""COMPUTED_VALUE"""),"BENGUET")</f>
        <v>BENGUET</v>
      </c>
      <c r="E2" s="6" t="str">
        <f>IFERROR(__xludf.DUMMYFUNCTION("""COMPUTED_VALUE"""),"KABAYAN")</f>
        <v>KABAYAN</v>
      </c>
      <c r="F2" s="6" t="str">
        <f>IFERROR(__xludf.DUMMYFUNCTION("""COMPUTED_VALUE"""),"TT-20260806-00000620")</f>
        <v>TT-20260806-00000620</v>
      </c>
      <c r="G2" s="6"/>
      <c r="H2" s="6" t="str">
        <f>IFERROR(__xludf.DUMMYFUNCTION("""COMPUTED_VALUE"""),"TT-20260806-00000620 | BENGUET | KABAYAN | NSA | OLT DOWN | TT-20260806-00000620 | ACCESS | MINOR | NSA | OLT DOWN | BENGUET | KYB001-OLT-01
SFDC Ticket ID        undefined
Affected Users (From IM)        0
Start Time        2026-08-06 22:13:14 | Duration"&amp;": 0Days 0Hours 17Minutes
Affected Nodes/Links
KYB001-OLT-01""")</f>
        <v>TT-20260806-00000620 | BENGUET | KABAYAN | NSA | OLT DOWN | TT-20260806-00000620 | ACCESS | MINOR | NSA | OLT DOWN | BENGUET | KYB001-OLT-01
SFDC Ticket ID        undefined
Affected Users (From IM)        0
Start Time        2026-08-06 22:13:14 | Duration: 0Days 0Hours 17Minutes
Affected Nodes/Links
KYB001-OLT-01"</v>
      </c>
      <c r="I2" s="6" t="str">
        <f>IFERROR(__xludf.DUMMYFUNCTION("""COMPUTED_VALUE"""),"TT-20260806-00000620 | ACCESS | MINOR | NSA | OLT DOWN | BENGUET | KYB001-OLT-01
SFDC Ticket ID        undefined
Affected Users (From IM)        0
Start Time        2026-08-06 22:13:14 | Duration: 0Days 0Hours 17Minutes
Affected Nodes/Links
KYB001-OLT-01"&amp;"""")</f>
        <v>TT-20260806-00000620 | ACCESS | MINOR | NSA | OLT DOWN | BENGUET | KYB001-OLT-01
SFDC Ticket ID        undefined
Affected Users (From IM)        0
Start Time        2026-08-06 22:13:14 | Duration: 0Days 0Hours 17Minutes
Affected Nodes/Links
KYB001-OLT-01"</v>
      </c>
      <c r="J2" s="6">
        <f>IFERROR(__xludf.DUMMYFUNCTION("""COMPUTED_VALUE"""),0.0)</f>
        <v>0</v>
      </c>
      <c r="K2" s="6" t="str">
        <f>IFERROR(__xludf.DUMMYFUNCTION("""COMPUTED_VALUE"""),"NSA")</f>
        <v>NSA</v>
      </c>
      <c r="L2" s="6" t="str">
        <f>IFERROR(__xludf.DUMMYFUNCTION("""COMPUTED_VALUE"""),"OLT DOWN")</f>
        <v>OLT DOWN</v>
      </c>
      <c r="M2" s="6" t="str">
        <f>IFERROR(__xludf.DUMMYFUNCTION("""COMPUTED_VALUE"""),"GNOC")</f>
        <v>GNOC</v>
      </c>
      <c r="N2" s="8">
        <f>IFERROR(__xludf.DUMMYFUNCTION("""COMPUTED_VALUE"""),46240.92600694444)</f>
        <v>46240.92601</v>
      </c>
      <c r="O2" s="8">
        <f>IFERROR(__xludf.DUMMYFUNCTION("""COMPUTED_VALUE"""),46240.92600694444)</f>
        <v>46240.92601</v>
      </c>
      <c r="P2" s="8"/>
      <c r="Q2" s="6"/>
      <c r="R2" s="6"/>
      <c r="S2" s="6"/>
      <c r="T2" s="6"/>
      <c r="U2" s="6"/>
      <c r="V2" s="6"/>
      <c r="W2" s="6"/>
      <c r="X2" s="9" t="s">
        <v>16</v>
      </c>
      <c r="Y2" s="10">
        <f t="shared" ref="Y2:Y50" si="1">IF(AB2="", "", (LEN(AB2)-LEN(SUBSTITUTE(UPPER(AB2),"OLT","")))/3)</f>
        <v>1</v>
      </c>
      <c r="Z2" s="11">
        <f>IFERROR(__xludf.DUMMYFUNCTION("IF(I2="""", """", IFERROR(VALUE(REGEXEXTRACT(I2, ""(?:No\.?\s*of\s*)?[Ss]ubs:?\s*(\d+)"")), 0) + IFERROR(VALUE(REGEXEXTRACT(I2, ""Affected Users(?:\s*\(From IM\))?:?\s*(\d+)"")), 0) + IFERROR(VALUE(REGEXEXTRACT(I2, ""Affected Clients:\s*(\d+)"")), 0))"),0.0)</f>
        <v>0</v>
      </c>
      <c r="AA2" s="11"/>
      <c r="AB2" s="12" t="str">
        <f t="shared" ref="AB2:AB15" si="2">IF(ISBLANK(I2), "", EXTRACT_OLT(I2))</f>
        <v>KYB001-OLT-01</v>
      </c>
    </row>
    <row r="3">
      <c r="A3" s="6" t="str">
        <f>IFERROR(__xludf.DUMMYFUNCTION("""COMPUTED_VALUE"""),"OLT/SWITCH")</f>
        <v>OLT/SWITCH</v>
      </c>
      <c r="B3" s="6" t="str">
        <f>IFERROR(__xludf.DUMMYFUNCTION("""COMPUTED_VALUE"""),"August, 2026")</f>
        <v>August, 2026</v>
      </c>
      <c r="C3" s="7">
        <f>IFERROR(__xludf.DUMMYFUNCTION("""COMPUTED_VALUE"""),46248.0)</f>
        <v>46248</v>
      </c>
      <c r="D3" s="6" t="str">
        <f>IFERROR(__xludf.DUMMYFUNCTION("""COMPUTED_VALUE"""),"BENGUET")</f>
        <v>BENGUET</v>
      </c>
      <c r="E3" s="6" t="str">
        <f>IFERROR(__xludf.DUMMYFUNCTION("""COMPUTED_VALUE"""),"KIBUNGAN")</f>
        <v>KIBUNGAN</v>
      </c>
      <c r="F3" s="6" t="str">
        <f>IFERROR(__xludf.DUMMYFUNCTION("""COMPUTED_VALUE"""),"TT-20260814-00000434")</f>
        <v>TT-20260814-00000434</v>
      </c>
      <c r="G3" s="6"/>
      <c r="H3" s="6" t="str">
        <f>IFERROR(__xludf.DUMMYFUNCTION("""COMPUTED_VALUE"""),"TT-20260814-00000434 | BENGUET | KIBUNGAN | SA | OLT UPLINK LOW POWER | TT-20260814-00000434
SA - OLT UPLINK LOW POWER - BENGUET - KIB001-OLT-01
Termination:
BGC005-NPE-03 GE0/2/10
Affected Users (From IM) 87
Start Time 2026-08-14 19:54:28")</f>
        <v>TT-20260814-00000434 | BENGUET | KIBUNGAN | SA | OLT UPLINK LOW POWER | TT-20260814-00000434
SA - OLT UPLINK LOW POWER - BENGUET - KIB001-OLT-01
Termination:
BGC005-NPE-03 GE0/2/10
Affected Users (From IM) 87
Start Time 2026-08-14 19:54:28</v>
      </c>
      <c r="I3" s="6" t="str">
        <f>IFERROR(__xludf.DUMMYFUNCTION("""COMPUTED_VALUE"""),"TT-20260814-00000434
SA - OLT UPLINK LOW POWER - BENGUET - KIB001-OLT-01
Termination:
BGC005-NPE-03 GE0/2/10
Affected Users (From IM) 87
Start Time 2026-08-14 19:54:28")</f>
        <v>TT-20260814-00000434
SA - OLT UPLINK LOW POWER - BENGUET - KIB001-OLT-01
Termination:
BGC005-NPE-03 GE0/2/10
Affected Users (From IM) 87
Start Time 2026-08-14 19:54:28</v>
      </c>
      <c r="J3" s="6"/>
      <c r="K3" s="6" t="str">
        <f>IFERROR(__xludf.DUMMYFUNCTION("""COMPUTED_VALUE"""),"SA")</f>
        <v>SA</v>
      </c>
      <c r="L3" s="6" t="str">
        <f>IFERROR(__xludf.DUMMYFUNCTION("""COMPUTED_VALUE"""),"OLT UPLINK LOW POWER")</f>
        <v>OLT UPLINK LOW POWER</v>
      </c>
      <c r="M3" s="6" t="str">
        <f>IFERROR(__xludf.DUMMYFUNCTION("""COMPUTED_VALUE"""),"GNOC")</f>
        <v>GNOC</v>
      </c>
      <c r="N3" s="8">
        <f>IFERROR(__xludf.DUMMYFUNCTION("""COMPUTED_VALUE"""),46248.82949074074)</f>
        <v>46248.82949</v>
      </c>
      <c r="O3" s="8">
        <f>IFERROR(__xludf.DUMMYFUNCTION("""COMPUTED_VALUE"""),46248.82949074074)</f>
        <v>46248.82949</v>
      </c>
      <c r="P3" s="8"/>
      <c r="Q3" s="6"/>
      <c r="R3" s="6"/>
      <c r="S3" s="6"/>
      <c r="T3" s="6"/>
      <c r="U3" s="6"/>
      <c r="V3" s="6"/>
      <c r="W3" s="6"/>
      <c r="X3" s="9" t="s">
        <v>17</v>
      </c>
      <c r="Y3" s="10">
        <f t="shared" si="1"/>
        <v>1</v>
      </c>
      <c r="Z3" s="11">
        <f>IFERROR(__xludf.DUMMYFUNCTION("IF(I3="""", """", IFERROR(VALUE(REGEXEXTRACT(I3, ""(?:No\.?\s*of\s*)?[Ss]ubs:?\s*(\d+)"")), 0) + IFERROR(VALUE(REGEXEXTRACT(I3, ""Affected Users(?:\s*\(From IM\))?:?\s*(\d+)"")), 0) + IFERROR(VALUE(REGEXEXTRACT(I3, ""Affected Clients:\s*(\d+)"")), 0))"),87.0)</f>
        <v>87</v>
      </c>
      <c r="AA3" s="11"/>
      <c r="AB3" s="12" t="str">
        <f t="shared" si="2"/>
        <v>KIB001-OLT-01</v>
      </c>
    </row>
    <row r="4">
      <c r="A4" s="6"/>
      <c r="B4" s="6"/>
      <c r="C4" s="7"/>
      <c r="D4" s="6"/>
      <c r="E4" s="6"/>
      <c r="F4" s="6"/>
      <c r="G4" s="6"/>
      <c r="H4" s="6"/>
      <c r="I4" s="9"/>
      <c r="J4" s="6"/>
      <c r="K4" s="6"/>
      <c r="L4" s="6"/>
      <c r="M4" s="6"/>
      <c r="N4" s="8"/>
      <c r="O4" s="8"/>
      <c r="P4" s="8"/>
      <c r="Q4" s="6"/>
      <c r="R4" s="6"/>
      <c r="S4" s="6"/>
      <c r="T4" s="6"/>
      <c r="U4" s="6"/>
      <c r="V4" s="6"/>
      <c r="W4" s="6"/>
      <c r="X4" s="6"/>
      <c r="Y4" s="10" t="str">
        <f t="shared" si="1"/>
        <v/>
      </c>
      <c r="Z4" s="11" t="str">
        <f>IFERROR(__xludf.DUMMYFUNCTION("IF(I4="""", """", IFERROR(VALUE(REGEXEXTRACT(I4, ""(?:No\.?\s*of\s*)?[Ss]ubs:?\s*(\d+)"")), 0) + IFERROR(VALUE(REGEXEXTRACT(I4, ""Affected Users(?:\s*\(From IM\))?:?\s*(\d+)"")), 0) + IFERROR(VALUE(REGEXEXTRACT(I4, ""Affected Clients:\s*(\d+)"")), 0))"),"")</f>
        <v/>
      </c>
      <c r="AA4" s="11"/>
      <c r="AB4" s="12" t="str">
        <f t="shared" si="2"/>
        <v/>
      </c>
    </row>
    <row r="5">
      <c r="A5" s="6"/>
      <c r="B5" s="6"/>
      <c r="C5" s="7"/>
      <c r="D5" s="6"/>
      <c r="E5" s="6"/>
      <c r="F5" s="6"/>
      <c r="G5" s="6"/>
      <c r="H5" s="6"/>
      <c r="I5" s="6"/>
      <c r="J5" s="6"/>
      <c r="K5" s="6"/>
      <c r="L5" s="6"/>
      <c r="M5" s="6"/>
      <c r="N5" s="8"/>
      <c r="O5" s="8"/>
      <c r="P5" s="8"/>
      <c r="Q5" s="6"/>
      <c r="R5" s="6"/>
      <c r="S5" s="6"/>
      <c r="T5" s="6"/>
      <c r="U5" s="6"/>
      <c r="V5" s="6"/>
      <c r="W5" s="6"/>
      <c r="X5" s="6"/>
      <c r="Y5" s="10" t="str">
        <f t="shared" si="1"/>
        <v/>
      </c>
      <c r="Z5" s="11" t="str">
        <f>IFERROR(__xludf.DUMMYFUNCTION("IF(I5="""", """", IFERROR(VALUE(REGEXEXTRACT(I5, ""(?:No\.?\s*of\s*)?[Ss]ubs:?\s*(\d+)"")), 0) + IFERROR(VALUE(REGEXEXTRACT(I5, ""Affected Users(?:\s*\(From IM\))?:?\s*(\d+)"")), 0) + IFERROR(VALUE(REGEXEXTRACT(I5, ""Affected Clients:\s*(\d+)"")), 0))"),"")</f>
        <v/>
      </c>
      <c r="AA5" s="11"/>
      <c r="AB5" s="12" t="str">
        <f t="shared" si="2"/>
        <v/>
      </c>
    </row>
    <row r="6">
      <c r="A6" s="6"/>
      <c r="B6" s="6"/>
      <c r="C6" s="7"/>
      <c r="D6" s="6"/>
      <c r="E6" s="6"/>
      <c r="F6" s="6"/>
      <c r="G6" s="6"/>
      <c r="H6" s="6"/>
      <c r="I6" s="6"/>
      <c r="J6" s="6"/>
      <c r="K6" s="6"/>
      <c r="L6" s="6"/>
      <c r="M6" s="6"/>
      <c r="N6" s="8"/>
      <c r="O6" s="8"/>
      <c r="P6" s="8"/>
      <c r="Q6" s="6"/>
      <c r="R6" s="6"/>
      <c r="S6" s="6"/>
      <c r="T6" s="6"/>
      <c r="U6" s="6"/>
      <c r="V6" s="6"/>
      <c r="W6" s="6"/>
      <c r="X6" s="6"/>
      <c r="Y6" s="10" t="str">
        <f t="shared" si="1"/>
        <v/>
      </c>
      <c r="Z6" s="11" t="str">
        <f>IFERROR(__xludf.DUMMYFUNCTION("IF(I6="""", """", IFERROR(VALUE(REGEXEXTRACT(I6, ""(?:No\.?\s*of\s*)?[Ss]ubs:?\s*(\d+)"")), 0) + IFERROR(VALUE(REGEXEXTRACT(I6, ""Affected Users(?:\s*\(From IM\))?:?\s*(\d+)"")), 0) + IFERROR(VALUE(REGEXEXTRACT(I6, ""Affected Clients:\s*(\d+)"")), 0))"),"")</f>
        <v/>
      </c>
      <c r="AA6" s="11"/>
      <c r="AB6" s="12" t="str">
        <f t="shared" si="2"/>
        <v/>
      </c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8"/>
      <c r="O7" s="8"/>
      <c r="P7" s="8"/>
      <c r="Q7" s="6"/>
      <c r="R7" s="6"/>
      <c r="S7" s="6"/>
      <c r="T7" s="6"/>
      <c r="U7" s="6"/>
      <c r="V7" s="6"/>
      <c r="W7" s="6"/>
      <c r="X7" s="6"/>
      <c r="Y7" s="10" t="str">
        <f t="shared" si="1"/>
        <v/>
      </c>
      <c r="Z7" s="11" t="str">
        <f>IFERROR(__xludf.DUMMYFUNCTION("IF(I7="""", """", IFERROR(VALUE(REGEXEXTRACT(I7, ""(?:No\.?\s*of\s*)?[Ss]ubs:?\s*(\d+)"")), 0) + IFERROR(VALUE(REGEXEXTRACT(I7, ""Affected Users(?:\s*\(From IM\))?:?\s*(\d+)"")), 0) + IFERROR(VALUE(REGEXEXTRACT(I7, ""Affected Clients:\s*(\d+)"")), 0))"),"")</f>
        <v/>
      </c>
      <c r="AA7" s="11"/>
      <c r="AB7" s="12" t="str">
        <f t="shared" si="2"/>
        <v/>
      </c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8"/>
      <c r="O8" s="8"/>
      <c r="P8" s="8"/>
      <c r="Q8" s="6"/>
      <c r="R8" s="6"/>
      <c r="S8" s="6"/>
      <c r="T8" s="6"/>
      <c r="U8" s="6"/>
      <c r="V8" s="6"/>
      <c r="W8" s="6"/>
      <c r="X8" s="6"/>
      <c r="Y8" s="10" t="str">
        <f t="shared" si="1"/>
        <v/>
      </c>
      <c r="Z8" s="11" t="str">
        <f>IFERROR(__xludf.DUMMYFUNCTION("IF(I8="""", """", IFERROR(VALUE(REGEXEXTRACT(I8, ""(?:No\.?\s*of\s*)?[Ss]ubs:?\s*(\d+)"")), 0) + IFERROR(VALUE(REGEXEXTRACT(I8, ""Affected Users(?:\s*\(From IM\))?:?\s*(\d+)"")), 0) + IFERROR(VALUE(REGEXEXTRACT(I8, ""Affected Clients:\s*(\d+)"")), 0))"),"")</f>
        <v/>
      </c>
      <c r="AA8" s="11"/>
      <c r="AB8" s="12" t="str">
        <f t="shared" si="2"/>
        <v/>
      </c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8"/>
      <c r="O9" s="8"/>
      <c r="P9" s="8"/>
      <c r="Q9" s="6"/>
      <c r="R9" s="6"/>
      <c r="S9" s="6"/>
      <c r="T9" s="6"/>
      <c r="U9" s="6"/>
      <c r="V9" s="6"/>
      <c r="W9" s="6"/>
      <c r="X9" s="6"/>
      <c r="Y9" s="10" t="str">
        <f t="shared" si="1"/>
        <v/>
      </c>
      <c r="Z9" s="11" t="str">
        <f>IFERROR(__xludf.DUMMYFUNCTION("IF(I9="""", """", IFERROR(VALUE(REGEXEXTRACT(I9, ""(?:No\.?\s*of\s*)?[Ss]ubs:?\s*(\d+)"")), 0) + IFERROR(VALUE(REGEXEXTRACT(I9, ""Affected Users(?:\s*\(From IM\))?:?\s*(\d+)"")), 0) + IFERROR(VALUE(REGEXEXTRACT(I9, ""Affected Clients:\s*(\d+)"")), 0))"),"")</f>
        <v/>
      </c>
      <c r="AA9" s="11"/>
      <c r="AB9" s="12" t="str">
        <f t="shared" si="2"/>
        <v/>
      </c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10" t="str">
        <f t="shared" si="1"/>
        <v/>
      </c>
      <c r="Z10" s="11" t="str">
        <f>IFERROR(__xludf.DUMMYFUNCTION("IF(I10="""", """", IFERROR(VALUE(REGEXEXTRACT(I10, ""(?:No\.?\s*of\s*)?[Ss]ubs:?\s*(\d+)"")), 0) + IFERROR(VALUE(REGEXEXTRACT(I10, ""Affected Users(?:\s*\(From IM\))?:?\s*(\d+)"")), 0) + IFERROR(VALUE(REGEXEXTRACT(I10, ""Affected Clients:\s*(\d+)"")), 0))"),"")</f>
        <v/>
      </c>
      <c r="AA10" s="11"/>
      <c r="AB10" s="12" t="str">
        <f t="shared" si="2"/>
        <v/>
      </c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10" t="str">
        <f t="shared" si="1"/>
        <v/>
      </c>
      <c r="Z11" s="11" t="str">
        <f>IFERROR(__xludf.DUMMYFUNCTION("IF(I11="""", """", IFERROR(VALUE(REGEXEXTRACT(I11, ""(?:No\.?\s*of\s*)?[Ss]ubs:?\s*(\d+)"")), 0) + IFERROR(VALUE(REGEXEXTRACT(I11, ""Affected Users(?:\s*\(From IM\))?:?\s*(\d+)"")), 0) + IFERROR(VALUE(REGEXEXTRACT(I11, ""Affected Clients:\s*(\d+)"")), 0))"),"")</f>
        <v/>
      </c>
      <c r="AA11" s="11"/>
      <c r="AB11" s="12" t="str">
        <f t="shared" si="2"/>
        <v/>
      </c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10" t="str">
        <f t="shared" si="1"/>
        <v/>
      </c>
      <c r="Z12" s="11" t="str">
        <f>IFERROR(__xludf.DUMMYFUNCTION("IF(I12="""", """", IFERROR(VALUE(REGEXEXTRACT(I12, ""(?:No\.?\s*of\s*)?[Ss]ubs:?\s*(\d+)"")), 0) + IFERROR(VALUE(REGEXEXTRACT(I12, ""Affected Users(?:\s*\(From IM\))?:?\s*(\d+)"")), 0) + IFERROR(VALUE(REGEXEXTRACT(I12, ""Affected Clients:\s*(\d+)"")), 0))"),"")</f>
        <v/>
      </c>
      <c r="AA12" s="11"/>
      <c r="AB12" s="12" t="str">
        <f t="shared" si="2"/>
        <v/>
      </c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10" t="str">
        <f t="shared" si="1"/>
        <v/>
      </c>
      <c r="Z13" s="11" t="str">
        <f>IFERROR(__xludf.DUMMYFUNCTION("IF(I13="""", """", IFERROR(VALUE(REGEXEXTRACT(I13, ""(?:No\.?\s*of\s*)?[Ss]ubs:?\s*(\d+)"")), 0) + IFERROR(VALUE(REGEXEXTRACT(I13, ""Affected Users(?:\s*\(From IM\))?:?\s*(\d+)"")), 0) + IFERROR(VALUE(REGEXEXTRACT(I13, ""Affected Clients:\s*(\d+)"")), 0))"),"")</f>
        <v/>
      </c>
      <c r="AA13" s="11"/>
      <c r="AB13" s="12" t="str">
        <f t="shared" si="2"/>
        <v/>
      </c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10" t="str">
        <f t="shared" si="1"/>
        <v/>
      </c>
      <c r="Z14" s="11" t="str">
        <f>IFERROR(__xludf.DUMMYFUNCTION("IF(I14="""", """", IFERROR(VALUE(REGEXEXTRACT(I14, ""(?:No\.?\s*of\s*)?[Ss]ubs:?\s*(\d+)"")), 0) + IFERROR(VALUE(REGEXEXTRACT(I14, ""Affected Users(?:\s*\(From IM\))?:?\s*(\d+)"")), 0) + IFERROR(VALUE(REGEXEXTRACT(I14, ""Affected Clients:\s*(\d+)"")), 0))"),"")</f>
        <v/>
      </c>
      <c r="AA14" s="11"/>
      <c r="AB14" s="12" t="str">
        <f t="shared" si="2"/>
        <v/>
      </c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10" t="str">
        <f t="shared" si="1"/>
        <v/>
      </c>
      <c r="Z15" s="11" t="str">
        <f>IFERROR(__xludf.DUMMYFUNCTION("IF(I15="""", """", IFERROR(VALUE(REGEXEXTRACT(I15, ""(?:No\.?\s*of\s*)?[Ss]ubs:?\s*(\d+)"")), 0) + IFERROR(VALUE(REGEXEXTRACT(I15, ""Affected Users(?:\s*\(From IM\))?:?\s*(\d+)"")), 0) + IFERROR(VALUE(REGEXEXTRACT(I15, ""Affected Clients:\s*(\d+)"")), 0))"),"")</f>
        <v/>
      </c>
      <c r="AA15" s="11"/>
      <c r="AB15" s="12" t="str">
        <f t="shared" si="2"/>
        <v/>
      </c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10" t="str">
        <f t="shared" si="1"/>
        <v/>
      </c>
      <c r="Z16" s="11" t="str">
        <f>IFERROR(__xludf.DUMMYFUNCTION("IF(I16="""", """", IFERROR(VALUE(REGEXEXTRACT(I16, ""(?:No\.?\s*of\s*)?[Ss]ubs:?\s*(\d+)"")), 0) + IFERROR(VALUE(REGEXEXTRACT(I16, ""Affected Users(?:\s*\(From IM\))?:?\s*(\d+)"")), 0) + IFERROR(VALUE(REGEXEXTRACT(I16, ""Affected Clients:\s*(\d+)"")), 0))"),"")</f>
        <v/>
      </c>
      <c r="AA16" s="11"/>
      <c r="AB16" s="13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10" t="str">
        <f t="shared" si="1"/>
        <v/>
      </c>
      <c r="Z17" s="11" t="str">
        <f>IFERROR(__xludf.DUMMYFUNCTION("IF(I17="""", """", IFERROR(VALUE(REGEXEXTRACT(I17, ""(?:No\.?\s*of\s*)?[Ss]ubs:?\s*(\d+)"")), 0) + IFERROR(VALUE(REGEXEXTRACT(I17, ""Affected Users(?:\s*\(From IM\))?:?\s*(\d+)"")), 0) + IFERROR(VALUE(REGEXEXTRACT(I17, ""Affected Clients:\s*(\d+)"")), 0))"),"")</f>
        <v/>
      </c>
      <c r="AA17" s="11"/>
      <c r="AB17" s="13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10" t="str">
        <f t="shared" si="1"/>
        <v/>
      </c>
      <c r="Z18" s="11" t="str">
        <f>IFERROR(__xludf.DUMMYFUNCTION("IF(I18="""", """", IFERROR(VALUE(REGEXEXTRACT(I18, ""(?:No\.?\s*of\s*)?[Ss]ubs:?\s*(\d+)"")), 0) + IFERROR(VALUE(REGEXEXTRACT(I18, ""Affected Users(?:\s*\(From IM\))?:?\s*(\d+)"")), 0) + IFERROR(VALUE(REGEXEXTRACT(I18, ""Affected Clients:\s*(\d+)"")), 0))"),"")</f>
        <v/>
      </c>
      <c r="AA18" s="11"/>
      <c r="AB18" s="13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10" t="str">
        <f t="shared" si="1"/>
        <v/>
      </c>
      <c r="Z19" s="11" t="str">
        <f>IFERROR(__xludf.DUMMYFUNCTION("IF(I19="""", """", IFERROR(VALUE(REGEXEXTRACT(I19, ""(?:No\.?\s*of\s*)?[Ss]ubs:?\s*(\d+)"")), 0) + IFERROR(VALUE(REGEXEXTRACT(I19, ""Affected Users(?:\s*\(From IM\))?:?\s*(\d+)"")), 0) + IFERROR(VALUE(REGEXEXTRACT(I19, ""Affected Clients:\s*(\d+)"")), 0))"),"")</f>
        <v/>
      </c>
      <c r="AA19" s="11"/>
      <c r="AB19" s="13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10" t="str">
        <f t="shared" si="1"/>
        <v/>
      </c>
      <c r="Z20" s="11" t="str">
        <f>IFERROR(__xludf.DUMMYFUNCTION("IF(I20="""", """", IFERROR(VALUE(REGEXEXTRACT(I20, ""(?:No\.?\s*of\s*)?[Ss]ubs:?\s*(\d+)"")), 0) + IFERROR(VALUE(REGEXEXTRACT(I20, ""Affected Users(?:\s*\(From IM\))?:?\s*(\d+)"")), 0) + IFERROR(VALUE(REGEXEXTRACT(I20, ""Affected Clients:\s*(\d+)"")), 0))"),"")</f>
        <v/>
      </c>
      <c r="AA20" s="11"/>
      <c r="AB20" s="13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10" t="str">
        <f t="shared" si="1"/>
        <v/>
      </c>
      <c r="Z21" s="11" t="str">
        <f>IFERROR(__xludf.DUMMYFUNCTION("IF(I21="""", """", IFERROR(VALUE(REGEXEXTRACT(I21, ""(?:No\.?\s*of\s*)?[Ss]ubs:?\s*(\d+)"")), 0) + IFERROR(VALUE(REGEXEXTRACT(I21, ""Affected Users(?:\s*\(From IM\))?:?\s*(\d+)"")), 0) + IFERROR(VALUE(REGEXEXTRACT(I21, ""Affected Clients:\s*(\d+)"")), 0))"),"")</f>
        <v/>
      </c>
      <c r="AA21" s="11"/>
      <c r="AB21" s="13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10" t="str">
        <f t="shared" si="1"/>
        <v/>
      </c>
      <c r="Z22" s="11" t="str">
        <f>IFERROR(__xludf.DUMMYFUNCTION("IF(I22="""", """", IFERROR(VALUE(REGEXEXTRACT(I22, ""(?:No\.?\s*of\s*)?[Ss]ubs:?\s*(\d+)"")), 0) + IFERROR(VALUE(REGEXEXTRACT(I22, ""Affected Users(?:\s*\(From IM\))?:?\s*(\d+)"")), 0) + IFERROR(VALUE(REGEXEXTRACT(I22, ""Affected Clients:\s*(\d+)"")), 0))"),"")</f>
        <v/>
      </c>
      <c r="AA22" s="11"/>
      <c r="AB22" s="13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10" t="str">
        <f t="shared" si="1"/>
        <v/>
      </c>
      <c r="Z23" s="11" t="str">
        <f>IFERROR(__xludf.DUMMYFUNCTION("IF(I23="""", """", IFERROR(VALUE(REGEXEXTRACT(I23, ""(?:No\.?\s*of\s*)?[Ss]ubs:?\s*(\d+)"")), 0) + IFERROR(VALUE(REGEXEXTRACT(I23, ""Affected Users(?:\s*\(From IM\))?:?\s*(\d+)"")), 0) + IFERROR(VALUE(REGEXEXTRACT(I23, ""Affected Clients:\s*(\d+)"")), 0))"),"")</f>
        <v/>
      </c>
      <c r="AA23" s="11"/>
      <c r="AB23" s="13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10" t="str">
        <f t="shared" si="1"/>
        <v/>
      </c>
      <c r="Z24" s="11" t="str">
        <f>IFERROR(__xludf.DUMMYFUNCTION("IF(I24="""", """", IFERROR(VALUE(REGEXEXTRACT(I24, ""(?:No\.?\s*of\s*)?[Ss]ubs:?\s*(\d+)"")), 0) + IFERROR(VALUE(REGEXEXTRACT(I24, ""Affected Users(?:\s*\(From IM\))?:?\s*(\d+)"")), 0) + IFERROR(VALUE(REGEXEXTRACT(I24, ""Affected Clients:\s*(\d+)"")), 0))"),"")</f>
        <v/>
      </c>
      <c r="AA24" s="11"/>
      <c r="AB24" s="13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10" t="str">
        <f t="shared" si="1"/>
        <v/>
      </c>
      <c r="Z25" s="11" t="str">
        <f>IFERROR(__xludf.DUMMYFUNCTION("IF(I25="""", """", IFERROR(VALUE(REGEXEXTRACT(I25, ""(?:No\.?\s*of\s*)?[Ss]ubs:?\s*(\d+)"")), 0) + IFERROR(VALUE(REGEXEXTRACT(I25, ""Affected Users(?:\s*\(From IM\))?:?\s*(\d+)"")), 0) + IFERROR(VALUE(REGEXEXTRACT(I25, ""Affected Clients:\s*(\d+)"")), 0))"),"")</f>
        <v/>
      </c>
      <c r="AA25" s="11"/>
      <c r="AB25" s="13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10" t="str">
        <f t="shared" si="1"/>
        <v/>
      </c>
      <c r="Z26" s="11" t="str">
        <f>IFERROR(__xludf.DUMMYFUNCTION("IF(I26="""", """", IFERROR(VALUE(REGEXEXTRACT(I26, ""(?:No\.?\s*of\s*)?[Ss]ubs:?\s*(\d+)"")), 0) + IFERROR(VALUE(REGEXEXTRACT(I26, ""Affected Users(?:\s*\(From IM\))?:?\s*(\d+)"")), 0) + IFERROR(VALUE(REGEXEXTRACT(I26, ""Affected Clients:\s*(\d+)"")), 0))"),"")</f>
        <v/>
      </c>
      <c r="AA26" s="11"/>
      <c r="AB26" s="13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10" t="str">
        <f t="shared" si="1"/>
        <v/>
      </c>
      <c r="Z27" s="11" t="str">
        <f>IFERROR(__xludf.DUMMYFUNCTION("IF(I27="""", """", IFERROR(VALUE(REGEXEXTRACT(I27, ""(?:No\.?\s*of\s*)?[Ss]ubs:?\s*(\d+)"")), 0) + IFERROR(VALUE(REGEXEXTRACT(I27, ""Affected Users(?:\s*\(From IM\))?:?\s*(\d+)"")), 0) + IFERROR(VALUE(REGEXEXTRACT(I27, ""Affected Clients:\s*(\d+)"")), 0))"),"")</f>
        <v/>
      </c>
      <c r="AA27" s="11"/>
      <c r="AB27" s="13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10" t="str">
        <f t="shared" si="1"/>
        <v/>
      </c>
      <c r="Z28" s="11" t="str">
        <f>IFERROR(__xludf.DUMMYFUNCTION("IF(I28="""", """", IFERROR(VALUE(REGEXEXTRACT(I28, ""(?:No\.?\s*of\s*)?[Ss]ubs:?\s*(\d+)"")), 0) + IFERROR(VALUE(REGEXEXTRACT(I28, ""Affected Users(?:\s*\(From IM\))?:?\s*(\d+)"")), 0) + IFERROR(VALUE(REGEXEXTRACT(I28, ""Affected Clients:\s*(\d+)"")), 0))"),"")</f>
        <v/>
      </c>
      <c r="AA28" s="11"/>
      <c r="AB28" s="13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10" t="str">
        <f t="shared" si="1"/>
        <v/>
      </c>
      <c r="Z29" s="11" t="str">
        <f>IFERROR(__xludf.DUMMYFUNCTION("IF(I29="""", """", IFERROR(VALUE(REGEXEXTRACT(I29, ""(?:No\.?\s*of\s*)?[Ss]ubs:?\s*(\d+)"")), 0) + IFERROR(VALUE(REGEXEXTRACT(I29, ""Affected Users(?:\s*\(From IM\))?:?\s*(\d+)"")), 0) + IFERROR(VALUE(REGEXEXTRACT(I29, ""Affected Clients:\s*(\d+)"")), 0))"),"")</f>
        <v/>
      </c>
      <c r="AA29" s="11"/>
      <c r="AB29" s="13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10" t="str">
        <f t="shared" si="1"/>
        <v/>
      </c>
      <c r="Z30" s="11" t="str">
        <f>IFERROR(__xludf.DUMMYFUNCTION("IF(I30="""", """", IFERROR(VALUE(REGEXEXTRACT(I30, ""(?:No\.?\s*of\s*)?[Ss]ubs:?\s*(\d+)"")), 0) + IFERROR(VALUE(REGEXEXTRACT(I30, ""Affected Users(?:\s*\(From IM\))?:?\s*(\d+)"")), 0) + IFERROR(VALUE(REGEXEXTRACT(I30, ""Affected Clients:\s*(\d+)"")), 0))"),"")</f>
        <v/>
      </c>
      <c r="AA30" s="11"/>
      <c r="AB30" s="13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10" t="str">
        <f t="shared" si="1"/>
        <v/>
      </c>
      <c r="Z31" s="11" t="str">
        <f>IFERROR(__xludf.DUMMYFUNCTION("IF(I31="""", """", IFERROR(VALUE(REGEXEXTRACT(I31, ""(?:No\.?\s*of\s*)?[Ss]ubs:?\s*(\d+)"")), 0) + IFERROR(VALUE(REGEXEXTRACT(I31, ""Affected Users(?:\s*\(From IM\))?:?\s*(\d+)"")), 0) + IFERROR(VALUE(REGEXEXTRACT(I31, ""Affected Clients:\s*(\d+)"")), 0))"),"")</f>
        <v/>
      </c>
      <c r="AA31" s="11"/>
      <c r="AB31" s="13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10" t="str">
        <f t="shared" si="1"/>
        <v/>
      </c>
      <c r="Z32" s="11" t="str">
        <f>IFERROR(__xludf.DUMMYFUNCTION("IF(I32="""", """", IFERROR(VALUE(REGEXEXTRACT(I32, ""(?:No\.?\s*of\s*)?[Ss]ubs:?\s*(\d+)"")), 0) + IFERROR(VALUE(REGEXEXTRACT(I32, ""Affected Users(?:\s*\(From IM\))?:?\s*(\d+)"")), 0) + IFERROR(VALUE(REGEXEXTRACT(I32, ""Affected Clients:\s*(\d+)"")), 0))"),"")</f>
        <v/>
      </c>
      <c r="AA32" s="11"/>
      <c r="AB32" s="13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10" t="str">
        <f t="shared" si="1"/>
        <v/>
      </c>
      <c r="Z33" s="11" t="str">
        <f>IFERROR(__xludf.DUMMYFUNCTION("IF(I33="""", """", IFERROR(VALUE(REGEXEXTRACT(I33, ""(?:No\.?\s*of\s*)?[Ss]ubs:?\s*(\d+)"")), 0) + IFERROR(VALUE(REGEXEXTRACT(I33, ""Affected Users(?:\s*\(From IM\))?:?\s*(\d+)"")), 0) + IFERROR(VALUE(REGEXEXTRACT(I33, ""Affected Clients:\s*(\d+)"")), 0))"),"")</f>
        <v/>
      </c>
      <c r="AA33" s="11"/>
      <c r="AB33" s="13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10" t="str">
        <f t="shared" si="1"/>
        <v/>
      </c>
      <c r="Z34" s="11" t="str">
        <f>IFERROR(__xludf.DUMMYFUNCTION("IF(I34="""", """", IFERROR(VALUE(REGEXEXTRACT(I34, ""(?:No\.?\s*of\s*)?[Ss]ubs:?\s*(\d+)"")), 0) + IFERROR(VALUE(REGEXEXTRACT(I34, ""Affected Users(?:\s*\(From IM\))?:?\s*(\d+)"")), 0) + IFERROR(VALUE(REGEXEXTRACT(I34, ""Affected Clients:\s*(\d+)"")), 0))"),"")</f>
        <v/>
      </c>
      <c r="AA34" s="11"/>
      <c r="AB34" s="13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10" t="str">
        <f t="shared" si="1"/>
        <v/>
      </c>
      <c r="Z35" s="11" t="str">
        <f>IFERROR(__xludf.DUMMYFUNCTION("IF(I35="""", """", IFERROR(VALUE(REGEXEXTRACT(I35, ""(?:No\.?\s*of\s*)?[Ss]ubs:?\s*(\d+)"")), 0) + IFERROR(VALUE(REGEXEXTRACT(I35, ""Affected Users(?:\s*\(From IM\))?:?\s*(\d+)"")), 0) + IFERROR(VALUE(REGEXEXTRACT(I35, ""Affected Clients:\s*(\d+)"")), 0))"),"")</f>
        <v/>
      </c>
      <c r="AA35" s="11"/>
      <c r="AB35" s="12" t="str">
        <f t="shared" ref="AB35:AB50" si="3">IF(ISBLANK(I35), "", EXTRACT_OLT(I35))</f>
        <v/>
      </c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10" t="str">
        <f t="shared" si="1"/>
        <v/>
      </c>
      <c r="Z36" s="11" t="str">
        <f>IFERROR(__xludf.DUMMYFUNCTION("IF(I36="""", """", IFERROR(VALUE(REGEXEXTRACT(I36, ""(?:No\.?\s*of\s*)?[Ss]ubs:?\s*(\d+)"")), 0) + IFERROR(VALUE(REGEXEXTRACT(I36, ""Affected Users(?:\s*\(From IM\))?:?\s*(\d+)"")), 0) + IFERROR(VALUE(REGEXEXTRACT(I36, ""Affected Clients:\s*(\d+)"")), 0))"),"")</f>
        <v/>
      </c>
      <c r="AA36" s="11"/>
      <c r="AB36" s="12" t="str">
        <f t="shared" si="3"/>
        <v/>
      </c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10" t="str">
        <f t="shared" si="1"/>
        <v/>
      </c>
      <c r="Z37" s="11" t="str">
        <f>IFERROR(__xludf.DUMMYFUNCTION("IF(I37="""", """", IFERROR(VALUE(REGEXEXTRACT(I37, ""(?:No\.?\s*of\s*)?[Ss]ubs:?\s*(\d+)"")), 0) + IFERROR(VALUE(REGEXEXTRACT(I37, ""Affected Users(?:\s*\(From IM\))?:?\s*(\d+)"")), 0) + IFERROR(VALUE(REGEXEXTRACT(I37, ""Affected Clients:\s*(\d+)"")), 0))"),"")</f>
        <v/>
      </c>
      <c r="AA37" s="11"/>
      <c r="AB37" s="12" t="str">
        <f t="shared" si="3"/>
        <v/>
      </c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10" t="str">
        <f t="shared" si="1"/>
        <v/>
      </c>
      <c r="Z38" s="11" t="str">
        <f>IFERROR(__xludf.DUMMYFUNCTION("IF(I38="""", """", IFERROR(VALUE(REGEXEXTRACT(I38, ""(?:No\.?\s*of\s*)?[Ss]ubs:?\s*(\d+)"")), 0) + IFERROR(VALUE(REGEXEXTRACT(I38, ""Affected Users(?:\s*\(From IM\))?:?\s*(\d+)"")), 0) + IFERROR(VALUE(REGEXEXTRACT(I38, ""Affected Clients:\s*(\d+)"")), 0))"),"")</f>
        <v/>
      </c>
      <c r="AA38" s="11"/>
      <c r="AB38" s="12" t="str">
        <f t="shared" si="3"/>
        <v/>
      </c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10" t="str">
        <f t="shared" si="1"/>
        <v/>
      </c>
      <c r="Z39" s="11" t="str">
        <f>IFERROR(__xludf.DUMMYFUNCTION("IF(I39="""", """", IFERROR(VALUE(REGEXEXTRACT(I39, ""(?:No\.?\s*of\s*)?[Ss]ubs:?\s*(\d+)"")), 0) + IFERROR(VALUE(REGEXEXTRACT(I39, ""Affected Users(?:\s*\(From IM\))?:?\s*(\d+)"")), 0) + IFERROR(VALUE(REGEXEXTRACT(I39, ""Affected Clients:\s*(\d+)"")), 0))"),"")</f>
        <v/>
      </c>
      <c r="AA39" s="11"/>
      <c r="AB39" s="12" t="str">
        <f t="shared" si="3"/>
        <v/>
      </c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10" t="str">
        <f t="shared" si="1"/>
        <v/>
      </c>
      <c r="Z40" s="11" t="str">
        <f>IFERROR(__xludf.DUMMYFUNCTION("IF(I40="""", """", IFERROR(VALUE(REGEXEXTRACT(I40, ""(?:No\.?\s*of\s*)?[Ss]ubs:?\s*(\d+)"")), 0) + IFERROR(VALUE(REGEXEXTRACT(I40, ""Affected Users(?:\s*\(From IM\))?:?\s*(\d+)"")), 0) + IFERROR(VALUE(REGEXEXTRACT(I40, ""Affected Clients:\s*(\d+)"")), 0))"),"")</f>
        <v/>
      </c>
      <c r="AA40" s="11"/>
      <c r="AB40" s="12" t="str">
        <f t="shared" si="3"/>
        <v/>
      </c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10" t="str">
        <f t="shared" si="1"/>
        <v/>
      </c>
      <c r="Z41" s="11" t="str">
        <f>IFERROR(__xludf.DUMMYFUNCTION("IF(I41="""", """", IFERROR(VALUE(REGEXEXTRACT(I41, ""(?:No\.?\s*of\s*)?[Ss]ubs:?\s*(\d+)"")), 0) + IFERROR(VALUE(REGEXEXTRACT(I41, ""Affected Users(?:\s*\(From IM\))?:?\s*(\d+)"")), 0) + IFERROR(VALUE(REGEXEXTRACT(I41, ""Affected Clients:\s*(\d+)"")), 0))"),"")</f>
        <v/>
      </c>
      <c r="AA41" s="11"/>
      <c r="AB41" s="12" t="str">
        <f t="shared" si="3"/>
        <v/>
      </c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10" t="str">
        <f t="shared" si="1"/>
        <v/>
      </c>
      <c r="Z42" s="11" t="str">
        <f>IFERROR(__xludf.DUMMYFUNCTION("IF(I42="""", """", IFERROR(VALUE(REGEXEXTRACT(I42, ""(?:No\.?\s*of\s*)?[Ss]ubs:?\s*(\d+)"")), 0) + IFERROR(VALUE(REGEXEXTRACT(I42, ""Affected Users(?:\s*\(From IM\))?:?\s*(\d+)"")), 0) + IFERROR(VALUE(REGEXEXTRACT(I42, ""Affected Clients:\s*(\d+)"")), 0))"),"")</f>
        <v/>
      </c>
      <c r="AA42" s="11"/>
      <c r="AB42" s="12" t="str">
        <f t="shared" si="3"/>
        <v/>
      </c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10" t="str">
        <f t="shared" si="1"/>
        <v/>
      </c>
      <c r="Z43" s="11" t="str">
        <f>IFERROR(__xludf.DUMMYFUNCTION("IF(I43="""", """", IFERROR(VALUE(REGEXEXTRACT(I43, ""(?:No\.?\s*of\s*)?[Ss]ubs:?\s*(\d+)"")), 0) + IFERROR(VALUE(REGEXEXTRACT(I43, ""Affected Users(?:\s*\(From IM\))?:?\s*(\d+)"")), 0) + IFERROR(VALUE(REGEXEXTRACT(I43, ""Affected Clients:\s*(\d+)"")), 0))"),"")</f>
        <v/>
      </c>
      <c r="AA43" s="11"/>
      <c r="AB43" s="12" t="str">
        <f t="shared" si="3"/>
        <v/>
      </c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10" t="str">
        <f t="shared" si="1"/>
        <v/>
      </c>
      <c r="Z44" s="11" t="str">
        <f>IFERROR(__xludf.DUMMYFUNCTION("IF(I44="""", """", IFERROR(VALUE(REGEXEXTRACT(I44, ""(?:No\.?\s*of\s*)?[Ss]ubs:?\s*(\d+)"")), 0) + IFERROR(VALUE(REGEXEXTRACT(I44, ""Affected Users(?:\s*\(From IM\))?:?\s*(\d+)"")), 0) + IFERROR(VALUE(REGEXEXTRACT(I44, ""Affected Clients:\s*(\d+)"")), 0))"),"")</f>
        <v/>
      </c>
      <c r="AA44" s="11"/>
      <c r="AB44" s="12" t="str">
        <f t="shared" si="3"/>
        <v/>
      </c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10" t="str">
        <f t="shared" si="1"/>
        <v/>
      </c>
      <c r="Z45" s="11" t="str">
        <f>IFERROR(__xludf.DUMMYFUNCTION("IF(I45="""", """", IFERROR(VALUE(REGEXEXTRACT(I45, ""(?:No\.?\s*of\s*)?[Ss]ubs:?\s*(\d+)"")), 0) + IFERROR(VALUE(REGEXEXTRACT(I45, ""Affected Users(?:\s*\(From IM\))?:?\s*(\d+)"")), 0) + IFERROR(VALUE(REGEXEXTRACT(I45, ""Affected Clients:\s*(\d+)"")), 0))"),"")</f>
        <v/>
      </c>
      <c r="AA45" s="11"/>
      <c r="AB45" s="12" t="str">
        <f t="shared" si="3"/>
        <v/>
      </c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10" t="str">
        <f t="shared" si="1"/>
        <v/>
      </c>
      <c r="Z46" s="11" t="str">
        <f>IFERROR(__xludf.DUMMYFUNCTION("IF(I46="""", """", IFERROR(VALUE(REGEXEXTRACT(I46, ""(?:No\.?\s*of\s*)?[Ss]ubs:?\s*(\d+)"")), 0) + IFERROR(VALUE(REGEXEXTRACT(I46, ""Affected Users(?:\s*\(From IM\))?:?\s*(\d+)"")), 0) + IFERROR(VALUE(REGEXEXTRACT(I46, ""Affected Clients:\s*(\d+)"")), 0))"),"")</f>
        <v/>
      </c>
      <c r="AA46" s="11"/>
      <c r="AB46" s="12" t="str">
        <f t="shared" si="3"/>
        <v/>
      </c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10" t="str">
        <f t="shared" si="1"/>
        <v/>
      </c>
      <c r="Z47" s="11" t="str">
        <f>IFERROR(__xludf.DUMMYFUNCTION("IF(I47="""", """", IFERROR(VALUE(REGEXEXTRACT(I47, ""(?:No\.?\s*of\s*)?[Ss]ubs:?\s*(\d+)"")), 0) + IFERROR(VALUE(REGEXEXTRACT(I47, ""Affected Users(?:\s*\(From IM\))?:?\s*(\d+)"")), 0) + IFERROR(VALUE(REGEXEXTRACT(I47, ""Affected Clients:\s*(\d+)"")), 0))"),"")</f>
        <v/>
      </c>
      <c r="AA47" s="11"/>
      <c r="AB47" s="12" t="str">
        <f t="shared" si="3"/>
        <v/>
      </c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10" t="str">
        <f t="shared" si="1"/>
        <v/>
      </c>
      <c r="Z48" s="11" t="str">
        <f>IFERROR(__xludf.DUMMYFUNCTION("IF(I48="""", """", IFERROR(VALUE(REGEXEXTRACT(I48, ""(?:No\.?\s*of\s*)?[Ss]ubs:?\s*(\d+)"")), 0) + IFERROR(VALUE(REGEXEXTRACT(I48, ""Affected Users(?:\s*\(From IM\))?:?\s*(\d+)"")), 0) + IFERROR(VALUE(REGEXEXTRACT(I48, ""Affected Clients:\s*(\d+)"")), 0))"),"")</f>
        <v/>
      </c>
      <c r="AA48" s="11"/>
      <c r="AB48" s="12" t="str">
        <f t="shared" si="3"/>
        <v/>
      </c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10" t="str">
        <f t="shared" si="1"/>
        <v/>
      </c>
      <c r="Z49" s="11" t="str">
        <f>IFERROR(__xludf.DUMMYFUNCTION("IF(I49="""", """", IFERROR(VALUE(REGEXEXTRACT(I49, ""(?:No\.?\s*of\s*)?[Ss]ubs:?\s*(\d+)"")), 0) + IFERROR(VALUE(REGEXEXTRACT(I49, ""Affected Users(?:\s*\(From IM\))?:?\s*(\d+)"")), 0) + IFERROR(VALUE(REGEXEXTRACT(I49, ""Affected Clients:\s*(\d+)"")), 0))"),"")</f>
        <v/>
      </c>
      <c r="AA49" s="11"/>
      <c r="AB49" s="12" t="str">
        <f t="shared" si="3"/>
        <v/>
      </c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10" t="str">
        <f t="shared" si="1"/>
        <v/>
      </c>
      <c r="Z50" s="11" t="str">
        <f>IFERROR(__xludf.DUMMYFUNCTION("IF(I50="""", """", IFERROR(VALUE(REGEXEXTRACT(I50, ""(?:No\.?\s*of\s*)?[Ss]ubs:?\s*(\d+)"")), 0) + IFERROR(VALUE(REGEXEXTRACT(I50, ""Affected Users(?:\s*\(From IM\))?:?\s*(\d+)"")), 0) + IFERROR(VALUE(REGEXEXTRACT(I50, ""Affected Clients:\s*(\d+)"")), 0))"),"")</f>
        <v/>
      </c>
      <c r="AA50" s="11"/>
      <c r="AB50" s="12" t="str">
        <f t="shared" si="3"/>
        <v/>
      </c>
    </row>
  </sheetData>
  <conditionalFormatting sqref="AB2:AB50">
    <cfRule type="expression" dxfId="4" priority="1">
      <formula>REDUCE(FALSE, SPLIT(AB2, CHAR(10)), LAMBDA(acc, olt, acc + (SUMPRODUCT(MAP($AB$2:$AB$50, LAMBDA(cell, IF(ISBLANK(cell), 0, REGEXMATCH(cell, "(?m)^" &amp; REGEXREPLACE(TRIM(olt), "([x{}()\[\]\\^$.|*+?])", "\\$1") &amp; "$"))))) &gt; 1)))</formula>
    </cfRule>
  </conditionalFormatting>
  <drawing r:id="rId1"/>
  <tableParts count="1">
    <tablePart r:id="rId3"/>
  </tableParts>
</worksheet>
</file>